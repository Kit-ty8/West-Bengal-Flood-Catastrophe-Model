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2684cbd0801a73/Desktop/Job_Apply_Interview/New Project on Catastrophe/"/>
    </mc:Choice>
  </mc:AlternateContent>
  <xr:revisionPtr revIDLastSave="659" documentId="8_{A1CB9015-BA5D-4743-A999-377191F92656}" xr6:coauthVersionLast="47" xr6:coauthVersionMax="47" xr10:uidLastSave="{7CE0E376-21C8-415A-A9BC-8CC681882E7A}"/>
  <bookViews>
    <workbookView xWindow="-108" yWindow="-108" windowWidth="23256" windowHeight="12456" tabRatio="839" activeTab="5" xr2:uid="{B48E9BAD-EE13-43DF-9751-2B889434831A}"/>
  </bookViews>
  <sheets>
    <sheet name="Data_Prep" sheetId="1" r:id="rId1"/>
    <sheet name="Exposure_Data" sheetId="2" r:id="rId2"/>
    <sheet name="Hazard" sheetId="3" r:id="rId3"/>
    <sheet name="Vulnerability" sheetId="4" r:id="rId4"/>
    <sheet name="Simulation" sheetId="5" r:id="rId5"/>
    <sheet name="Dashboard" sheetId="10" r:id="rId6"/>
  </sheets>
  <definedNames>
    <definedName name="_xlnm._FilterDatabase" localSheetId="0" hidden="1">Data_Prep!$A$1:$I$1001</definedName>
    <definedName name="_xlnm._FilterDatabase" localSheetId="4" hidden="1">Simulation!$A$9:$H$9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5" l="1" a="1"/>
  <c r="A10" i="5" s="1"/>
  <c r="AC11" i="5"/>
  <c r="AC12" i="5"/>
  <c r="AC13" i="5"/>
  <c r="AC14" i="5"/>
  <c r="AC15" i="5"/>
  <c r="AC16" i="5"/>
  <c r="AC17" i="5"/>
  <c r="AC10" i="5"/>
  <c r="AB11" i="5"/>
  <c r="AB12" i="5"/>
  <c r="AB13" i="5"/>
  <c r="AB14" i="5"/>
  <c r="AB15" i="5"/>
  <c r="AB16" i="5"/>
  <c r="AB17" i="5"/>
  <c r="AB10" i="5"/>
  <c r="B3" i="5"/>
  <c r="B2" i="5"/>
  <c r="E3" i="3"/>
  <c r="E4" i="3"/>
  <c r="E5" i="3"/>
  <c r="E6" i="3"/>
  <c r="E7" i="3"/>
  <c r="E8" i="3"/>
  <c r="E9" i="3"/>
  <c r="E2" i="3"/>
  <c r="A2" i="1" a="1"/>
  <c r="A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D3" i="1"/>
  <c r="D4" i="1"/>
  <c r="D5" i="1"/>
  <c r="D6" i="1"/>
  <c r="E6" i="1" s="1" a="1"/>
  <c r="E6" i="1" s="1"/>
  <c r="H6" i="1" s="1"/>
  <c r="D7" i="1"/>
  <c r="D8" i="1"/>
  <c r="D9" i="1"/>
  <c r="D10" i="1"/>
  <c r="D11" i="1"/>
  <c r="D12" i="1"/>
  <c r="D13" i="1"/>
  <c r="D14" i="1"/>
  <c r="D15" i="1"/>
  <c r="D16" i="1"/>
  <c r="D17" i="1"/>
  <c r="D18" i="1"/>
  <c r="E18" i="1" s="1" a="1"/>
  <c r="E18" i="1" s="1"/>
  <c r="H18" i="1" s="1"/>
  <c r="D19" i="1"/>
  <c r="D20" i="1"/>
  <c r="D21" i="1"/>
  <c r="D22" i="1"/>
  <c r="E22" i="1" s="1" a="1"/>
  <c r="E22" i="1" s="1"/>
  <c r="H22" i="1" s="1"/>
  <c r="D23" i="1"/>
  <c r="D24" i="1"/>
  <c r="D25" i="1"/>
  <c r="D26" i="1"/>
  <c r="D27" i="1"/>
  <c r="D28" i="1"/>
  <c r="D29" i="1"/>
  <c r="D30" i="1"/>
  <c r="D31" i="1"/>
  <c r="D32" i="1"/>
  <c r="D33" i="1"/>
  <c r="D34" i="1"/>
  <c r="E34" i="1" s="1" a="1"/>
  <c r="E34" i="1" s="1"/>
  <c r="H34" i="1" s="1"/>
  <c r="D35" i="1"/>
  <c r="D36" i="1"/>
  <c r="D37" i="1"/>
  <c r="D38" i="1"/>
  <c r="E38" i="1" s="1" a="1"/>
  <c r="E38" i="1" s="1"/>
  <c r="H38" i="1" s="1"/>
  <c r="D39" i="1"/>
  <c r="D40" i="1"/>
  <c r="D41" i="1"/>
  <c r="D42" i="1"/>
  <c r="D43" i="1"/>
  <c r="D44" i="1"/>
  <c r="D45" i="1"/>
  <c r="D46" i="1"/>
  <c r="D47" i="1"/>
  <c r="D48" i="1"/>
  <c r="D49" i="1"/>
  <c r="D50" i="1"/>
  <c r="E50" i="1" s="1" a="1"/>
  <c r="E50" i="1" s="1"/>
  <c r="H50" i="1" s="1"/>
  <c r="D51" i="1"/>
  <c r="D52" i="1"/>
  <c r="D53" i="1"/>
  <c r="D54" i="1"/>
  <c r="E54" i="1" s="1" a="1"/>
  <c r="E54" i="1" s="1"/>
  <c r="H54" i="1" s="1"/>
  <c r="D55" i="1"/>
  <c r="D56" i="1"/>
  <c r="D57" i="1"/>
  <c r="D58" i="1"/>
  <c r="D59" i="1"/>
  <c r="D60" i="1"/>
  <c r="D61" i="1"/>
  <c r="D62" i="1"/>
  <c r="D63" i="1"/>
  <c r="D64" i="1"/>
  <c r="D65" i="1"/>
  <c r="D66" i="1"/>
  <c r="E66" i="1" s="1" a="1"/>
  <c r="E66" i="1" s="1"/>
  <c r="H66" i="1" s="1"/>
  <c r="D67" i="1"/>
  <c r="D68" i="1"/>
  <c r="D69" i="1"/>
  <c r="D70" i="1"/>
  <c r="E70" i="1" s="1" a="1"/>
  <c r="E70" i="1" s="1"/>
  <c r="H70" i="1" s="1"/>
  <c r="D71" i="1"/>
  <c r="D72" i="1"/>
  <c r="D73" i="1"/>
  <c r="D74" i="1"/>
  <c r="D75" i="1"/>
  <c r="D76" i="1"/>
  <c r="D77" i="1"/>
  <c r="D78" i="1"/>
  <c r="D79" i="1"/>
  <c r="D80" i="1"/>
  <c r="D81" i="1"/>
  <c r="D82" i="1"/>
  <c r="E82" i="1" s="1" a="1"/>
  <c r="E82" i="1" s="1"/>
  <c r="H82" i="1" s="1"/>
  <c r="D83" i="1"/>
  <c r="D84" i="1"/>
  <c r="D85" i="1"/>
  <c r="D86" i="1"/>
  <c r="E86" i="1" s="1" a="1"/>
  <c r="E86" i="1" s="1"/>
  <c r="H86" i="1" s="1"/>
  <c r="D87" i="1"/>
  <c r="D88" i="1"/>
  <c r="D89" i="1"/>
  <c r="D90" i="1"/>
  <c r="D91" i="1"/>
  <c r="D92" i="1"/>
  <c r="D93" i="1"/>
  <c r="D94" i="1"/>
  <c r="D95" i="1"/>
  <c r="D96" i="1"/>
  <c r="D97" i="1"/>
  <c r="D98" i="1"/>
  <c r="E98" i="1" s="1" a="1"/>
  <c r="E98" i="1" s="1"/>
  <c r="H98" i="1" s="1"/>
  <c r="D99" i="1"/>
  <c r="D100" i="1"/>
  <c r="D101" i="1"/>
  <c r="D102" i="1"/>
  <c r="E102" i="1" s="1" a="1"/>
  <c r="E102" i="1" s="1"/>
  <c r="H102" i="1" s="1"/>
  <c r="D103" i="1"/>
  <c r="D104" i="1"/>
  <c r="D105" i="1"/>
  <c r="D106" i="1"/>
  <c r="D107" i="1"/>
  <c r="D108" i="1"/>
  <c r="D109" i="1"/>
  <c r="D110" i="1"/>
  <c r="D111" i="1"/>
  <c r="D112" i="1"/>
  <c r="D113" i="1"/>
  <c r="D114" i="1"/>
  <c r="E114" i="1" s="1" a="1"/>
  <c r="E114" i="1" s="1"/>
  <c r="H114" i="1" s="1"/>
  <c r="D115" i="1"/>
  <c r="D116" i="1"/>
  <c r="D117" i="1"/>
  <c r="D118" i="1"/>
  <c r="E118" i="1" s="1" a="1"/>
  <c r="E118" i="1" s="1"/>
  <c r="H118" i="1" s="1"/>
  <c r="D119" i="1"/>
  <c r="D120" i="1"/>
  <c r="D121" i="1"/>
  <c r="D122" i="1"/>
  <c r="D123" i="1"/>
  <c r="D124" i="1"/>
  <c r="D125" i="1"/>
  <c r="D126" i="1"/>
  <c r="D127" i="1"/>
  <c r="D128" i="1"/>
  <c r="D129" i="1"/>
  <c r="D130" i="1"/>
  <c r="E130" i="1" s="1" a="1"/>
  <c r="E130" i="1" s="1"/>
  <c r="H130" i="1" s="1"/>
  <c r="D131" i="1"/>
  <c r="D132" i="1"/>
  <c r="D133" i="1"/>
  <c r="D134" i="1"/>
  <c r="E134" i="1" s="1" a="1"/>
  <c r="E134" i="1" s="1"/>
  <c r="H134" i="1" s="1"/>
  <c r="D135" i="1"/>
  <c r="D136" i="1"/>
  <c r="D137" i="1"/>
  <c r="D138" i="1"/>
  <c r="D139" i="1"/>
  <c r="D140" i="1"/>
  <c r="D141" i="1"/>
  <c r="D142" i="1"/>
  <c r="D143" i="1"/>
  <c r="D144" i="1"/>
  <c r="D145" i="1"/>
  <c r="D146" i="1"/>
  <c r="E146" i="1" s="1" a="1"/>
  <c r="E146" i="1" s="1"/>
  <c r="H146" i="1" s="1"/>
  <c r="D147" i="1"/>
  <c r="D148" i="1"/>
  <c r="D149" i="1"/>
  <c r="D150" i="1"/>
  <c r="E150" i="1" s="1" a="1"/>
  <c r="E150" i="1" s="1"/>
  <c r="H150" i="1" s="1"/>
  <c r="D151" i="1"/>
  <c r="D152" i="1"/>
  <c r="D153" i="1"/>
  <c r="D154" i="1"/>
  <c r="D155" i="1"/>
  <c r="D156" i="1"/>
  <c r="D157" i="1"/>
  <c r="D158" i="1"/>
  <c r="D159" i="1"/>
  <c r="D160" i="1"/>
  <c r="D161" i="1"/>
  <c r="D162" i="1"/>
  <c r="E162" i="1" s="1" a="1"/>
  <c r="E162" i="1" s="1"/>
  <c r="H162" i="1" s="1"/>
  <c r="D163" i="1"/>
  <c r="D164" i="1"/>
  <c r="D165" i="1"/>
  <c r="D166" i="1"/>
  <c r="E166" i="1" s="1" a="1"/>
  <c r="E166" i="1" s="1"/>
  <c r="H166" i="1" s="1"/>
  <c r="D167" i="1"/>
  <c r="D168" i="1"/>
  <c r="D169" i="1"/>
  <c r="D170" i="1"/>
  <c r="D171" i="1"/>
  <c r="D172" i="1"/>
  <c r="D173" i="1"/>
  <c r="D174" i="1"/>
  <c r="D175" i="1"/>
  <c r="D176" i="1"/>
  <c r="D177" i="1"/>
  <c r="D178" i="1"/>
  <c r="E178" i="1" s="1" a="1"/>
  <c r="E178" i="1" s="1"/>
  <c r="H178" i="1" s="1"/>
  <c r="D179" i="1"/>
  <c r="D180" i="1"/>
  <c r="D181" i="1"/>
  <c r="D182" i="1"/>
  <c r="E182" i="1" s="1" a="1"/>
  <c r="E182" i="1" s="1"/>
  <c r="H182" i="1" s="1"/>
  <c r="D183" i="1"/>
  <c r="D184" i="1"/>
  <c r="D185" i="1"/>
  <c r="D186" i="1"/>
  <c r="D187" i="1"/>
  <c r="D188" i="1"/>
  <c r="D189" i="1"/>
  <c r="D190" i="1"/>
  <c r="D191" i="1"/>
  <c r="D192" i="1"/>
  <c r="D193" i="1"/>
  <c r="D194" i="1"/>
  <c r="E194" i="1" s="1" a="1"/>
  <c r="E194" i="1" s="1"/>
  <c r="H194" i="1" s="1"/>
  <c r="D195" i="1"/>
  <c r="D196" i="1"/>
  <c r="D197" i="1"/>
  <c r="D198" i="1"/>
  <c r="E198" i="1" s="1" a="1"/>
  <c r="E198" i="1" s="1"/>
  <c r="H198" i="1" s="1"/>
  <c r="D199" i="1"/>
  <c r="D200" i="1"/>
  <c r="D201" i="1"/>
  <c r="D202" i="1"/>
  <c r="D203" i="1"/>
  <c r="D204" i="1"/>
  <c r="D205" i="1"/>
  <c r="D206" i="1"/>
  <c r="D207" i="1"/>
  <c r="D208" i="1"/>
  <c r="D209" i="1"/>
  <c r="D210" i="1"/>
  <c r="E210" i="1" s="1" a="1"/>
  <c r="E210" i="1" s="1"/>
  <c r="H210" i="1" s="1"/>
  <c r="D211" i="1"/>
  <c r="D212" i="1"/>
  <c r="D213" i="1"/>
  <c r="D214" i="1"/>
  <c r="E214" i="1" s="1" a="1"/>
  <c r="E214" i="1" s="1"/>
  <c r="H214" i="1" s="1"/>
  <c r="D215" i="1"/>
  <c r="D216" i="1"/>
  <c r="D217" i="1"/>
  <c r="D218" i="1"/>
  <c r="D219" i="1"/>
  <c r="D220" i="1"/>
  <c r="D221" i="1"/>
  <c r="D222" i="1"/>
  <c r="D223" i="1"/>
  <c r="D224" i="1"/>
  <c r="D225" i="1"/>
  <c r="D226" i="1"/>
  <c r="E226" i="1" s="1" a="1"/>
  <c r="E226" i="1" s="1"/>
  <c r="H226" i="1" s="1"/>
  <c r="D227" i="1"/>
  <c r="D228" i="1"/>
  <c r="D229" i="1"/>
  <c r="D230" i="1"/>
  <c r="E230" i="1" s="1" a="1"/>
  <c r="E230" i="1" s="1"/>
  <c r="H230" i="1" s="1"/>
  <c r="D231" i="1"/>
  <c r="D232" i="1"/>
  <c r="D233" i="1"/>
  <c r="D234" i="1"/>
  <c r="D235" i="1"/>
  <c r="D236" i="1"/>
  <c r="D237" i="1"/>
  <c r="D238" i="1"/>
  <c r="D239" i="1"/>
  <c r="D240" i="1"/>
  <c r="D241" i="1"/>
  <c r="D242" i="1"/>
  <c r="E242" i="1" s="1" a="1"/>
  <c r="E242" i="1" s="1"/>
  <c r="H242" i="1" s="1"/>
  <c r="D243" i="1"/>
  <c r="D244" i="1"/>
  <c r="D245" i="1"/>
  <c r="D246" i="1"/>
  <c r="E246" i="1" s="1" a="1"/>
  <c r="E246" i="1" s="1"/>
  <c r="H246" i="1" s="1"/>
  <c r="D247" i="1"/>
  <c r="D248" i="1"/>
  <c r="D249" i="1"/>
  <c r="D250" i="1"/>
  <c r="D251" i="1"/>
  <c r="D252" i="1"/>
  <c r="D253" i="1"/>
  <c r="D254" i="1"/>
  <c r="D255" i="1"/>
  <c r="D256" i="1"/>
  <c r="D257" i="1"/>
  <c r="D258" i="1"/>
  <c r="E258" i="1" s="1" a="1"/>
  <c r="E258" i="1" s="1"/>
  <c r="H258" i="1" s="1"/>
  <c r="D259" i="1"/>
  <c r="D260" i="1"/>
  <c r="D261" i="1"/>
  <c r="D262" i="1"/>
  <c r="E262" i="1" s="1" a="1"/>
  <c r="E262" i="1" s="1"/>
  <c r="H262" i="1" s="1"/>
  <c r="D263" i="1"/>
  <c r="D264" i="1"/>
  <c r="D265" i="1"/>
  <c r="D266" i="1"/>
  <c r="D267" i="1"/>
  <c r="D268" i="1"/>
  <c r="D269" i="1"/>
  <c r="D270" i="1"/>
  <c r="D271" i="1"/>
  <c r="D272" i="1"/>
  <c r="D273" i="1"/>
  <c r="D274" i="1"/>
  <c r="E274" i="1" s="1" a="1"/>
  <c r="E274" i="1" s="1"/>
  <c r="H274" i="1" s="1"/>
  <c r="D275" i="1"/>
  <c r="D276" i="1"/>
  <c r="D277" i="1"/>
  <c r="D278" i="1"/>
  <c r="E278" i="1" s="1" a="1"/>
  <c r="E278" i="1" s="1"/>
  <c r="H278" i="1" s="1"/>
  <c r="D279" i="1"/>
  <c r="D280" i="1"/>
  <c r="D281" i="1"/>
  <c r="D282" i="1"/>
  <c r="D283" i="1"/>
  <c r="D284" i="1"/>
  <c r="D285" i="1"/>
  <c r="D286" i="1"/>
  <c r="D287" i="1"/>
  <c r="D288" i="1"/>
  <c r="D289" i="1"/>
  <c r="D290" i="1"/>
  <c r="E290" i="1" s="1" a="1"/>
  <c r="E290" i="1" s="1"/>
  <c r="H290" i="1" s="1"/>
  <c r="D291" i="1"/>
  <c r="D292" i="1"/>
  <c r="D293" i="1"/>
  <c r="D294" i="1"/>
  <c r="E294" i="1" s="1" a="1"/>
  <c r="E294" i="1" s="1"/>
  <c r="H294" i="1" s="1"/>
  <c r="D295" i="1"/>
  <c r="D296" i="1"/>
  <c r="D297" i="1"/>
  <c r="D298" i="1"/>
  <c r="D299" i="1"/>
  <c r="D300" i="1"/>
  <c r="D301" i="1"/>
  <c r="D302" i="1"/>
  <c r="D303" i="1"/>
  <c r="D304" i="1"/>
  <c r="D305" i="1"/>
  <c r="D306" i="1"/>
  <c r="E306" i="1" s="1" a="1"/>
  <c r="E306" i="1" s="1"/>
  <c r="H306" i="1" s="1"/>
  <c r="D307" i="1"/>
  <c r="D308" i="1"/>
  <c r="D309" i="1"/>
  <c r="D310" i="1"/>
  <c r="E310" i="1" s="1" a="1"/>
  <c r="E310" i="1" s="1"/>
  <c r="H310" i="1" s="1"/>
  <c r="D311" i="1"/>
  <c r="D312" i="1"/>
  <c r="D313" i="1"/>
  <c r="D314" i="1"/>
  <c r="D315" i="1"/>
  <c r="D316" i="1"/>
  <c r="D317" i="1"/>
  <c r="D318" i="1"/>
  <c r="D319" i="1"/>
  <c r="D320" i="1"/>
  <c r="D321" i="1"/>
  <c r="D322" i="1"/>
  <c r="E322" i="1" s="1" a="1"/>
  <c r="E322" i="1" s="1"/>
  <c r="H322" i="1" s="1"/>
  <c r="D323" i="1"/>
  <c r="D324" i="1"/>
  <c r="D325" i="1"/>
  <c r="D326" i="1"/>
  <c r="E326" i="1" s="1" a="1"/>
  <c r="E326" i="1" s="1"/>
  <c r="H326" i="1" s="1"/>
  <c r="D327" i="1"/>
  <c r="D328" i="1"/>
  <c r="D329" i="1"/>
  <c r="D330" i="1"/>
  <c r="D331" i="1"/>
  <c r="D332" i="1"/>
  <c r="D333" i="1"/>
  <c r="D334" i="1"/>
  <c r="D335" i="1"/>
  <c r="D336" i="1"/>
  <c r="D337" i="1"/>
  <c r="D338" i="1"/>
  <c r="E338" i="1" s="1" a="1"/>
  <c r="E338" i="1" s="1"/>
  <c r="H338" i="1" s="1"/>
  <c r="D339" i="1"/>
  <c r="D340" i="1"/>
  <c r="D341" i="1"/>
  <c r="D342" i="1"/>
  <c r="E342" i="1" s="1" a="1"/>
  <c r="E342" i="1" s="1"/>
  <c r="H342" i="1" s="1"/>
  <c r="D343" i="1"/>
  <c r="D344" i="1"/>
  <c r="D345" i="1"/>
  <c r="E345" i="1" s="1" a="1"/>
  <c r="E345" i="1" s="1"/>
  <c r="H345" i="1" s="1"/>
  <c r="D346" i="1"/>
  <c r="E346" i="1" s="1" a="1"/>
  <c r="E346" i="1" s="1"/>
  <c r="H346" i="1" s="1"/>
  <c r="D347" i="1"/>
  <c r="D348" i="1"/>
  <c r="D349" i="1"/>
  <c r="E349" i="1" s="1" a="1"/>
  <c r="E349" i="1" s="1"/>
  <c r="H349" i="1" s="1"/>
  <c r="D350" i="1"/>
  <c r="E350" i="1" s="1" a="1"/>
  <c r="E350" i="1" s="1"/>
  <c r="H350" i="1" s="1"/>
  <c r="D351" i="1"/>
  <c r="D352" i="1"/>
  <c r="D353" i="1"/>
  <c r="E353" i="1" s="1" a="1"/>
  <c r="E353" i="1" s="1"/>
  <c r="H353" i="1" s="1"/>
  <c r="D354" i="1"/>
  <c r="E354" i="1" s="1" a="1"/>
  <c r="E354" i="1" s="1"/>
  <c r="H354" i="1" s="1"/>
  <c r="D355" i="1"/>
  <c r="D356" i="1"/>
  <c r="D357" i="1"/>
  <c r="E357" i="1" s="1" a="1"/>
  <c r="E357" i="1" s="1"/>
  <c r="H357" i="1" s="1"/>
  <c r="D358" i="1"/>
  <c r="E358" i="1" s="1" a="1"/>
  <c r="E358" i="1" s="1"/>
  <c r="H358" i="1" s="1"/>
  <c r="D359" i="1"/>
  <c r="D360" i="1"/>
  <c r="D361" i="1"/>
  <c r="E361" i="1" s="1" a="1"/>
  <c r="E361" i="1" s="1"/>
  <c r="H361" i="1" s="1"/>
  <c r="D362" i="1"/>
  <c r="E362" i="1" s="1" a="1"/>
  <c r="E362" i="1" s="1"/>
  <c r="H362" i="1" s="1"/>
  <c r="D363" i="1"/>
  <c r="D364" i="1"/>
  <c r="D365" i="1"/>
  <c r="E365" i="1" s="1" a="1"/>
  <c r="E365" i="1" s="1"/>
  <c r="H365" i="1" s="1"/>
  <c r="D366" i="1"/>
  <c r="E366" i="1" s="1" a="1"/>
  <c r="E366" i="1" s="1"/>
  <c r="H366" i="1" s="1"/>
  <c r="D367" i="1"/>
  <c r="D368" i="1"/>
  <c r="D369" i="1"/>
  <c r="E369" i="1" s="1" a="1"/>
  <c r="E369" i="1" s="1"/>
  <c r="H369" i="1" s="1"/>
  <c r="D370" i="1"/>
  <c r="E370" i="1" s="1" a="1"/>
  <c r="E370" i="1" s="1"/>
  <c r="H370" i="1" s="1"/>
  <c r="D371" i="1"/>
  <c r="D372" i="1"/>
  <c r="D373" i="1"/>
  <c r="E373" i="1" s="1" a="1"/>
  <c r="E373" i="1" s="1"/>
  <c r="H373" i="1" s="1"/>
  <c r="D374" i="1"/>
  <c r="E374" i="1" s="1" a="1"/>
  <c r="E374" i="1" s="1"/>
  <c r="H374" i="1" s="1"/>
  <c r="D375" i="1"/>
  <c r="D376" i="1"/>
  <c r="D377" i="1"/>
  <c r="E377" i="1" s="1" a="1"/>
  <c r="E377" i="1" s="1"/>
  <c r="H377" i="1" s="1"/>
  <c r="D378" i="1"/>
  <c r="E378" i="1" s="1" a="1"/>
  <c r="E378" i="1" s="1"/>
  <c r="H378" i="1" s="1"/>
  <c r="D379" i="1"/>
  <c r="D380" i="1"/>
  <c r="D381" i="1"/>
  <c r="E381" i="1" s="1" a="1"/>
  <c r="E381" i="1" s="1"/>
  <c r="H381" i="1" s="1"/>
  <c r="D382" i="1"/>
  <c r="E382" i="1" s="1" a="1"/>
  <c r="E382" i="1" s="1"/>
  <c r="H382" i="1" s="1"/>
  <c r="D383" i="1"/>
  <c r="D384" i="1"/>
  <c r="D385" i="1"/>
  <c r="E385" i="1" s="1" a="1"/>
  <c r="E385" i="1" s="1"/>
  <c r="H385" i="1" s="1"/>
  <c r="D386" i="1"/>
  <c r="E386" i="1" s="1" a="1"/>
  <c r="E386" i="1" s="1"/>
  <c r="H386" i="1" s="1"/>
  <c r="D387" i="1"/>
  <c r="D388" i="1"/>
  <c r="D389" i="1"/>
  <c r="E389" i="1" s="1" a="1"/>
  <c r="E389" i="1" s="1"/>
  <c r="H389" i="1" s="1"/>
  <c r="D390" i="1"/>
  <c r="E390" i="1" s="1" a="1"/>
  <c r="E390" i="1" s="1"/>
  <c r="H390" i="1" s="1"/>
  <c r="D391" i="1"/>
  <c r="D392" i="1"/>
  <c r="D393" i="1"/>
  <c r="D394" i="1"/>
  <c r="E394" i="1" s="1" a="1"/>
  <c r="E394" i="1" s="1"/>
  <c r="H394" i="1" s="1"/>
  <c r="D395" i="1"/>
  <c r="D396" i="1"/>
  <c r="D397" i="1"/>
  <c r="E397" i="1" s="1" a="1"/>
  <c r="E397" i="1" s="1"/>
  <c r="H397" i="1" s="1"/>
  <c r="D398" i="1"/>
  <c r="E398" i="1" s="1" a="1"/>
  <c r="E398" i="1" s="1"/>
  <c r="H398" i="1" s="1"/>
  <c r="D399" i="1"/>
  <c r="D400" i="1"/>
  <c r="D401" i="1"/>
  <c r="E401" i="1" s="1" a="1"/>
  <c r="E401" i="1" s="1"/>
  <c r="H401" i="1" s="1"/>
  <c r="D402" i="1"/>
  <c r="E402" i="1" s="1" a="1"/>
  <c r="E402" i="1" s="1"/>
  <c r="H402" i="1" s="1"/>
  <c r="D403" i="1"/>
  <c r="D404" i="1"/>
  <c r="D405" i="1"/>
  <c r="E405" i="1" s="1" a="1"/>
  <c r="E405" i="1" s="1"/>
  <c r="H405" i="1" s="1"/>
  <c r="D406" i="1"/>
  <c r="E406" i="1" s="1" a="1"/>
  <c r="E406" i="1" s="1"/>
  <c r="H406" i="1" s="1"/>
  <c r="D407" i="1"/>
  <c r="D408" i="1"/>
  <c r="D409" i="1"/>
  <c r="D410" i="1"/>
  <c r="E410" i="1" s="1" a="1"/>
  <c r="E410" i="1" s="1"/>
  <c r="H410" i="1" s="1"/>
  <c r="D411" i="1"/>
  <c r="D412" i="1"/>
  <c r="D413" i="1"/>
  <c r="E413" i="1" s="1" a="1"/>
  <c r="E413" i="1" s="1"/>
  <c r="H413" i="1" s="1"/>
  <c r="D414" i="1"/>
  <c r="E414" i="1" s="1" a="1"/>
  <c r="E414" i="1" s="1"/>
  <c r="H414" i="1" s="1"/>
  <c r="D415" i="1"/>
  <c r="D416" i="1"/>
  <c r="D417" i="1"/>
  <c r="E417" i="1" s="1" a="1"/>
  <c r="E417" i="1" s="1"/>
  <c r="H417" i="1" s="1"/>
  <c r="D418" i="1"/>
  <c r="E418" i="1" s="1" a="1"/>
  <c r="E418" i="1" s="1"/>
  <c r="H418" i="1" s="1"/>
  <c r="D419" i="1"/>
  <c r="D420" i="1"/>
  <c r="D421" i="1"/>
  <c r="E421" i="1" s="1" a="1"/>
  <c r="E421" i="1" s="1"/>
  <c r="H421" i="1" s="1"/>
  <c r="D422" i="1"/>
  <c r="E422" i="1" s="1" a="1"/>
  <c r="E422" i="1" s="1"/>
  <c r="H422" i="1" s="1"/>
  <c r="D423" i="1"/>
  <c r="D424" i="1"/>
  <c r="D425" i="1"/>
  <c r="D426" i="1"/>
  <c r="E426" i="1" s="1" a="1"/>
  <c r="E426" i="1" s="1"/>
  <c r="H426" i="1" s="1"/>
  <c r="D427" i="1"/>
  <c r="D428" i="1"/>
  <c r="D429" i="1"/>
  <c r="E429" i="1" s="1" a="1"/>
  <c r="E429" i="1" s="1"/>
  <c r="H429" i="1" s="1"/>
  <c r="D430" i="1"/>
  <c r="E430" i="1" s="1" a="1"/>
  <c r="E430" i="1" s="1"/>
  <c r="H430" i="1" s="1"/>
  <c r="D431" i="1"/>
  <c r="D432" i="1"/>
  <c r="D433" i="1"/>
  <c r="E433" i="1" s="1" a="1"/>
  <c r="E433" i="1" s="1"/>
  <c r="H433" i="1" s="1"/>
  <c r="D434" i="1"/>
  <c r="E434" i="1" s="1" a="1"/>
  <c r="E434" i="1" s="1"/>
  <c r="H434" i="1" s="1"/>
  <c r="D435" i="1"/>
  <c r="D436" i="1"/>
  <c r="D437" i="1"/>
  <c r="E437" i="1" s="1" a="1"/>
  <c r="E437" i="1" s="1"/>
  <c r="H437" i="1" s="1"/>
  <c r="D438" i="1"/>
  <c r="E438" i="1" s="1" a="1"/>
  <c r="E438" i="1" s="1"/>
  <c r="H438" i="1" s="1"/>
  <c r="D439" i="1"/>
  <c r="D440" i="1"/>
  <c r="D441" i="1"/>
  <c r="E441" i="1" s="1" a="1"/>
  <c r="E441" i="1" s="1"/>
  <c r="H441" i="1" s="1"/>
  <c r="D442" i="1"/>
  <c r="E442" i="1" s="1" a="1"/>
  <c r="E442" i="1" s="1"/>
  <c r="H442" i="1" s="1"/>
  <c r="D443" i="1"/>
  <c r="D444" i="1"/>
  <c r="D445" i="1"/>
  <c r="E445" i="1" s="1" a="1"/>
  <c r="E445" i="1" s="1"/>
  <c r="H445" i="1" s="1"/>
  <c r="D446" i="1"/>
  <c r="E446" i="1" s="1" a="1"/>
  <c r="E446" i="1" s="1"/>
  <c r="H446" i="1" s="1"/>
  <c r="D447" i="1"/>
  <c r="D448" i="1"/>
  <c r="D449" i="1"/>
  <c r="E449" i="1" s="1" a="1"/>
  <c r="E449" i="1" s="1"/>
  <c r="H449" i="1" s="1"/>
  <c r="D450" i="1"/>
  <c r="E450" i="1" s="1" a="1"/>
  <c r="E450" i="1" s="1"/>
  <c r="H450" i="1" s="1"/>
  <c r="D451" i="1"/>
  <c r="D452" i="1"/>
  <c r="D453" i="1"/>
  <c r="E453" i="1" s="1" a="1"/>
  <c r="E453" i="1" s="1"/>
  <c r="H453" i="1" s="1"/>
  <c r="D454" i="1"/>
  <c r="E454" i="1" s="1" a="1"/>
  <c r="E454" i="1" s="1"/>
  <c r="H454" i="1" s="1"/>
  <c r="D455" i="1"/>
  <c r="D456" i="1"/>
  <c r="D457" i="1"/>
  <c r="E457" i="1" s="1" a="1"/>
  <c r="E457" i="1" s="1"/>
  <c r="H457" i="1" s="1"/>
  <c r="D458" i="1"/>
  <c r="E458" i="1" s="1" a="1"/>
  <c r="E458" i="1" s="1"/>
  <c r="H458" i="1" s="1"/>
  <c r="D459" i="1"/>
  <c r="D460" i="1"/>
  <c r="D461" i="1"/>
  <c r="E461" i="1" s="1" a="1"/>
  <c r="E461" i="1" s="1"/>
  <c r="H461" i="1" s="1"/>
  <c r="D462" i="1"/>
  <c r="E462" i="1" s="1" a="1"/>
  <c r="E462" i="1" s="1"/>
  <c r="H462" i="1" s="1"/>
  <c r="D463" i="1"/>
  <c r="D464" i="1"/>
  <c r="D465" i="1"/>
  <c r="E465" i="1" s="1" a="1"/>
  <c r="E465" i="1" s="1"/>
  <c r="H465" i="1" s="1"/>
  <c r="D466" i="1"/>
  <c r="E466" i="1" s="1" a="1"/>
  <c r="E466" i="1" s="1"/>
  <c r="H466" i="1" s="1"/>
  <c r="D467" i="1"/>
  <c r="D468" i="1"/>
  <c r="D469" i="1"/>
  <c r="E469" i="1" s="1" a="1"/>
  <c r="E469" i="1" s="1"/>
  <c r="H469" i="1" s="1"/>
  <c r="D470" i="1"/>
  <c r="E470" i="1" s="1" a="1"/>
  <c r="E470" i="1" s="1"/>
  <c r="H470" i="1" s="1"/>
  <c r="D471" i="1"/>
  <c r="D472" i="1"/>
  <c r="D473" i="1"/>
  <c r="E473" i="1" s="1" a="1"/>
  <c r="E473" i="1" s="1"/>
  <c r="H473" i="1" s="1"/>
  <c r="D474" i="1"/>
  <c r="E474" i="1" s="1" a="1"/>
  <c r="E474" i="1" s="1"/>
  <c r="H474" i="1" s="1"/>
  <c r="D475" i="1"/>
  <c r="D476" i="1"/>
  <c r="D477" i="1"/>
  <c r="E477" i="1" s="1" a="1"/>
  <c r="E477" i="1" s="1"/>
  <c r="H477" i="1" s="1"/>
  <c r="D478" i="1"/>
  <c r="E478" i="1" s="1" a="1"/>
  <c r="E478" i="1" s="1"/>
  <c r="H478" i="1" s="1"/>
  <c r="D479" i="1"/>
  <c r="D480" i="1"/>
  <c r="D481" i="1"/>
  <c r="E481" i="1" s="1" a="1"/>
  <c r="E481" i="1" s="1"/>
  <c r="H481" i="1" s="1"/>
  <c r="D482" i="1"/>
  <c r="E482" i="1" s="1" a="1"/>
  <c r="E482" i="1" s="1"/>
  <c r="H482" i="1" s="1"/>
  <c r="D483" i="1"/>
  <c r="D484" i="1"/>
  <c r="D485" i="1"/>
  <c r="E485" i="1" s="1" a="1"/>
  <c r="E485" i="1" s="1"/>
  <c r="H485" i="1" s="1"/>
  <c r="D486" i="1"/>
  <c r="E486" i="1" s="1" a="1"/>
  <c r="E486" i="1" s="1"/>
  <c r="H486" i="1" s="1"/>
  <c r="D487" i="1"/>
  <c r="D488" i="1"/>
  <c r="D489" i="1"/>
  <c r="E489" i="1" s="1" a="1"/>
  <c r="E489" i="1" s="1"/>
  <c r="H489" i="1" s="1"/>
  <c r="D490" i="1"/>
  <c r="E490" i="1" s="1" a="1"/>
  <c r="E490" i="1" s="1"/>
  <c r="H490" i="1" s="1"/>
  <c r="D491" i="1"/>
  <c r="D492" i="1"/>
  <c r="D493" i="1"/>
  <c r="E493" i="1" s="1" a="1"/>
  <c r="E493" i="1" s="1"/>
  <c r="H493" i="1" s="1"/>
  <c r="D494" i="1"/>
  <c r="E494" i="1" s="1" a="1"/>
  <c r="E494" i="1" s="1"/>
  <c r="H494" i="1" s="1"/>
  <c r="D495" i="1"/>
  <c r="D496" i="1"/>
  <c r="D497" i="1"/>
  <c r="E497" i="1" s="1" a="1"/>
  <c r="E497" i="1" s="1"/>
  <c r="H497" i="1" s="1"/>
  <c r="D498" i="1"/>
  <c r="E498" i="1" s="1" a="1"/>
  <c r="E498" i="1" s="1"/>
  <c r="H498" i="1" s="1"/>
  <c r="D499" i="1"/>
  <c r="D500" i="1"/>
  <c r="D501" i="1"/>
  <c r="E501" i="1" s="1" a="1"/>
  <c r="E501" i="1" s="1"/>
  <c r="H501" i="1" s="1"/>
  <c r="D502" i="1"/>
  <c r="E502" i="1" s="1" a="1"/>
  <c r="E502" i="1" s="1"/>
  <c r="H502" i="1" s="1"/>
  <c r="D503" i="1"/>
  <c r="D504" i="1"/>
  <c r="D505" i="1"/>
  <c r="E505" i="1" s="1" a="1"/>
  <c r="E505" i="1" s="1"/>
  <c r="H505" i="1" s="1"/>
  <c r="D506" i="1"/>
  <c r="E506" i="1" s="1" a="1"/>
  <c r="E506" i="1" s="1"/>
  <c r="H506" i="1" s="1"/>
  <c r="D507" i="1"/>
  <c r="D508" i="1"/>
  <c r="D509" i="1"/>
  <c r="D510" i="1"/>
  <c r="E510" i="1" s="1" a="1"/>
  <c r="E510" i="1" s="1"/>
  <c r="H510" i="1" s="1"/>
  <c r="D511" i="1"/>
  <c r="D512" i="1"/>
  <c r="D513" i="1"/>
  <c r="D514" i="1"/>
  <c r="E514" i="1" s="1" a="1"/>
  <c r="E514" i="1" s="1"/>
  <c r="H514" i="1" s="1"/>
  <c r="D515" i="1"/>
  <c r="D516" i="1"/>
  <c r="D517" i="1"/>
  <c r="D518" i="1"/>
  <c r="E518" i="1" s="1" a="1"/>
  <c r="E518" i="1" s="1"/>
  <c r="H518" i="1" s="1"/>
  <c r="D519" i="1"/>
  <c r="D520" i="1"/>
  <c r="D521" i="1"/>
  <c r="D522" i="1"/>
  <c r="E522" i="1" s="1" a="1"/>
  <c r="E522" i="1" s="1"/>
  <c r="H522" i="1" s="1"/>
  <c r="D523" i="1"/>
  <c r="D524" i="1"/>
  <c r="D525" i="1"/>
  <c r="D526" i="1"/>
  <c r="E526" i="1" s="1" a="1"/>
  <c r="E526" i="1" s="1"/>
  <c r="H526" i="1" s="1"/>
  <c r="D527" i="1"/>
  <c r="D528" i="1"/>
  <c r="D529" i="1"/>
  <c r="D530" i="1"/>
  <c r="E530" i="1" s="1" a="1"/>
  <c r="E530" i="1" s="1"/>
  <c r="H530" i="1" s="1"/>
  <c r="D531" i="1"/>
  <c r="D532" i="1"/>
  <c r="D533" i="1"/>
  <c r="D534" i="1"/>
  <c r="E534" i="1" s="1" a="1"/>
  <c r="E534" i="1" s="1"/>
  <c r="H534" i="1" s="1"/>
  <c r="D535" i="1"/>
  <c r="D536" i="1"/>
  <c r="D537" i="1"/>
  <c r="D538" i="1"/>
  <c r="E538" i="1" s="1" a="1"/>
  <c r="E538" i="1" s="1"/>
  <c r="H538" i="1" s="1"/>
  <c r="D539" i="1"/>
  <c r="D540" i="1"/>
  <c r="D541" i="1"/>
  <c r="D542" i="1"/>
  <c r="E542" i="1" s="1" a="1"/>
  <c r="E542" i="1" s="1"/>
  <c r="H542" i="1" s="1"/>
  <c r="D543" i="1"/>
  <c r="D544" i="1"/>
  <c r="D545" i="1"/>
  <c r="D546" i="1"/>
  <c r="E546" i="1" s="1" a="1"/>
  <c r="E546" i="1" s="1"/>
  <c r="H546" i="1" s="1"/>
  <c r="D547" i="1"/>
  <c r="D548" i="1"/>
  <c r="D549" i="1"/>
  <c r="D550" i="1"/>
  <c r="E550" i="1" s="1" a="1"/>
  <c r="E550" i="1" s="1"/>
  <c r="H550" i="1" s="1"/>
  <c r="D551" i="1"/>
  <c r="D552" i="1"/>
  <c r="D553" i="1"/>
  <c r="D554" i="1"/>
  <c r="E554" i="1" s="1" a="1"/>
  <c r="E554" i="1" s="1"/>
  <c r="H554" i="1" s="1"/>
  <c r="D555" i="1"/>
  <c r="D556" i="1"/>
  <c r="D557" i="1"/>
  <c r="D558" i="1"/>
  <c r="E558" i="1" s="1" a="1"/>
  <c r="E558" i="1" s="1"/>
  <c r="H558" i="1" s="1"/>
  <c r="D559" i="1"/>
  <c r="D560" i="1"/>
  <c r="D561" i="1"/>
  <c r="D562" i="1"/>
  <c r="E562" i="1" s="1" a="1"/>
  <c r="E562" i="1" s="1"/>
  <c r="H562" i="1" s="1"/>
  <c r="D563" i="1"/>
  <c r="D564" i="1"/>
  <c r="D565" i="1"/>
  <c r="D566" i="1"/>
  <c r="E566" i="1" s="1" a="1"/>
  <c r="E566" i="1" s="1"/>
  <c r="H566" i="1" s="1"/>
  <c r="D567" i="1"/>
  <c r="D568" i="1"/>
  <c r="D569" i="1"/>
  <c r="D570" i="1"/>
  <c r="E570" i="1" s="1" a="1"/>
  <c r="E570" i="1" s="1"/>
  <c r="H570" i="1" s="1"/>
  <c r="D571" i="1"/>
  <c r="D572" i="1"/>
  <c r="D573" i="1"/>
  <c r="D574" i="1"/>
  <c r="E574" i="1" s="1" a="1"/>
  <c r="E574" i="1" s="1"/>
  <c r="H574" i="1" s="1"/>
  <c r="D575" i="1"/>
  <c r="D576" i="1"/>
  <c r="D577" i="1"/>
  <c r="D578" i="1"/>
  <c r="E578" i="1" s="1" a="1"/>
  <c r="E578" i="1" s="1"/>
  <c r="H578" i="1" s="1"/>
  <c r="D579" i="1"/>
  <c r="D580" i="1"/>
  <c r="D581" i="1"/>
  <c r="D582" i="1"/>
  <c r="E582" i="1" s="1" a="1"/>
  <c r="E582" i="1" s="1"/>
  <c r="H582" i="1" s="1"/>
  <c r="D583" i="1"/>
  <c r="D584" i="1"/>
  <c r="D585" i="1"/>
  <c r="D586" i="1"/>
  <c r="E586" i="1" s="1" a="1"/>
  <c r="E586" i="1" s="1"/>
  <c r="H586" i="1" s="1"/>
  <c r="D587" i="1"/>
  <c r="D588" i="1"/>
  <c r="D589" i="1"/>
  <c r="D590" i="1"/>
  <c r="E590" i="1" s="1" a="1"/>
  <c r="E590" i="1" s="1"/>
  <c r="H590" i="1" s="1"/>
  <c r="D591" i="1"/>
  <c r="D592" i="1"/>
  <c r="D593" i="1"/>
  <c r="D594" i="1"/>
  <c r="E594" i="1" s="1" a="1"/>
  <c r="E594" i="1" s="1"/>
  <c r="H594" i="1" s="1"/>
  <c r="D595" i="1"/>
  <c r="D596" i="1"/>
  <c r="D597" i="1"/>
  <c r="D598" i="1"/>
  <c r="E598" i="1" s="1" a="1"/>
  <c r="E598" i="1" s="1"/>
  <c r="H598" i="1" s="1"/>
  <c r="D599" i="1"/>
  <c r="D600" i="1"/>
  <c r="D601" i="1"/>
  <c r="D602" i="1"/>
  <c r="E602" i="1" s="1" a="1"/>
  <c r="E602" i="1" s="1"/>
  <c r="H602" i="1" s="1"/>
  <c r="D603" i="1"/>
  <c r="D604" i="1"/>
  <c r="D605" i="1"/>
  <c r="D606" i="1"/>
  <c r="E606" i="1" s="1" a="1"/>
  <c r="E606" i="1" s="1"/>
  <c r="H606" i="1" s="1"/>
  <c r="D607" i="1"/>
  <c r="D608" i="1"/>
  <c r="D609" i="1"/>
  <c r="D610" i="1"/>
  <c r="E610" i="1" s="1" a="1"/>
  <c r="E610" i="1" s="1"/>
  <c r="H610" i="1" s="1"/>
  <c r="D611" i="1"/>
  <c r="D612" i="1"/>
  <c r="D613" i="1"/>
  <c r="D614" i="1"/>
  <c r="E614" i="1" s="1" a="1"/>
  <c r="E614" i="1" s="1"/>
  <c r="H614" i="1" s="1"/>
  <c r="D615" i="1"/>
  <c r="D616" i="1"/>
  <c r="D617" i="1"/>
  <c r="D618" i="1"/>
  <c r="E618" i="1" s="1" a="1"/>
  <c r="E618" i="1" s="1"/>
  <c r="H618" i="1" s="1"/>
  <c r="D619" i="1"/>
  <c r="D620" i="1"/>
  <c r="D621" i="1"/>
  <c r="D622" i="1"/>
  <c r="E622" i="1" s="1" a="1"/>
  <c r="E622" i="1" s="1"/>
  <c r="H622" i="1" s="1"/>
  <c r="D623" i="1"/>
  <c r="D624" i="1"/>
  <c r="D625" i="1"/>
  <c r="D626" i="1"/>
  <c r="E626" i="1" s="1" a="1"/>
  <c r="E626" i="1" s="1"/>
  <c r="H626" i="1" s="1"/>
  <c r="D627" i="1"/>
  <c r="D628" i="1"/>
  <c r="D629" i="1"/>
  <c r="D630" i="1"/>
  <c r="E630" i="1" s="1" a="1"/>
  <c r="E630" i="1" s="1"/>
  <c r="H630" i="1" s="1"/>
  <c r="D631" i="1"/>
  <c r="D632" i="1"/>
  <c r="D633" i="1"/>
  <c r="D634" i="1"/>
  <c r="E634" i="1" s="1" a="1"/>
  <c r="E634" i="1" s="1"/>
  <c r="H634" i="1" s="1"/>
  <c r="D635" i="1"/>
  <c r="D636" i="1"/>
  <c r="D637" i="1"/>
  <c r="D638" i="1"/>
  <c r="E638" i="1" s="1" a="1"/>
  <c r="E638" i="1" s="1"/>
  <c r="H638" i="1" s="1"/>
  <c r="D639" i="1"/>
  <c r="D640" i="1"/>
  <c r="D641" i="1"/>
  <c r="D642" i="1"/>
  <c r="E642" i="1" s="1" a="1"/>
  <c r="E642" i="1" s="1"/>
  <c r="H642" i="1" s="1"/>
  <c r="D643" i="1"/>
  <c r="D644" i="1"/>
  <c r="D645" i="1"/>
  <c r="D646" i="1"/>
  <c r="E646" i="1" s="1" a="1"/>
  <c r="E646" i="1" s="1"/>
  <c r="H646" i="1" s="1"/>
  <c r="D647" i="1"/>
  <c r="D648" i="1"/>
  <c r="D649" i="1"/>
  <c r="D650" i="1"/>
  <c r="E650" i="1" s="1" a="1"/>
  <c r="E650" i="1" s="1"/>
  <c r="H650" i="1" s="1"/>
  <c r="D651" i="1"/>
  <c r="D652" i="1"/>
  <c r="D653" i="1"/>
  <c r="D654" i="1"/>
  <c r="E654" i="1" s="1" a="1"/>
  <c r="E654" i="1" s="1"/>
  <c r="H654" i="1" s="1"/>
  <c r="D655" i="1"/>
  <c r="D656" i="1"/>
  <c r="D657" i="1"/>
  <c r="D658" i="1"/>
  <c r="E658" i="1" s="1" a="1"/>
  <c r="E658" i="1" s="1"/>
  <c r="H658" i="1" s="1"/>
  <c r="D659" i="1"/>
  <c r="D660" i="1"/>
  <c r="D661" i="1"/>
  <c r="D662" i="1"/>
  <c r="E662" i="1" s="1" a="1"/>
  <c r="E662" i="1" s="1"/>
  <c r="H662" i="1" s="1"/>
  <c r="D663" i="1"/>
  <c r="D664" i="1"/>
  <c r="D665" i="1"/>
  <c r="D666" i="1"/>
  <c r="E666" i="1" s="1" a="1"/>
  <c r="E666" i="1" s="1"/>
  <c r="H666" i="1" s="1"/>
  <c r="D667" i="1"/>
  <c r="D668" i="1"/>
  <c r="D669" i="1"/>
  <c r="D670" i="1"/>
  <c r="E670" i="1" s="1" a="1"/>
  <c r="E670" i="1" s="1"/>
  <c r="H670" i="1" s="1"/>
  <c r="D671" i="1"/>
  <c r="D672" i="1"/>
  <c r="D673" i="1"/>
  <c r="D674" i="1"/>
  <c r="E674" i="1" s="1" a="1"/>
  <c r="E674" i="1" s="1"/>
  <c r="H674" i="1" s="1"/>
  <c r="D675" i="1"/>
  <c r="D676" i="1"/>
  <c r="D677" i="1"/>
  <c r="D678" i="1"/>
  <c r="E678" i="1" s="1" a="1"/>
  <c r="E678" i="1" s="1"/>
  <c r="H678" i="1" s="1"/>
  <c r="D679" i="1"/>
  <c r="D680" i="1"/>
  <c r="D681" i="1"/>
  <c r="D682" i="1"/>
  <c r="E682" i="1" s="1" a="1"/>
  <c r="E682" i="1" s="1"/>
  <c r="H682" i="1" s="1"/>
  <c r="D683" i="1"/>
  <c r="D684" i="1"/>
  <c r="D685" i="1"/>
  <c r="D686" i="1"/>
  <c r="E686" i="1" s="1" a="1"/>
  <c r="E686" i="1" s="1"/>
  <c r="H686" i="1" s="1"/>
  <c r="D687" i="1"/>
  <c r="D688" i="1"/>
  <c r="D689" i="1"/>
  <c r="D690" i="1"/>
  <c r="E690" i="1" s="1" a="1"/>
  <c r="E690" i="1" s="1"/>
  <c r="H690" i="1" s="1"/>
  <c r="D691" i="1"/>
  <c r="D692" i="1"/>
  <c r="D693" i="1"/>
  <c r="D694" i="1"/>
  <c r="E694" i="1" s="1" a="1"/>
  <c r="E694" i="1" s="1"/>
  <c r="H694" i="1" s="1"/>
  <c r="D695" i="1"/>
  <c r="D696" i="1"/>
  <c r="D697" i="1"/>
  <c r="D698" i="1"/>
  <c r="E698" i="1" s="1" a="1"/>
  <c r="E698" i="1" s="1"/>
  <c r="H698" i="1" s="1"/>
  <c r="D699" i="1"/>
  <c r="D700" i="1"/>
  <c r="D701" i="1"/>
  <c r="D702" i="1"/>
  <c r="E702" i="1" s="1" a="1"/>
  <c r="E702" i="1" s="1"/>
  <c r="H702" i="1" s="1"/>
  <c r="D703" i="1"/>
  <c r="D704" i="1"/>
  <c r="D705" i="1"/>
  <c r="D706" i="1"/>
  <c r="E706" i="1" s="1" a="1"/>
  <c r="E706" i="1" s="1"/>
  <c r="H706" i="1" s="1"/>
  <c r="D707" i="1"/>
  <c r="D708" i="1"/>
  <c r="D709" i="1"/>
  <c r="D710" i="1"/>
  <c r="E710" i="1" s="1" a="1"/>
  <c r="E710" i="1" s="1"/>
  <c r="H710" i="1" s="1"/>
  <c r="D711" i="1"/>
  <c r="D712" i="1"/>
  <c r="D713" i="1"/>
  <c r="D714" i="1"/>
  <c r="E714" i="1" s="1" a="1"/>
  <c r="E714" i="1" s="1"/>
  <c r="H714" i="1" s="1"/>
  <c r="D715" i="1"/>
  <c r="D716" i="1"/>
  <c r="D717" i="1"/>
  <c r="D718" i="1"/>
  <c r="E718" i="1" s="1" a="1"/>
  <c r="E718" i="1" s="1"/>
  <c r="H718" i="1" s="1"/>
  <c r="D719" i="1"/>
  <c r="D720" i="1"/>
  <c r="D721" i="1"/>
  <c r="D722" i="1"/>
  <c r="E722" i="1" s="1" a="1"/>
  <c r="E722" i="1" s="1"/>
  <c r="H722" i="1" s="1"/>
  <c r="D723" i="1"/>
  <c r="D724" i="1"/>
  <c r="D725" i="1"/>
  <c r="D726" i="1"/>
  <c r="E726" i="1" s="1" a="1"/>
  <c r="E726" i="1" s="1"/>
  <c r="H726" i="1" s="1"/>
  <c r="D727" i="1"/>
  <c r="D728" i="1"/>
  <c r="D729" i="1"/>
  <c r="D730" i="1"/>
  <c r="E730" i="1" s="1" a="1"/>
  <c r="E730" i="1" s="1"/>
  <c r="H730" i="1" s="1"/>
  <c r="D731" i="1"/>
  <c r="D732" i="1"/>
  <c r="D733" i="1"/>
  <c r="D734" i="1"/>
  <c r="E734" i="1" s="1" a="1"/>
  <c r="E734" i="1" s="1"/>
  <c r="H734" i="1" s="1"/>
  <c r="D735" i="1"/>
  <c r="D736" i="1"/>
  <c r="D737" i="1"/>
  <c r="D738" i="1"/>
  <c r="E738" i="1" s="1" a="1"/>
  <c r="E738" i="1" s="1"/>
  <c r="H738" i="1" s="1"/>
  <c r="D739" i="1"/>
  <c r="D740" i="1"/>
  <c r="D741" i="1"/>
  <c r="D742" i="1"/>
  <c r="E742" i="1" s="1" a="1"/>
  <c r="E742" i="1" s="1"/>
  <c r="H742" i="1" s="1"/>
  <c r="D743" i="1"/>
  <c r="D744" i="1"/>
  <c r="D745" i="1"/>
  <c r="D746" i="1"/>
  <c r="E746" i="1" s="1" a="1"/>
  <c r="E746" i="1" s="1"/>
  <c r="H746" i="1" s="1"/>
  <c r="D747" i="1"/>
  <c r="D748" i="1"/>
  <c r="D749" i="1"/>
  <c r="D750" i="1"/>
  <c r="E750" i="1" s="1" a="1"/>
  <c r="E750" i="1" s="1"/>
  <c r="H750" i="1" s="1"/>
  <c r="D751" i="1"/>
  <c r="D752" i="1"/>
  <c r="D753" i="1"/>
  <c r="D754" i="1"/>
  <c r="E754" i="1" s="1" a="1"/>
  <c r="E754" i="1" s="1"/>
  <c r="H754" i="1" s="1"/>
  <c r="D755" i="1"/>
  <c r="D756" i="1"/>
  <c r="D757" i="1"/>
  <c r="D758" i="1"/>
  <c r="E758" i="1" s="1" a="1"/>
  <c r="E758" i="1" s="1"/>
  <c r="H758" i="1" s="1"/>
  <c r="D759" i="1"/>
  <c r="D760" i="1"/>
  <c r="D761" i="1"/>
  <c r="D762" i="1"/>
  <c r="E762" i="1" s="1" a="1"/>
  <c r="E762" i="1" s="1"/>
  <c r="H762" i="1" s="1"/>
  <c r="D763" i="1"/>
  <c r="D764" i="1"/>
  <c r="D765" i="1"/>
  <c r="D766" i="1"/>
  <c r="E766" i="1" s="1" a="1"/>
  <c r="E766" i="1" s="1"/>
  <c r="H766" i="1" s="1"/>
  <c r="D767" i="1"/>
  <c r="D768" i="1"/>
  <c r="D769" i="1"/>
  <c r="D770" i="1"/>
  <c r="E770" i="1" s="1" a="1"/>
  <c r="E770" i="1" s="1"/>
  <c r="H770" i="1" s="1"/>
  <c r="D771" i="1"/>
  <c r="D772" i="1"/>
  <c r="D773" i="1"/>
  <c r="D774" i="1"/>
  <c r="E774" i="1" s="1" a="1"/>
  <c r="E774" i="1" s="1"/>
  <c r="H774" i="1" s="1"/>
  <c r="D775" i="1"/>
  <c r="D776" i="1"/>
  <c r="D777" i="1"/>
  <c r="D778" i="1"/>
  <c r="E778" i="1" s="1" a="1"/>
  <c r="E778" i="1" s="1"/>
  <c r="H778" i="1" s="1"/>
  <c r="D779" i="1"/>
  <c r="D780" i="1"/>
  <c r="D781" i="1"/>
  <c r="D782" i="1"/>
  <c r="E782" i="1" s="1" a="1"/>
  <c r="E782" i="1" s="1"/>
  <c r="H782" i="1" s="1"/>
  <c r="D783" i="1"/>
  <c r="D784" i="1"/>
  <c r="D785" i="1"/>
  <c r="D786" i="1"/>
  <c r="E786" i="1" s="1" a="1"/>
  <c r="E786" i="1" s="1"/>
  <c r="H786" i="1" s="1"/>
  <c r="D787" i="1"/>
  <c r="D788" i="1"/>
  <c r="D789" i="1"/>
  <c r="D790" i="1"/>
  <c r="E790" i="1" s="1" a="1"/>
  <c r="E790" i="1" s="1"/>
  <c r="H790" i="1" s="1"/>
  <c r="D791" i="1"/>
  <c r="D792" i="1"/>
  <c r="D793" i="1"/>
  <c r="D794" i="1"/>
  <c r="E794" i="1" s="1" a="1"/>
  <c r="E794" i="1" s="1"/>
  <c r="H794" i="1" s="1"/>
  <c r="D795" i="1"/>
  <c r="D796" i="1"/>
  <c r="D797" i="1"/>
  <c r="D798" i="1"/>
  <c r="E798" i="1" s="1" a="1"/>
  <c r="E798" i="1" s="1"/>
  <c r="H798" i="1" s="1"/>
  <c r="D799" i="1"/>
  <c r="D800" i="1"/>
  <c r="D801" i="1"/>
  <c r="D802" i="1"/>
  <c r="E802" i="1" s="1" a="1"/>
  <c r="E802" i="1" s="1"/>
  <c r="H802" i="1" s="1"/>
  <c r="D803" i="1"/>
  <c r="D804" i="1"/>
  <c r="D805" i="1"/>
  <c r="D806" i="1"/>
  <c r="E806" i="1" s="1" a="1"/>
  <c r="E806" i="1" s="1"/>
  <c r="H806" i="1" s="1"/>
  <c r="D807" i="1"/>
  <c r="D808" i="1"/>
  <c r="D809" i="1"/>
  <c r="D810" i="1"/>
  <c r="E810" i="1" s="1" a="1"/>
  <c r="E810" i="1" s="1"/>
  <c r="H810" i="1" s="1"/>
  <c r="D811" i="1"/>
  <c r="D812" i="1"/>
  <c r="D813" i="1"/>
  <c r="D814" i="1"/>
  <c r="E814" i="1" s="1" a="1"/>
  <c r="E814" i="1" s="1"/>
  <c r="H814" i="1" s="1"/>
  <c r="D815" i="1"/>
  <c r="D816" i="1"/>
  <c r="D817" i="1"/>
  <c r="D818" i="1"/>
  <c r="E818" i="1" s="1" a="1"/>
  <c r="E818" i="1" s="1"/>
  <c r="H818" i="1" s="1"/>
  <c r="D819" i="1"/>
  <c r="D820" i="1"/>
  <c r="D821" i="1"/>
  <c r="D822" i="1"/>
  <c r="E822" i="1" s="1" a="1"/>
  <c r="E822" i="1" s="1"/>
  <c r="H822" i="1" s="1"/>
  <c r="D823" i="1"/>
  <c r="D824" i="1"/>
  <c r="D825" i="1"/>
  <c r="D826" i="1"/>
  <c r="E826" i="1" s="1" a="1"/>
  <c r="E826" i="1" s="1"/>
  <c r="H826" i="1" s="1"/>
  <c r="D827" i="1"/>
  <c r="D828" i="1"/>
  <c r="D829" i="1"/>
  <c r="D830" i="1"/>
  <c r="E830" i="1" s="1" a="1"/>
  <c r="E830" i="1" s="1"/>
  <c r="H830" i="1" s="1"/>
  <c r="D831" i="1"/>
  <c r="D832" i="1"/>
  <c r="D833" i="1"/>
  <c r="D834" i="1"/>
  <c r="E834" i="1" s="1" a="1"/>
  <c r="E834" i="1" s="1"/>
  <c r="H834" i="1" s="1"/>
  <c r="D835" i="1"/>
  <c r="D836" i="1"/>
  <c r="D837" i="1"/>
  <c r="D838" i="1"/>
  <c r="E838" i="1" s="1" a="1"/>
  <c r="E838" i="1" s="1"/>
  <c r="H838" i="1" s="1"/>
  <c r="D839" i="1"/>
  <c r="D840" i="1"/>
  <c r="D841" i="1"/>
  <c r="D842" i="1"/>
  <c r="E842" i="1" s="1" a="1"/>
  <c r="E842" i="1" s="1"/>
  <c r="H842" i="1" s="1"/>
  <c r="D843" i="1"/>
  <c r="D844" i="1"/>
  <c r="D845" i="1"/>
  <c r="D846" i="1"/>
  <c r="E846" i="1" s="1" a="1"/>
  <c r="E846" i="1" s="1"/>
  <c r="H846" i="1" s="1"/>
  <c r="D847" i="1"/>
  <c r="D848" i="1"/>
  <c r="D849" i="1"/>
  <c r="D850" i="1"/>
  <c r="E850" i="1" s="1" a="1"/>
  <c r="E850" i="1" s="1"/>
  <c r="H850" i="1" s="1"/>
  <c r="D851" i="1"/>
  <c r="D852" i="1"/>
  <c r="D853" i="1"/>
  <c r="D854" i="1"/>
  <c r="E854" i="1" s="1" a="1"/>
  <c r="E854" i="1" s="1"/>
  <c r="H854" i="1" s="1"/>
  <c r="D855" i="1"/>
  <c r="D856" i="1"/>
  <c r="D857" i="1"/>
  <c r="D858" i="1"/>
  <c r="E858" i="1" s="1" a="1"/>
  <c r="E858" i="1" s="1"/>
  <c r="G858" i="1" s="1"/>
  <c r="D859" i="1"/>
  <c r="D860" i="1"/>
  <c r="D861" i="1"/>
  <c r="D862" i="1"/>
  <c r="E862" i="1" s="1" a="1"/>
  <c r="E862" i="1" s="1"/>
  <c r="H862" i="1" s="1"/>
  <c r="D863" i="1"/>
  <c r="D864" i="1"/>
  <c r="D865" i="1"/>
  <c r="D866" i="1"/>
  <c r="E866" i="1" s="1" a="1"/>
  <c r="E866" i="1" s="1"/>
  <c r="H866" i="1" s="1"/>
  <c r="D867" i="1"/>
  <c r="D868" i="1"/>
  <c r="D869" i="1"/>
  <c r="D870" i="1"/>
  <c r="E870" i="1" s="1" a="1"/>
  <c r="E870" i="1" s="1"/>
  <c r="G870" i="1" s="1"/>
  <c r="D871" i="1"/>
  <c r="D872" i="1"/>
  <c r="D873" i="1"/>
  <c r="D874" i="1"/>
  <c r="E874" i="1" s="1" a="1"/>
  <c r="E874" i="1" s="1"/>
  <c r="H874" i="1" s="1"/>
  <c r="D875" i="1"/>
  <c r="D876" i="1"/>
  <c r="D877" i="1"/>
  <c r="D878" i="1"/>
  <c r="E878" i="1" s="1" a="1"/>
  <c r="E878" i="1" s="1"/>
  <c r="H878" i="1" s="1"/>
  <c r="D879" i="1"/>
  <c r="D880" i="1"/>
  <c r="D881" i="1"/>
  <c r="D882" i="1"/>
  <c r="E882" i="1" s="1" a="1"/>
  <c r="E882" i="1" s="1"/>
  <c r="H882" i="1" s="1"/>
  <c r="D883" i="1"/>
  <c r="D884" i="1"/>
  <c r="D885" i="1"/>
  <c r="D886" i="1"/>
  <c r="E886" i="1" s="1" a="1"/>
  <c r="E886" i="1" s="1"/>
  <c r="H886" i="1" s="1"/>
  <c r="D887" i="1"/>
  <c r="D888" i="1"/>
  <c r="D889" i="1"/>
  <c r="D890" i="1"/>
  <c r="E890" i="1" s="1" a="1"/>
  <c r="E890" i="1" s="1"/>
  <c r="G890" i="1" s="1"/>
  <c r="D891" i="1"/>
  <c r="D892" i="1"/>
  <c r="D893" i="1"/>
  <c r="D894" i="1"/>
  <c r="E894" i="1" s="1" a="1"/>
  <c r="E894" i="1" s="1"/>
  <c r="H894" i="1" s="1"/>
  <c r="D895" i="1"/>
  <c r="D896" i="1"/>
  <c r="D897" i="1"/>
  <c r="D898" i="1"/>
  <c r="E898" i="1" s="1" a="1"/>
  <c r="E898" i="1" s="1"/>
  <c r="H898" i="1" s="1"/>
  <c r="D899" i="1"/>
  <c r="D900" i="1"/>
  <c r="D901" i="1"/>
  <c r="D902" i="1"/>
  <c r="E902" i="1" s="1" a="1"/>
  <c r="E902" i="1" s="1"/>
  <c r="G902" i="1" s="1"/>
  <c r="D903" i="1"/>
  <c r="D904" i="1"/>
  <c r="D905" i="1"/>
  <c r="D906" i="1"/>
  <c r="E906" i="1" s="1" a="1"/>
  <c r="E906" i="1" s="1"/>
  <c r="H906" i="1" s="1"/>
  <c r="D907" i="1"/>
  <c r="D908" i="1"/>
  <c r="D909" i="1"/>
  <c r="D910" i="1"/>
  <c r="E910" i="1" s="1" a="1"/>
  <c r="E910" i="1" s="1"/>
  <c r="H910" i="1" s="1"/>
  <c r="D911" i="1"/>
  <c r="D912" i="1"/>
  <c r="D913" i="1"/>
  <c r="D914" i="1"/>
  <c r="E914" i="1" s="1" a="1"/>
  <c r="E914" i="1" s="1"/>
  <c r="H914" i="1" s="1"/>
  <c r="D915" i="1"/>
  <c r="D916" i="1"/>
  <c r="D917" i="1"/>
  <c r="D918" i="1"/>
  <c r="E918" i="1" s="1" a="1"/>
  <c r="E918" i="1" s="1"/>
  <c r="H918" i="1" s="1"/>
  <c r="D919" i="1"/>
  <c r="D920" i="1"/>
  <c r="D921" i="1"/>
  <c r="D922" i="1"/>
  <c r="E922" i="1" s="1" a="1"/>
  <c r="E922" i="1" s="1"/>
  <c r="G922" i="1" s="1"/>
  <c r="D923" i="1"/>
  <c r="D924" i="1"/>
  <c r="D925" i="1"/>
  <c r="D926" i="1"/>
  <c r="E926" i="1" s="1" a="1"/>
  <c r="E926" i="1" s="1"/>
  <c r="H926" i="1" s="1"/>
  <c r="D927" i="1"/>
  <c r="D928" i="1"/>
  <c r="D929" i="1"/>
  <c r="D930" i="1"/>
  <c r="E930" i="1" s="1" a="1"/>
  <c r="E930" i="1" s="1"/>
  <c r="H930" i="1" s="1"/>
  <c r="D931" i="1"/>
  <c r="D932" i="1"/>
  <c r="D933" i="1"/>
  <c r="D934" i="1"/>
  <c r="E934" i="1" s="1" a="1"/>
  <c r="E934" i="1" s="1"/>
  <c r="G934" i="1" s="1"/>
  <c r="D935" i="1"/>
  <c r="D936" i="1"/>
  <c r="D937" i="1"/>
  <c r="D938" i="1"/>
  <c r="E938" i="1" s="1" a="1"/>
  <c r="E938" i="1" s="1"/>
  <c r="H938" i="1" s="1"/>
  <c r="D939" i="1"/>
  <c r="D940" i="1"/>
  <c r="D941" i="1"/>
  <c r="D942" i="1"/>
  <c r="E942" i="1" s="1" a="1"/>
  <c r="E942" i="1" s="1"/>
  <c r="H942" i="1" s="1"/>
  <c r="D943" i="1"/>
  <c r="D944" i="1"/>
  <c r="D945" i="1"/>
  <c r="D946" i="1"/>
  <c r="E946" i="1" s="1" a="1"/>
  <c r="E946" i="1" s="1"/>
  <c r="G946" i="1" s="1"/>
  <c r="D947" i="1"/>
  <c r="D948" i="1"/>
  <c r="D949" i="1"/>
  <c r="D950" i="1"/>
  <c r="E950" i="1" s="1" a="1"/>
  <c r="E950" i="1" s="1"/>
  <c r="H950" i="1" s="1"/>
  <c r="D951" i="1"/>
  <c r="D952" i="1"/>
  <c r="D953" i="1"/>
  <c r="D954" i="1"/>
  <c r="E954" i="1" s="1" a="1"/>
  <c r="E954" i="1" s="1"/>
  <c r="H954" i="1" s="1"/>
  <c r="D955" i="1"/>
  <c r="D956" i="1"/>
  <c r="D957" i="1"/>
  <c r="D958" i="1"/>
  <c r="E958" i="1" s="1" a="1"/>
  <c r="E958" i="1" s="1"/>
  <c r="H958" i="1" s="1"/>
  <c r="D959" i="1"/>
  <c r="D960" i="1"/>
  <c r="D961" i="1"/>
  <c r="D962" i="1"/>
  <c r="E962" i="1" s="1" a="1"/>
  <c r="E962" i="1" s="1"/>
  <c r="G962" i="1" s="1"/>
  <c r="D963" i="1"/>
  <c r="D964" i="1"/>
  <c r="D965" i="1"/>
  <c r="D966" i="1"/>
  <c r="E966" i="1" s="1" a="1"/>
  <c r="E966" i="1" s="1"/>
  <c r="H966" i="1" s="1"/>
  <c r="D967" i="1"/>
  <c r="D968" i="1"/>
  <c r="D969" i="1"/>
  <c r="D970" i="1"/>
  <c r="E970" i="1" s="1" a="1"/>
  <c r="E970" i="1" s="1"/>
  <c r="H970" i="1" s="1"/>
  <c r="D971" i="1"/>
  <c r="D972" i="1"/>
  <c r="D973" i="1"/>
  <c r="D974" i="1"/>
  <c r="E974" i="1" s="1" a="1"/>
  <c r="E974" i="1" s="1"/>
  <c r="H974" i="1" s="1"/>
  <c r="D975" i="1"/>
  <c r="D976" i="1"/>
  <c r="D977" i="1"/>
  <c r="D978" i="1"/>
  <c r="E978" i="1" s="1" a="1"/>
  <c r="E978" i="1" s="1"/>
  <c r="G978" i="1" s="1"/>
  <c r="D979" i="1"/>
  <c r="D980" i="1"/>
  <c r="D981" i="1"/>
  <c r="D982" i="1"/>
  <c r="E982" i="1" s="1" a="1"/>
  <c r="E982" i="1" s="1"/>
  <c r="H982" i="1" s="1"/>
  <c r="D983" i="1"/>
  <c r="D984" i="1"/>
  <c r="D985" i="1"/>
  <c r="D986" i="1"/>
  <c r="E986" i="1" s="1" a="1"/>
  <c r="E986" i="1" s="1"/>
  <c r="H986" i="1" s="1"/>
  <c r="D987" i="1"/>
  <c r="D988" i="1"/>
  <c r="D989" i="1"/>
  <c r="D990" i="1"/>
  <c r="E990" i="1" s="1" a="1"/>
  <c r="E990" i="1" s="1"/>
  <c r="H990" i="1" s="1"/>
  <c r="D991" i="1"/>
  <c r="D992" i="1"/>
  <c r="D993" i="1"/>
  <c r="D994" i="1"/>
  <c r="E994" i="1" s="1" a="1"/>
  <c r="E994" i="1" s="1"/>
  <c r="G994" i="1" s="1"/>
  <c r="D995" i="1"/>
  <c r="D996" i="1"/>
  <c r="D997" i="1"/>
  <c r="D998" i="1"/>
  <c r="E998" i="1" s="1" a="1"/>
  <c r="E998" i="1" s="1"/>
  <c r="H998" i="1" s="1"/>
  <c r="D999" i="1"/>
  <c r="D1000" i="1"/>
  <c r="D1001" i="1"/>
  <c r="D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2" i="1"/>
  <c r="C2" i="1" s="1"/>
  <c r="I806" i="1" l="1"/>
  <c r="I774" i="1"/>
  <c r="I742" i="1"/>
  <c r="I710" i="1"/>
  <c r="I678" i="1"/>
  <c r="I646" i="1"/>
  <c r="I614" i="1"/>
  <c r="I582" i="1"/>
  <c r="I550" i="1"/>
  <c r="I518" i="1"/>
  <c r="I494" i="1"/>
  <c r="I478" i="1"/>
  <c r="I462" i="1"/>
  <c r="I446" i="1"/>
  <c r="I430" i="1"/>
  <c r="I406" i="1"/>
  <c r="I385" i="1"/>
  <c r="I369" i="1"/>
  <c r="I353" i="1"/>
  <c r="I322" i="1"/>
  <c r="I258" i="1"/>
  <c r="I194" i="1"/>
  <c r="I130" i="1"/>
  <c r="I66" i="1"/>
  <c r="I830" i="1"/>
  <c r="I798" i="1"/>
  <c r="I766" i="1"/>
  <c r="I734" i="1"/>
  <c r="I702" i="1"/>
  <c r="I670" i="1"/>
  <c r="I638" i="1"/>
  <c r="I606" i="1"/>
  <c r="I574" i="1"/>
  <c r="I542" i="1"/>
  <c r="I510" i="1"/>
  <c r="I489" i="1"/>
  <c r="I473" i="1"/>
  <c r="I457" i="1"/>
  <c r="I441" i="1"/>
  <c r="I422" i="1"/>
  <c r="I401" i="1"/>
  <c r="I382" i="1"/>
  <c r="I366" i="1"/>
  <c r="I350" i="1"/>
  <c r="I310" i="1"/>
  <c r="I246" i="1"/>
  <c r="I182" i="1"/>
  <c r="I118" i="1"/>
  <c r="I54" i="1"/>
  <c r="I822" i="1"/>
  <c r="I790" i="1"/>
  <c r="I758" i="1"/>
  <c r="I726" i="1"/>
  <c r="I694" i="1"/>
  <c r="I662" i="1"/>
  <c r="I630" i="1"/>
  <c r="I598" i="1"/>
  <c r="I566" i="1"/>
  <c r="I534" i="1"/>
  <c r="I502" i="1"/>
  <c r="I486" i="1"/>
  <c r="I470" i="1"/>
  <c r="I454" i="1"/>
  <c r="I438" i="1"/>
  <c r="I417" i="1"/>
  <c r="I398" i="1"/>
  <c r="I377" i="1"/>
  <c r="I361" i="1"/>
  <c r="I345" i="1"/>
  <c r="I290" i="1"/>
  <c r="I226" i="1"/>
  <c r="I162" i="1"/>
  <c r="I98" i="1"/>
  <c r="I34" i="1"/>
  <c r="I814" i="1"/>
  <c r="I782" i="1"/>
  <c r="I750" i="1"/>
  <c r="I718" i="1"/>
  <c r="I686" i="1"/>
  <c r="I654" i="1"/>
  <c r="I622" i="1"/>
  <c r="I590" i="1"/>
  <c r="I558" i="1"/>
  <c r="I526" i="1"/>
  <c r="I497" i="1"/>
  <c r="I481" i="1"/>
  <c r="I465" i="1"/>
  <c r="I449" i="1"/>
  <c r="I433" i="1"/>
  <c r="I414" i="1"/>
  <c r="I390" i="1"/>
  <c r="I374" i="1"/>
  <c r="I358" i="1"/>
  <c r="I342" i="1"/>
  <c r="I278" i="1"/>
  <c r="I214" i="1"/>
  <c r="I150" i="1"/>
  <c r="I86" i="1"/>
  <c r="I22" i="1"/>
  <c r="E997" i="1" a="1"/>
  <c r="E997" i="1" s="1"/>
  <c r="G997" i="1" s="1"/>
  <c r="E989" i="1" a="1"/>
  <c r="E989" i="1" s="1"/>
  <c r="G989" i="1" s="1"/>
  <c r="E981" i="1" a="1"/>
  <c r="E981" i="1" s="1"/>
  <c r="G981" i="1" s="1"/>
  <c r="E973" i="1" a="1"/>
  <c r="E973" i="1" s="1"/>
  <c r="G973" i="1" s="1"/>
  <c r="E937" i="1" a="1"/>
  <c r="E937" i="1" s="1"/>
  <c r="G937" i="1" s="1"/>
  <c r="E929" i="1" a="1"/>
  <c r="E929" i="1" s="1"/>
  <c r="G929" i="1" s="1"/>
  <c r="E917" i="1" a="1"/>
  <c r="E917" i="1" s="1"/>
  <c r="G917" i="1" s="1"/>
  <c r="E909" i="1" a="1"/>
  <c r="E909" i="1" s="1"/>
  <c r="G909" i="1" s="1"/>
  <c r="E897" i="1" a="1"/>
  <c r="E897" i="1" s="1"/>
  <c r="G897" i="1" s="1"/>
  <c r="E873" i="1" a="1"/>
  <c r="E873" i="1" s="1"/>
  <c r="G873" i="1" s="1"/>
  <c r="E861" i="1" a="1"/>
  <c r="E861" i="1" s="1"/>
  <c r="G861" i="1" s="1"/>
  <c r="E857" i="1" a="1"/>
  <c r="E857" i="1" s="1"/>
  <c r="G857" i="1" s="1"/>
  <c r="E849" i="1" a="1"/>
  <c r="E849" i="1" s="1"/>
  <c r="G849" i="1" s="1"/>
  <c r="E841" i="1" a="1"/>
  <c r="E841" i="1" s="1"/>
  <c r="H841" i="1" s="1"/>
  <c r="E833" i="1" a="1"/>
  <c r="E833" i="1" s="1"/>
  <c r="H833" i="1" s="1"/>
  <c r="E821" i="1" a="1"/>
  <c r="E821" i="1" s="1"/>
  <c r="H821" i="1" s="1"/>
  <c r="E797" i="1" a="1"/>
  <c r="E797" i="1" s="1"/>
  <c r="H797" i="1" s="1"/>
  <c r="E785" i="1" a="1"/>
  <c r="E785" i="1" s="1"/>
  <c r="H785" i="1" s="1"/>
  <c r="E777" i="1" a="1"/>
  <c r="E777" i="1" s="1"/>
  <c r="H777" i="1" s="1"/>
  <c r="E769" i="1" a="1"/>
  <c r="E769" i="1" s="1"/>
  <c r="H769" i="1" s="1"/>
  <c r="E761" i="1" a="1"/>
  <c r="E761" i="1" s="1"/>
  <c r="H761" i="1" s="1"/>
  <c r="E741" i="1" a="1"/>
  <c r="E741" i="1" s="1"/>
  <c r="H741" i="1" s="1"/>
  <c r="E729" i="1" a="1"/>
  <c r="E729" i="1" s="1"/>
  <c r="H729" i="1" s="1"/>
  <c r="E717" i="1" a="1"/>
  <c r="E717" i="1" s="1"/>
  <c r="H717" i="1" s="1"/>
  <c r="E709" i="1" a="1"/>
  <c r="E709" i="1" s="1"/>
  <c r="H709" i="1" s="1"/>
  <c r="E697" i="1" a="1"/>
  <c r="E697" i="1" s="1"/>
  <c r="H697" i="1" s="1"/>
  <c r="E685" i="1" a="1"/>
  <c r="E685" i="1" s="1"/>
  <c r="H685" i="1" s="1"/>
  <c r="E673" i="1" a="1"/>
  <c r="E673" i="1" s="1"/>
  <c r="H673" i="1" s="1"/>
  <c r="E661" i="1" a="1"/>
  <c r="E661" i="1" s="1"/>
  <c r="H661" i="1" s="1"/>
  <c r="E649" i="1" a="1"/>
  <c r="E649" i="1" s="1"/>
  <c r="H649" i="1" s="1"/>
  <c r="E637" i="1" a="1"/>
  <c r="E637" i="1" s="1"/>
  <c r="H637" i="1" s="1"/>
  <c r="E629" i="1" a="1"/>
  <c r="E629" i="1" s="1"/>
  <c r="H629" i="1" s="1"/>
  <c r="E617" i="1" a="1"/>
  <c r="E617" i="1" s="1"/>
  <c r="H617" i="1" s="1"/>
  <c r="E605" i="1" a="1"/>
  <c r="E605" i="1" s="1"/>
  <c r="H605" i="1" s="1"/>
  <c r="E593" i="1" a="1"/>
  <c r="E593" i="1" s="1"/>
  <c r="H593" i="1" s="1"/>
  <c r="E585" i="1" a="1"/>
  <c r="E585" i="1" s="1"/>
  <c r="H585" i="1" s="1"/>
  <c r="E577" i="1" a="1"/>
  <c r="E577" i="1" s="1"/>
  <c r="H577" i="1" s="1"/>
  <c r="E569" i="1" a="1"/>
  <c r="E569" i="1" s="1"/>
  <c r="H569" i="1" s="1"/>
  <c r="E565" i="1" a="1"/>
  <c r="E565" i="1" s="1"/>
  <c r="H565" i="1" s="1"/>
  <c r="E557" i="1" a="1"/>
  <c r="E557" i="1" s="1"/>
  <c r="H557" i="1" s="1"/>
  <c r="E549" i="1" a="1"/>
  <c r="E549" i="1" s="1"/>
  <c r="H549" i="1" s="1"/>
  <c r="E537" i="1" a="1"/>
  <c r="E537" i="1" s="1"/>
  <c r="H537" i="1" s="1"/>
  <c r="E529" i="1" a="1"/>
  <c r="E529" i="1" s="1"/>
  <c r="H529" i="1" s="1"/>
  <c r="E525" i="1" a="1"/>
  <c r="E525" i="1" s="1"/>
  <c r="H525" i="1" s="1"/>
  <c r="E517" i="1" a="1"/>
  <c r="E517" i="1" s="1"/>
  <c r="H517" i="1" s="1"/>
  <c r="E509" i="1" a="1"/>
  <c r="E509" i="1" s="1"/>
  <c r="H509" i="1" s="1"/>
  <c r="E936" i="1" a="1"/>
  <c r="E936" i="1" s="1"/>
  <c r="H936" i="1" s="1"/>
  <c r="E928" i="1" a="1"/>
  <c r="E928" i="1" s="1"/>
  <c r="H928" i="1" s="1"/>
  <c r="E920" i="1" a="1"/>
  <c r="E920" i="1" s="1"/>
  <c r="H920" i="1" s="1"/>
  <c r="E912" i="1" a="1"/>
  <c r="E912" i="1" s="1"/>
  <c r="H912" i="1" s="1"/>
  <c r="E904" i="1" a="1"/>
  <c r="E904" i="1" s="1"/>
  <c r="H904" i="1" s="1"/>
  <c r="E896" i="1" a="1"/>
  <c r="E896" i="1" s="1"/>
  <c r="H896" i="1" s="1"/>
  <c r="E888" i="1" a="1"/>
  <c r="E888" i="1" s="1"/>
  <c r="H888" i="1" s="1"/>
  <c r="E880" i="1" a="1"/>
  <c r="E880" i="1" s="1"/>
  <c r="H880" i="1" s="1"/>
  <c r="E872" i="1" a="1"/>
  <c r="E872" i="1" s="1"/>
  <c r="H872" i="1" s="1"/>
  <c r="E864" i="1" a="1"/>
  <c r="E864" i="1" s="1"/>
  <c r="H864" i="1" s="1"/>
  <c r="E856" i="1" a="1"/>
  <c r="E856" i="1" s="1"/>
  <c r="H856" i="1" s="1"/>
  <c r="E848" i="1" a="1"/>
  <c r="E848" i="1" s="1"/>
  <c r="H848" i="1" s="1"/>
  <c r="E840" i="1" a="1"/>
  <c r="E840" i="1" s="1"/>
  <c r="H840" i="1" s="1"/>
  <c r="E832" i="1" a="1"/>
  <c r="E832" i="1" s="1"/>
  <c r="H832" i="1" s="1"/>
  <c r="E824" i="1" a="1"/>
  <c r="E824" i="1" s="1"/>
  <c r="H824" i="1" s="1"/>
  <c r="E816" i="1" a="1"/>
  <c r="E816" i="1" s="1"/>
  <c r="H816" i="1" s="1"/>
  <c r="E808" i="1" a="1"/>
  <c r="E808" i="1" s="1"/>
  <c r="H808" i="1" s="1"/>
  <c r="E800" i="1" a="1"/>
  <c r="E800" i="1" s="1"/>
  <c r="H800" i="1" s="1"/>
  <c r="E792" i="1" a="1"/>
  <c r="E792" i="1" s="1"/>
  <c r="H792" i="1" s="1"/>
  <c r="E784" i="1" a="1"/>
  <c r="E784" i="1" s="1"/>
  <c r="H784" i="1" s="1"/>
  <c r="E776" i="1" a="1"/>
  <c r="E776" i="1" s="1"/>
  <c r="H776" i="1" s="1"/>
  <c r="E768" i="1" a="1"/>
  <c r="E768" i="1" s="1"/>
  <c r="H768" i="1" s="1"/>
  <c r="E760" i="1" a="1"/>
  <c r="E760" i="1" s="1"/>
  <c r="H760" i="1" s="1"/>
  <c r="E752" i="1" a="1"/>
  <c r="E752" i="1" s="1"/>
  <c r="H752" i="1" s="1"/>
  <c r="E744" i="1" a="1"/>
  <c r="E744" i="1" s="1"/>
  <c r="H744" i="1" s="1"/>
  <c r="E736" i="1" a="1"/>
  <c r="E736" i="1" s="1"/>
  <c r="H736" i="1" s="1"/>
  <c r="E728" i="1" a="1"/>
  <c r="E728" i="1" s="1"/>
  <c r="H728" i="1" s="1"/>
  <c r="E720" i="1" a="1"/>
  <c r="E720" i="1" s="1"/>
  <c r="H720" i="1" s="1"/>
  <c r="E716" i="1" a="1"/>
  <c r="E716" i="1" s="1"/>
  <c r="H716" i="1" s="1"/>
  <c r="E712" i="1" a="1"/>
  <c r="E712" i="1" s="1"/>
  <c r="H712" i="1" s="1"/>
  <c r="E708" i="1" a="1"/>
  <c r="E708" i="1" s="1"/>
  <c r="H708" i="1" s="1"/>
  <c r="E704" i="1" a="1"/>
  <c r="E704" i="1" s="1"/>
  <c r="H704" i="1" s="1"/>
  <c r="E700" i="1" a="1"/>
  <c r="E700" i="1" s="1"/>
  <c r="H700" i="1" s="1"/>
  <c r="E696" i="1" a="1"/>
  <c r="E696" i="1" s="1"/>
  <c r="H696" i="1" s="1"/>
  <c r="E692" i="1" a="1"/>
  <c r="E692" i="1" s="1"/>
  <c r="H692" i="1" s="1"/>
  <c r="E688" i="1" a="1"/>
  <c r="E688" i="1" s="1"/>
  <c r="H688" i="1" s="1"/>
  <c r="E684" i="1" a="1"/>
  <c r="E684" i="1" s="1"/>
  <c r="H684" i="1" s="1"/>
  <c r="E680" i="1" a="1"/>
  <c r="E680" i="1" s="1"/>
  <c r="H680" i="1" s="1"/>
  <c r="E676" i="1" a="1"/>
  <c r="E676" i="1" s="1"/>
  <c r="H676" i="1" s="1"/>
  <c r="E672" i="1" a="1"/>
  <c r="E672" i="1" s="1"/>
  <c r="H672" i="1" s="1"/>
  <c r="E668" i="1" a="1"/>
  <c r="E668" i="1" s="1"/>
  <c r="H668" i="1" s="1"/>
  <c r="E664" i="1" a="1"/>
  <c r="E664" i="1" s="1"/>
  <c r="H664" i="1" s="1"/>
  <c r="E660" i="1" a="1"/>
  <c r="E660" i="1" s="1"/>
  <c r="H660" i="1" s="1"/>
  <c r="E656" i="1" a="1"/>
  <c r="E656" i="1" s="1"/>
  <c r="H656" i="1" s="1"/>
  <c r="E652" i="1" a="1"/>
  <c r="E652" i="1" s="1"/>
  <c r="H652" i="1" s="1"/>
  <c r="E648" i="1" a="1"/>
  <c r="E648" i="1" s="1"/>
  <c r="H648" i="1" s="1"/>
  <c r="E644" i="1" a="1"/>
  <c r="E644" i="1" s="1"/>
  <c r="H644" i="1" s="1"/>
  <c r="E640" i="1" a="1"/>
  <c r="E640" i="1" s="1"/>
  <c r="H640" i="1" s="1"/>
  <c r="E636" i="1" a="1"/>
  <c r="E636" i="1" s="1"/>
  <c r="H636" i="1" s="1"/>
  <c r="E632" i="1" a="1"/>
  <c r="E632" i="1" s="1"/>
  <c r="H632" i="1" s="1"/>
  <c r="E628" i="1" a="1"/>
  <c r="E628" i="1" s="1"/>
  <c r="H628" i="1" s="1"/>
  <c r="E624" i="1" a="1"/>
  <c r="E624" i="1" s="1"/>
  <c r="H624" i="1" s="1"/>
  <c r="E620" i="1" a="1"/>
  <c r="E620" i="1" s="1"/>
  <c r="H620" i="1" s="1"/>
  <c r="E616" i="1" a="1"/>
  <c r="E616" i="1" s="1"/>
  <c r="H616" i="1" s="1"/>
  <c r="E612" i="1" a="1"/>
  <c r="E612" i="1" s="1"/>
  <c r="H612" i="1" s="1"/>
  <c r="E608" i="1" a="1"/>
  <c r="E608" i="1" s="1"/>
  <c r="H608" i="1" s="1"/>
  <c r="E604" i="1" a="1"/>
  <c r="E604" i="1" s="1"/>
  <c r="H604" i="1" s="1"/>
  <c r="E600" i="1" a="1"/>
  <c r="E600" i="1" s="1"/>
  <c r="H600" i="1" s="1"/>
  <c r="E596" i="1" a="1"/>
  <c r="E596" i="1" s="1"/>
  <c r="H596" i="1" s="1"/>
  <c r="E592" i="1" a="1"/>
  <c r="E592" i="1" s="1"/>
  <c r="H592" i="1" s="1"/>
  <c r="E588" i="1" a="1"/>
  <c r="E588" i="1" s="1"/>
  <c r="H588" i="1" s="1"/>
  <c r="E584" i="1" a="1"/>
  <c r="E584" i="1" s="1"/>
  <c r="H584" i="1" s="1"/>
  <c r="E580" i="1" a="1"/>
  <c r="E580" i="1" s="1"/>
  <c r="H580" i="1" s="1"/>
  <c r="E576" i="1" a="1"/>
  <c r="E576" i="1" s="1"/>
  <c r="H576" i="1" s="1"/>
  <c r="E572" i="1" a="1"/>
  <c r="E572" i="1" s="1"/>
  <c r="H572" i="1" s="1"/>
  <c r="E568" i="1" a="1"/>
  <c r="E568" i="1" s="1"/>
  <c r="H568" i="1" s="1"/>
  <c r="E564" i="1" a="1"/>
  <c r="E564" i="1" s="1"/>
  <c r="H564" i="1" s="1"/>
  <c r="E560" i="1" a="1"/>
  <c r="E560" i="1" s="1"/>
  <c r="H560" i="1" s="1"/>
  <c r="E556" i="1" a="1"/>
  <c r="E556" i="1" s="1"/>
  <c r="H556" i="1" s="1"/>
  <c r="E552" i="1" a="1"/>
  <c r="E552" i="1" s="1"/>
  <c r="H552" i="1" s="1"/>
  <c r="E548" i="1" a="1"/>
  <c r="E548" i="1" s="1"/>
  <c r="H548" i="1" s="1"/>
  <c r="E544" i="1" a="1"/>
  <c r="E544" i="1" s="1"/>
  <c r="H544" i="1" s="1"/>
  <c r="E540" i="1" a="1"/>
  <c r="E540" i="1" s="1"/>
  <c r="H540" i="1" s="1"/>
  <c r="E536" i="1" a="1"/>
  <c r="E536" i="1" s="1"/>
  <c r="H536" i="1" s="1"/>
  <c r="E532" i="1" a="1"/>
  <c r="E532" i="1" s="1"/>
  <c r="H532" i="1" s="1"/>
  <c r="E528" i="1" a="1"/>
  <c r="E528" i="1" s="1"/>
  <c r="H528" i="1" s="1"/>
  <c r="E524" i="1" a="1"/>
  <c r="E524" i="1" s="1"/>
  <c r="H524" i="1" s="1"/>
  <c r="E520" i="1" a="1"/>
  <c r="E520" i="1" s="1"/>
  <c r="H520" i="1" s="1"/>
  <c r="E516" i="1" a="1"/>
  <c r="E516" i="1" s="1"/>
  <c r="H516" i="1" s="1"/>
  <c r="E512" i="1" a="1"/>
  <c r="E512" i="1" s="1"/>
  <c r="H512" i="1" s="1"/>
  <c r="E508" i="1" a="1"/>
  <c r="E508" i="1" s="1"/>
  <c r="H508" i="1" s="1"/>
  <c r="E504" i="1" a="1"/>
  <c r="E504" i="1" s="1"/>
  <c r="H504" i="1" s="1"/>
  <c r="E500" i="1" a="1"/>
  <c r="E500" i="1" s="1"/>
  <c r="H500" i="1" s="1"/>
  <c r="E496" i="1" a="1"/>
  <c r="E496" i="1" s="1"/>
  <c r="H496" i="1" s="1"/>
  <c r="E492" i="1" a="1"/>
  <c r="E492" i="1" s="1"/>
  <c r="H492" i="1" s="1"/>
  <c r="E488" i="1" a="1"/>
  <c r="E488" i="1" s="1"/>
  <c r="H488" i="1" s="1"/>
  <c r="E484" i="1" a="1"/>
  <c r="E484" i="1" s="1"/>
  <c r="H484" i="1" s="1"/>
  <c r="E480" i="1" a="1"/>
  <c r="E480" i="1" s="1"/>
  <c r="H480" i="1" s="1"/>
  <c r="E476" i="1" a="1"/>
  <c r="E476" i="1" s="1"/>
  <c r="H476" i="1" s="1"/>
  <c r="E472" i="1" a="1"/>
  <c r="E472" i="1" s="1"/>
  <c r="H472" i="1" s="1"/>
  <c r="E468" i="1" a="1"/>
  <c r="E468" i="1" s="1"/>
  <c r="H468" i="1" s="1"/>
  <c r="E464" i="1" a="1"/>
  <c r="E464" i="1" s="1"/>
  <c r="H464" i="1" s="1"/>
  <c r="E460" i="1" a="1"/>
  <c r="E460" i="1" s="1"/>
  <c r="H460" i="1" s="1"/>
  <c r="E456" i="1" a="1"/>
  <c r="E456" i="1" s="1"/>
  <c r="H456" i="1" s="1"/>
  <c r="E452" i="1" a="1"/>
  <c r="E452" i="1" s="1"/>
  <c r="H452" i="1" s="1"/>
  <c r="E448" i="1" a="1"/>
  <c r="E448" i="1" s="1"/>
  <c r="H448" i="1" s="1"/>
  <c r="E444" i="1" a="1"/>
  <c r="E444" i="1" s="1"/>
  <c r="H444" i="1" s="1"/>
  <c r="E440" i="1" a="1"/>
  <c r="E440" i="1" s="1"/>
  <c r="H440" i="1" s="1"/>
  <c r="E436" i="1" a="1"/>
  <c r="E436" i="1" s="1"/>
  <c r="H436" i="1" s="1"/>
  <c r="E432" i="1" a="1"/>
  <c r="E432" i="1" s="1"/>
  <c r="H432" i="1" s="1"/>
  <c r="E428" i="1" a="1"/>
  <c r="E428" i="1" s="1"/>
  <c r="H428" i="1" s="1"/>
  <c r="E424" i="1" a="1"/>
  <c r="E424" i="1" s="1"/>
  <c r="H424" i="1" s="1"/>
  <c r="E420" i="1" a="1"/>
  <c r="E420" i="1" s="1"/>
  <c r="H420" i="1" s="1"/>
  <c r="E416" i="1" a="1"/>
  <c r="E416" i="1" s="1"/>
  <c r="H416" i="1" s="1"/>
  <c r="E412" i="1" a="1"/>
  <c r="E412" i="1" s="1"/>
  <c r="H412" i="1" s="1"/>
  <c r="E408" i="1" a="1"/>
  <c r="E408" i="1" s="1"/>
  <c r="H408" i="1" s="1"/>
  <c r="E404" i="1" a="1"/>
  <c r="E404" i="1" s="1"/>
  <c r="H404" i="1" s="1"/>
  <c r="E400" i="1" a="1"/>
  <c r="E400" i="1" s="1"/>
  <c r="H400" i="1" s="1"/>
  <c r="E396" i="1" a="1"/>
  <c r="E396" i="1" s="1"/>
  <c r="H396" i="1" s="1"/>
  <c r="E392" i="1" a="1"/>
  <c r="E392" i="1" s="1"/>
  <c r="H392" i="1" s="1"/>
  <c r="E388" i="1" a="1"/>
  <c r="E388" i="1" s="1"/>
  <c r="H388" i="1" s="1"/>
  <c r="E384" i="1" a="1"/>
  <c r="E384" i="1" s="1"/>
  <c r="H384" i="1" s="1"/>
  <c r="E380" i="1" a="1"/>
  <c r="E380" i="1" s="1"/>
  <c r="H380" i="1" s="1"/>
  <c r="E376" i="1" a="1"/>
  <c r="E376" i="1" s="1"/>
  <c r="H376" i="1" s="1"/>
  <c r="E372" i="1" a="1"/>
  <c r="E372" i="1" s="1"/>
  <c r="H372" i="1" s="1"/>
  <c r="E368" i="1" a="1"/>
  <c r="E368" i="1" s="1"/>
  <c r="H368" i="1" s="1"/>
  <c r="E364" i="1" a="1"/>
  <c r="E364" i="1" s="1"/>
  <c r="H364" i="1" s="1"/>
  <c r="E360" i="1" a="1"/>
  <c r="E360" i="1" s="1"/>
  <c r="H360" i="1" s="1"/>
  <c r="E356" i="1" a="1"/>
  <c r="E356" i="1" s="1"/>
  <c r="H356" i="1" s="1"/>
  <c r="E352" i="1" a="1"/>
  <c r="E352" i="1" s="1"/>
  <c r="H352" i="1" s="1"/>
  <c r="E348" i="1" a="1"/>
  <c r="E348" i="1" s="1"/>
  <c r="H348" i="1" s="1"/>
  <c r="E344" i="1" a="1"/>
  <c r="E344" i="1" s="1"/>
  <c r="H344" i="1" s="1"/>
  <c r="E340" i="1" a="1"/>
  <c r="E340" i="1" s="1"/>
  <c r="H340" i="1" s="1"/>
  <c r="E336" i="1" a="1"/>
  <c r="E336" i="1" s="1"/>
  <c r="H336" i="1" s="1"/>
  <c r="E332" i="1" a="1"/>
  <c r="E332" i="1" s="1"/>
  <c r="H332" i="1" s="1"/>
  <c r="E328" i="1" a="1"/>
  <c r="E328" i="1" s="1"/>
  <c r="H328" i="1" s="1"/>
  <c r="E324" i="1" a="1"/>
  <c r="E324" i="1" s="1"/>
  <c r="H324" i="1" s="1"/>
  <c r="E320" i="1" a="1"/>
  <c r="E320" i="1" s="1"/>
  <c r="H320" i="1" s="1"/>
  <c r="E316" i="1" a="1"/>
  <c r="E316" i="1" s="1"/>
  <c r="H316" i="1" s="1"/>
  <c r="E312" i="1" a="1"/>
  <c r="E312" i="1" s="1"/>
  <c r="H312" i="1" s="1"/>
  <c r="E308" i="1" a="1"/>
  <c r="E308" i="1" s="1"/>
  <c r="H308" i="1" s="1"/>
  <c r="E304" i="1" a="1"/>
  <c r="E304" i="1" s="1"/>
  <c r="H304" i="1" s="1"/>
  <c r="E300" i="1" a="1"/>
  <c r="E300" i="1" s="1"/>
  <c r="H300" i="1" s="1"/>
  <c r="E296" i="1" a="1"/>
  <c r="E296" i="1" s="1"/>
  <c r="H296" i="1" s="1"/>
  <c r="E292" i="1" a="1"/>
  <c r="E292" i="1" s="1"/>
  <c r="H292" i="1" s="1"/>
  <c r="E288" i="1" a="1"/>
  <c r="E288" i="1" s="1"/>
  <c r="H288" i="1" s="1"/>
  <c r="E284" i="1" a="1"/>
  <c r="E284" i="1" s="1"/>
  <c r="H284" i="1" s="1"/>
  <c r="E280" i="1" a="1"/>
  <c r="E280" i="1" s="1"/>
  <c r="H280" i="1" s="1"/>
  <c r="E276" i="1" a="1"/>
  <c r="E276" i="1" s="1"/>
  <c r="H276" i="1" s="1"/>
  <c r="E272" i="1" a="1"/>
  <c r="E272" i="1" s="1"/>
  <c r="H272" i="1" s="1"/>
  <c r="E268" i="1" a="1"/>
  <c r="E268" i="1" s="1"/>
  <c r="H268" i="1" s="1"/>
  <c r="E264" i="1" a="1"/>
  <c r="E264" i="1" s="1"/>
  <c r="H264" i="1" s="1"/>
  <c r="E260" i="1" a="1"/>
  <c r="E260" i="1" s="1"/>
  <c r="H260" i="1" s="1"/>
  <c r="E256" i="1" a="1"/>
  <c r="E256" i="1" s="1"/>
  <c r="H256" i="1" s="1"/>
  <c r="E252" i="1" a="1"/>
  <c r="E252" i="1" s="1"/>
  <c r="H252" i="1" s="1"/>
  <c r="E248" i="1" a="1"/>
  <c r="E248" i="1" s="1"/>
  <c r="H248" i="1" s="1"/>
  <c r="E244" i="1" a="1"/>
  <c r="E244" i="1" s="1"/>
  <c r="H244" i="1" s="1"/>
  <c r="E240" i="1" a="1"/>
  <c r="E240" i="1" s="1"/>
  <c r="H240" i="1" s="1"/>
  <c r="E236" i="1" a="1"/>
  <c r="E236" i="1" s="1"/>
  <c r="H236" i="1" s="1"/>
  <c r="E232" i="1" a="1"/>
  <c r="E232" i="1" s="1"/>
  <c r="H232" i="1" s="1"/>
  <c r="E228" i="1" a="1"/>
  <c r="E228" i="1" s="1"/>
  <c r="H228" i="1" s="1"/>
  <c r="E224" i="1" a="1"/>
  <c r="E224" i="1" s="1"/>
  <c r="H224" i="1" s="1"/>
  <c r="E220" i="1" a="1"/>
  <c r="E220" i="1" s="1"/>
  <c r="H220" i="1" s="1"/>
  <c r="E216" i="1" a="1"/>
  <c r="E216" i="1" s="1"/>
  <c r="H216" i="1" s="1"/>
  <c r="E212" i="1" a="1"/>
  <c r="E212" i="1" s="1"/>
  <c r="H212" i="1" s="1"/>
  <c r="E208" i="1" a="1"/>
  <c r="E208" i="1" s="1"/>
  <c r="H208" i="1" s="1"/>
  <c r="E204" i="1" a="1"/>
  <c r="E204" i="1" s="1"/>
  <c r="H204" i="1" s="1"/>
  <c r="E200" i="1" a="1"/>
  <c r="E200" i="1" s="1"/>
  <c r="H200" i="1" s="1"/>
  <c r="E196" i="1" a="1"/>
  <c r="E196" i="1" s="1"/>
  <c r="H196" i="1" s="1"/>
  <c r="E192" i="1" a="1"/>
  <c r="E192" i="1" s="1"/>
  <c r="H192" i="1" s="1"/>
  <c r="E188" i="1" a="1"/>
  <c r="E188" i="1" s="1"/>
  <c r="H188" i="1" s="1"/>
  <c r="E184" i="1" a="1"/>
  <c r="E184" i="1" s="1"/>
  <c r="H184" i="1" s="1"/>
  <c r="E180" i="1" a="1"/>
  <c r="E180" i="1" s="1"/>
  <c r="H180" i="1" s="1"/>
  <c r="E176" i="1" a="1"/>
  <c r="E176" i="1" s="1"/>
  <c r="H176" i="1" s="1"/>
  <c r="E172" i="1" a="1"/>
  <c r="E172" i="1" s="1"/>
  <c r="H172" i="1" s="1"/>
  <c r="E168" i="1" a="1"/>
  <c r="E168" i="1" s="1"/>
  <c r="H168" i="1" s="1"/>
  <c r="E164" i="1" a="1"/>
  <c r="E164" i="1" s="1"/>
  <c r="H164" i="1" s="1"/>
  <c r="E160" i="1" a="1"/>
  <c r="E160" i="1" s="1"/>
  <c r="H160" i="1" s="1"/>
  <c r="E156" i="1" a="1"/>
  <c r="E156" i="1" s="1"/>
  <c r="H156" i="1" s="1"/>
  <c r="E152" i="1" a="1"/>
  <c r="E152" i="1" s="1"/>
  <c r="H152" i="1" s="1"/>
  <c r="E148" i="1" a="1"/>
  <c r="E148" i="1" s="1"/>
  <c r="H148" i="1" s="1"/>
  <c r="E144" i="1" a="1"/>
  <c r="E144" i="1" s="1"/>
  <c r="H144" i="1" s="1"/>
  <c r="E140" i="1" a="1"/>
  <c r="E140" i="1" s="1"/>
  <c r="H140" i="1" s="1"/>
  <c r="E136" i="1" a="1"/>
  <c r="E136" i="1" s="1"/>
  <c r="H136" i="1" s="1"/>
  <c r="E132" i="1" a="1"/>
  <c r="E132" i="1" s="1"/>
  <c r="H132" i="1" s="1"/>
  <c r="E933" i="1" a="1"/>
  <c r="E933" i="1" s="1"/>
  <c r="G933" i="1" s="1"/>
  <c r="E921" i="1" a="1"/>
  <c r="E921" i="1" s="1"/>
  <c r="G921" i="1" s="1"/>
  <c r="E889" i="1" a="1"/>
  <c r="E889" i="1" s="1"/>
  <c r="G889" i="1" s="1"/>
  <c r="E881" i="1" a="1"/>
  <c r="E881" i="1" s="1"/>
  <c r="G881" i="1" s="1"/>
  <c r="E865" i="1" a="1"/>
  <c r="E865" i="1" s="1"/>
  <c r="G865" i="1" s="1"/>
  <c r="E813" i="1" a="1"/>
  <c r="E813" i="1" s="1"/>
  <c r="H813" i="1" s="1"/>
  <c r="E721" i="1" a="1"/>
  <c r="E721" i="1" s="1"/>
  <c r="E705" i="1" a="1"/>
  <c r="E705" i="1" s="1"/>
  <c r="G705" i="1" s="1"/>
  <c r="E693" i="1" a="1"/>
  <c r="E693" i="1" s="1"/>
  <c r="E681" i="1" a="1"/>
  <c r="E681" i="1" s="1"/>
  <c r="G681" i="1" s="1"/>
  <c r="E669" i="1" a="1"/>
  <c r="E669" i="1" s="1"/>
  <c r="E657" i="1" a="1"/>
  <c r="E657" i="1" s="1"/>
  <c r="G657" i="1" s="1"/>
  <c r="E645" i="1" a="1"/>
  <c r="E645" i="1" s="1"/>
  <c r="E633" i="1" a="1"/>
  <c r="E633" i="1" s="1"/>
  <c r="E621" i="1" a="1"/>
  <c r="E621" i="1" s="1"/>
  <c r="E609" i="1" a="1"/>
  <c r="E609" i="1" s="1"/>
  <c r="G609" i="1" s="1"/>
  <c r="E601" i="1" a="1"/>
  <c r="E601" i="1" s="1"/>
  <c r="E589" i="1" a="1"/>
  <c r="E589" i="1" s="1"/>
  <c r="E581" i="1" a="1"/>
  <c r="E581" i="1" s="1"/>
  <c r="E573" i="1" a="1"/>
  <c r="E573" i="1" s="1"/>
  <c r="G573" i="1" s="1"/>
  <c r="E561" i="1" a="1"/>
  <c r="E561" i="1" s="1"/>
  <c r="E553" i="1" a="1"/>
  <c r="E553" i="1" s="1"/>
  <c r="E545" i="1" a="1"/>
  <c r="E545" i="1" s="1"/>
  <c r="E541" i="1" a="1"/>
  <c r="E541" i="1" s="1"/>
  <c r="G541" i="1" s="1"/>
  <c r="E533" i="1" a="1"/>
  <c r="E533" i="1" s="1"/>
  <c r="E521" i="1" a="1"/>
  <c r="E521" i="1" s="1"/>
  <c r="E513" i="1" a="1"/>
  <c r="E513" i="1" s="1"/>
  <c r="E999" i="1" a="1"/>
  <c r="E999" i="1" s="1"/>
  <c r="E991" i="1" a="1"/>
  <c r="E991" i="1" s="1"/>
  <c r="E979" i="1" a="1"/>
  <c r="E979" i="1" s="1"/>
  <c r="H979" i="1" s="1"/>
  <c r="E971" i="1" a="1"/>
  <c r="E971" i="1" s="1"/>
  <c r="E963" i="1" a="1"/>
  <c r="E963" i="1" s="1"/>
  <c r="E955" i="1" a="1"/>
  <c r="E955" i="1" s="1"/>
  <c r="E943" i="1" a="1"/>
  <c r="E943" i="1" s="1"/>
  <c r="H943" i="1" s="1"/>
  <c r="E935" i="1" a="1"/>
  <c r="E935" i="1" s="1"/>
  <c r="E927" i="1" a="1"/>
  <c r="E927" i="1" s="1"/>
  <c r="E915" i="1" a="1"/>
  <c r="E915" i="1" s="1"/>
  <c r="E903" i="1" a="1"/>
  <c r="E903" i="1" s="1"/>
  <c r="G903" i="1" s="1"/>
  <c r="E895" i="1" a="1"/>
  <c r="E895" i="1" s="1"/>
  <c r="E879" i="1" a="1"/>
  <c r="E879" i="1" s="1"/>
  <c r="E871" i="1" a="1"/>
  <c r="E871" i="1" s="1"/>
  <c r="E863" i="1" a="1"/>
  <c r="E863" i="1" s="1"/>
  <c r="G863" i="1" s="1"/>
  <c r="E855" i="1" a="1"/>
  <c r="E855" i="1" s="1"/>
  <c r="E847" i="1" a="1"/>
  <c r="E847" i="1" s="1"/>
  <c r="E839" i="1" a="1"/>
  <c r="E839" i="1" s="1"/>
  <c r="E827" i="1" a="1"/>
  <c r="E827" i="1" s="1"/>
  <c r="G827" i="1" s="1"/>
  <c r="E819" i="1" a="1"/>
  <c r="E819" i="1" s="1"/>
  <c r="E811" i="1" a="1"/>
  <c r="E811" i="1" s="1"/>
  <c r="E803" i="1" a="1"/>
  <c r="E803" i="1" s="1"/>
  <c r="E795" i="1" a="1"/>
  <c r="E795" i="1" s="1"/>
  <c r="G795" i="1" s="1"/>
  <c r="E787" i="1" a="1"/>
  <c r="E787" i="1" s="1"/>
  <c r="E779" i="1" a="1"/>
  <c r="E779" i="1" s="1"/>
  <c r="E771" i="1" a="1"/>
  <c r="E771" i="1" s="1"/>
  <c r="E763" i="1" a="1"/>
  <c r="E763" i="1" s="1"/>
  <c r="E755" i="1" a="1"/>
  <c r="E755" i="1" s="1"/>
  <c r="E747" i="1" a="1"/>
  <c r="E747" i="1" s="1"/>
  <c r="E739" i="1" a="1"/>
  <c r="E739" i="1" s="1"/>
  <c r="E731" i="1" a="1"/>
  <c r="E731" i="1" s="1"/>
  <c r="E723" i="1" a="1"/>
  <c r="E723" i="1" s="1"/>
  <c r="E715" i="1" a="1"/>
  <c r="E715" i="1" s="1"/>
  <c r="G715" i="1" s="1"/>
  <c r="E707" i="1" a="1"/>
  <c r="E707" i="1" s="1"/>
  <c r="E699" i="1" a="1"/>
  <c r="E699" i="1" s="1"/>
  <c r="E691" i="1" a="1"/>
  <c r="E691" i="1" s="1"/>
  <c r="E683" i="1" a="1"/>
  <c r="E683" i="1" s="1"/>
  <c r="E675" i="1" a="1"/>
  <c r="E675" i="1" s="1"/>
  <c r="E667" i="1" a="1"/>
  <c r="E667" i="1" s="1"/>
  <c r="E655" i="1" a="1"/>
  <c r="E655" i="1" s="1"/>
  <c r="E647" i="1" a="1"/>
  <c r="E647" i="1" s="1"/>
  <c r="E639" i="1" a="1"/>
  <c r="E639" i="1" s="1"/>
  <c r="E631" i="1" a="1"/>
  <c r="E631" i="1" s="1"/>
  <c r="G631" i="1" s="1"/>
  <c r="E623" i="1" a="1"/>
  <c r="E623" i="1" s="1"/>
  <c r="E611" i="1" a="1"/>
  <c r="E611" i="1" s="1"/>
  <c r="G611" i="1" s="1"/>
  <c r="E603" i="1" a="1"/>
  <c r="E603" i="1" s="1"/>
  <c r="E595" i="1" a="1"/>
  <c r="E595" i="1" s="1"/>
  <c r="G595" i="1" s="1"/>
  <c r="E587" i="1" a="1"/>
  <c r="E587" i="1" s="1"/>
  <c r="E579" i="1" a="1"/>
  <c r="E579" i="1" s="1"/>
  <c r="G579" i="1" s="1"/>
  <c r="E571" i="1" a="1"/>
  <c r="E571" i="1" s="1"/>
  <c r="E559" i="1" a="1"/>
  <c r="E559" i="1" s="1"/>
  <c r="E551" i="1" a="1"/>
  <c r="E551" i="1" s="1"/>
  <c r="E543" i="1" a="1"/>
  <c r="E543" i="1" s="1"/>
  <c r="G543" i="1" s="1"/>
  <c r="E535" i="1" a="1"/>
  <c r="E535" i="1" s="1"/>
  <c r="E527" i="1" a="1"/>
  <c r="E527" i="1" s="1"/>
  <c r="E519" i="1" a="1"/>
  <c r="E519" i="1" s="1"/>
  <c r="E511" i="1" a="1"/>
  <c r="E511" i="1" s="1"/>
  <c r="E503" i="1" a="1"/>
  <c r="E503" i="1" s="1"/>
  <c r="E495" i="1" a="1"/>
  <c r="E495" i="1" s="1"/>
  <c r="E487" i="1" a="1"/>
  <c r="E487" i="1" s="1"/>
  <c r="E475" i="1" a="1"/>
  <c r="E475" i="1" s="1"/>
  <c r="E467" i="1" a="1"/>
  <c r="E467" i="1" s="1"/>
  <c r="E459" i="1" a="1"/>
  <c r="E459" i="1" s="1"/>
  <c r="E451" i="1" a="1"/>
  <c r="E451" i="1" s="1"/>
  <c r="E439" i="1" a="1"/>
  <c r="E439" i="1" s="1"/>
  <c r="G439" i="1" s="1"/>
  <c r="E431" i="1" a="1"/>
  <c r="E431" i="1" s="1"/>
  <c r="E419" i="1" a="1"/>
  <c r="E419" i="1" s="1"/>
  <c r="E411" i="1" a="1"/>
  <c r="E411" i="1" s="1"/>
  <c r="E403" i="1" a="1"/>
  <c r="E403" i="1" s="1"/>
  <c r="G403" i="1" s="1"/>
  <c r="E395" i="1" a="1"/>
  <c r="E395" i="1" s="1"/>
  <c r="E387" i="1" a="1"/>
  <c r="E387" i="1" s="1"/>
  <c r="G387" i="1" s="1"/>
  <c r="E379" i="1" a="1"/>
  <c r="E379" i="1" s="1"/>
  <c r="E371" i="1" a="1"/>
  <c r="E371" i="1" s="1"/>
  <c r="G371" i="1" s="1"/>
  <c r="E363" i="1" a="1"/>
  <c r="E363" i="1" s="1"/>
  <c r="E351" i="1" a="1"/>
  <c r="E351" i="1" s="1"/>
  <c r="G351" i="1" s="1"/>
  <c r="E343" i="1" a="1"/>
  <c r="E343" i="1" s="1"/>
  <c r="E335" i="1" a="1"/>
  <c r="E335" i="1" s="1"/>
  <c r="G335" i="1" s="1"/>
  <c r="E327" i="1" a="1"/>
  <c r="E327" i="1" s="1"/>
  <c r="E319" i="1" a="1"/>
  <c r="E319" i="1" s="1"/>
  <c r="E311" i="1" a="1"/>
  <c r="E311" i="1" s="1"/>
  <c r="E303" i="1" a="1"/>
  <c r="E303" i="1" s="1"/>
  <c r="G303" i="1" s="1"/>
  <c r="E295" i="1" a="1"/>
  <c r="E295" i="1" s="1"/>
  <c r="E287" i="1" a="1"/>
  <c r="E287" i="1" s="1"/>
  <c r="E279" i="1" a="1"/>
  <c r="E279" i="1" s="1"/>
  <c r="E267" i="1" a="1"/>
  <c r="E267" i="1" s="1"/>
  <c r="G267" i="1" s="1"/>
  <c r="E259" i="1" a="1"/>
  <c r="E259" i="1" s="1"/>
  <c r="E251" i="1" a="1"/>
  <c r="E251" i="1" s="1"/>
  <c r="E247" i="1" a="1"/>
  <c r="E247" i="1" s="1"/>
  <c r="E239" i="1" a="1"/>
  <c r="E239" i="1" s="1"/>
  <c r="G239" i="1" s="1"/>
  <c r="E235" i="1" a="1"/>
  <c r="E235" i="1" s="1"/>
  <c r="E231" i="1" a="1"/>
  <c r="E231" i="1" s="1"/>
  <c r="E227" i="1" a="1"/>
  <c r="E227" i="1" s="1"/>
  <c r="E223" i="1" a="1"/>
  <c r="E223" i="1" s="1"/>
  <c r="G223" i="1" s="1"/>
  <c r="E219" i="1" a="1"/>
  <c r="E219" i="1" s="1"/>
  <c r="E215" i="1" a="1"/>
  <c r="E215" i="1" s="1"/>
  <c r="E211" i="1" a="1"/>
  <c r="E211" i="1" s="1"/>
  <c r="E207" i="1" a="1"/>
  <c r="E207" i="1" s="1"/>
  <c r="E203" i="1" a="1"/>
  <c r="E203" i="1" s="1"/>
  <c r="E199" i="1" a="1"/>
  <c r="E199" i="1" s="1"/>
  <c r="E195" i="1" a="1"/>
  <c r="E195" i="1" s="1"/>
  <c r="E191" i="1" a="1"/>
  <c r="E191" i="1" s="1"/>
  <c r="G191" i="1" s="1"/>
  <c r="E187" i="1" a="1"/>
  <c r="E187" i="1" s="1"/>
  <c r="E183" i="1" a="1"/>
  <c r="E183" i="1" s="1"/>
  <c r="E179" i="1" a="1"/>
  <c r="E179" i="1" s="1"/>
  <c r="E175" i="1" a="1"/>
  <c r="E175" i="1" s="1"/>
  <c r="E171" i="1" a="1"/>
  <c r="E171" i="1" s="1"/>
  <c r="E167" i="1" a="1"/>
  <c r="E167" i="1" s="1"/>
  <c r="E163" i="1" a="1"/>
  <c r="E163" i="1" s="1"/>
  <c r="E159" i="1" a="1"/>
  <c r="E159" i="1" s="1"/>
  <c r="G159" i="1" s="1"/>
  <c r="E155" i="1" a="1"/>
  <c r="E155" i="1" s="1"/>
  <c r="E151" i="1" a="1"/>
  <c r="E151" i="1" s="1"/>
  <c r="E143" i="1" a="1"/>
  <c r="E143" i="1" s="1"/>
  <c r="E139" i="1" a="1"/>
  <c r="E139" i="1" s="1"/>
  <c r="E135" i="1" a="1"/>
  <c r="E135" i="1" s="1"/>
  <c r="H135" i="1" s="1"/>
  <c r="E131" i="1" a="1"/>
  <c r="E131" i="1" s="1"/>
  <c r="H131" i="1" s="1"/>
  <c r="E127" i="1" a="1"/>
  <c r="E127" i="1" s="1"/>
  <c r="H127" i="1" s="1"/>
  <c r="E123" i="1" a="1"/>
  <c r="E123" i="1" s="1"/>
  <c r="H123" i="1" s="1"/>
  <c r="E119" i="1" a="1"/>
  <c r="E119" i="1" s="1"/>
  <c r="H119" i="1" s="1"/>
  <c r="E115" i="1" a="1"/>
  <c r="E115" i="1" s="1"/>
  <c r="H115" i="1" s="1"/>
  <c r="E111" i="1" a="1"/>
  <c r="E111" i="1" s="1"/>
  <c r="H111" i="1" s="1"/>
  <c r="E107" i="1" a="1"/>
  <c r="E107" i="1" s="1"/>
  <c r="H107" i="1" s="1"/>
  <c r="E103" i="1" a="1"/>
  <c r="E103" i="1" s="1"/>
  <c r="H103" i="1" s="1"/>
  <c r="E99" i="1" a="1"/>
  <c r="E99" i="1" s="1"/>
  <c r="H99" i="1" s="1"/>
  <c r="E95" i="1" a="1"/>
  <c r="E95" i="1" s="1"/>
  <c r="H95" i="1" s="1"/>
  <c r="E91" i="1" a="1"/>
  <c r="E91" i="1" s="1"/>
  <c r="H91" i="1" s="1"/>
  <c r="E87" i="1" a="1"/>
  <c r="E87" i="1" s="1"/>
  <c r="H87" i="1" s="1"/>
  <c r="E83" i="1" a="1"/>
  <c r="E83" i="1" s="1"/>
  <c r="H83" i="1" s="1"/>
  <c r="E79" i="1" a="1"/>
  <c r="E79" i="1" s="1"/>
  <c r="H79" i="1" s="1"/>
  <c r="E75" i="1" a="1"/>
  <c r="E75" i="1" s="1"/>
  <c r="H75" i="1" s="1"/>
  <c r="E71" i="1" a="1"/>
  <c r="E71" i="1" s="1"/>
  <c r="H71" i="1" s="1"/>
  <c r="E67" i="1" a="1"/>
  <c r="E67" i="1" s="1"/>
  <c r="H67" i="1" s="1"/>
  <c r="E63" i="1" a="1"/>
  <c r="E63" i="1" s="1"/>
  <c r="H63" i="1" s="1"/>
  <c r="E59" i="1" a="1"/>
  <c r="E59" i="1" s="1"/>
  <c r="H59" i="1" s="1"/>
  <c r="E55" i="1" a="1"/>
  <c r="E55" i="1" s="1"/>
  <c r="H55" i="1" s="1"/>
  <c r="E51" i="1" a="1"/>
  <c r="E51" i="1" s="1"/>
  <c r="H51" i="1" s="1"/>
  <c r="E47" i="1" a="1"/>
  <c r="E47" i="1" s="1"/>
  <c r="H47" i="1" s="1"/>
  <c r="E43" i="1" a="1"/>
  <c r="E43" i="1" s="1"/>
  <c r="H43" i="1" s="1"/>
  <c r="E39" i="1" a="1"/>
  <c r="E39" i="1" s="1"/>
  <c r="H39" i="1" s="1"/>
  <c r="E35" i="1" a="1"/>
  <c r="E35" i="1" s="1"/>
  <c r="H35" i="1" s="1"/>
  <c r="E31" i="1" a="1"/>
  <c r="E31" i="1" s="1"/>
  <c r="H31" i="1" s="1"/>
  <c r="E27" i="1" a="1"/>
  <c r="E27" i="1" s="1"/>
  <c r="H27" i="1" s="1"/>
  <c r="E23" i="1" a="1"/>
  <c r="E23" i="1" s="1"/>
  <c r="H23" i="1" s="1"/>
  <c r="E19" i="1" a="1"/>
  <c r="E19" i="1" s="1"/>
  <c r="H19" i="1" s="1"/>
  <c r="E15" i="1" a="1"/>
  <c r="E15" i="1" s="1"/>
  <c r="H15" i="1" s="1"/>
  <c r="E11" i="1" a="1"/>
  <c r="E11" i="1" s="1"/>
  <c r="H11" i="1" s="1"/>
  <c r="E7" i="1" a="1"/>
  <c r="E7" i="1" s="1"/>
  <c r="H7" i="1" s="1"/>
  <c r="E3" i="1" a="1"/>
  <c r="E3" i="1" s="1"/>
  <c r="H3" i="1" s="1"/>
  <c r="E969" i="1" a="1"/>
  <c r="E969" i="1" s="1"/>
  <c r="G969" i="1" s="1"/>
  <c r="E961" i="1" a="1"/>
  <c r="E961" i="1" s="1"/>
  <c r="G961" i="1" s="1"/>
  <c r="E953" i="1" a="1"/>
  <c r="E953" i="1" s="1"/>
  <c r="G953" i="1" s="1"/>
  <c r="E945" i="1" a="1"/>
  <c r="E945" i="1" s="1"/>
  <c r="G945" i="1" s="1"/>
  <c r="E913" i="1" a="1"/>
  <c r="E913" i="1" s="1"/>
  <c r="G913" i="1" s="1"/>
  <c r="E905" i="1" a="1"/>
  <c r="E905" i="1" s="1"/>
  <c r="G905" i="1" s="1"/>
  <c r="E893" i="1" a="1"/>
  <c r="E893" i="1" s="1"/>
  <c r="G893" i="1" s="1"/>
  <c r="E869" i="1" a="1"/>
  <c r="E869" i="1" s="1"/>
  <c r="G869" i="1" s="1"/>
  <c r="E837" i="1" a="1"/>
  <c r="E837" i="1" s="1"/>
  <c r="H837" i="1" s="1"/>
  <c r="E825" i="1" a="1"/>
  <c r="E825" i="1" s="1"/>
  <c r="H825" i="1" s="1"/>
  <c r="E817" i="1" a="1"/>
  <c r="E817" i="1" s="1"/>
  <c r="H817" i="1" s="1"/>
  <c r="E809" i="1" a="1"/>
  <c r="E809" i="1" s="1"/>
  <c r="H809" i="1" s="1"/>
  <c r="E801" i="1" a="1"/>
  <c r="E801" i="1" s="1"/>
  <c r="H801" i="1" s="1"/>
  <c r="E793" i="1" a="1"/>
  <c r="E793" i="1" s="1"/>
  <c r="H793" i="1" s="1"/>
  <c r="E781" i="1" a="1"/>
  <c r="E781" i="1" s="1"/>
  <c r="H781" i="1" s="1"/>
  <c r="E773" i="1" a="1"/>
  <c r="E773" i="1" s="1"/>
  <c r="H773" i="1" s="1"/>
  <c r="E753" i="1" a="1"/>
  <c r="E753" i="1" s="1"/>
  <c r="H753" i="1" s="1"/>
  <c r="E745" i="1" a="1"/>
  <c r="E745" i="1" s="1"/>
  <c r="H745" i="1" s="1"/>
  <c r="E737" i="1" a="1"/>
  <c r="E737" i="1" s="1"/>
  <c r="H737" i="1" s="1"/>
  <c r="E725" i="1" a="1"/>
  <c r="E725" i="1" s="1"/>
  <c r="H725" i="1" s="1"/>
  <c r="E713" i="1" a="1"/>
  <c r="E713" i="1" s="1"/>
  <c r="H713" i="1" s="1"/>
  <c r="E701" i="1" a="1"/>
  <c r="E701" i="1" s="1"/>
  <c r="H701" i="1" s="1"/>
  <c r="E689" i="1" a="1"/>
  <c r="E689" i="1" s="1"/>
  <c r="H689" i="1" s="1"/>
  <c r="E677" i="1" a="1"/>
  <c r="E677" i="1" s="1"/>
  <c r="H677" i="1" s="1"/>
  <c r="E665" i="1" a="1"/>
  <c r="E665" i="1" s="1"/>
  <c r="H665" i="1" s="1"/>
  <c r="E653" i="1" a="1"/>
  <c r="E653" i="1" s="1"/>
  <c r="H653" i="1" s="1"/>
  <c r="E641" i="1" a="1"/>
  <c r="E641" i="1" s="1"/>
  <c r="H641" i="1" s="1"/>
  <c r="E625" i="1" a="1"/>
  <c r="E625" i="1" s="1"/>
  <c r="H625" i="1" s="1"/>
  <c r="E613" i="1" a="1"/>
  <c r="E613" i="1" s="1"/>
  <c r="H613" i="1" s="1"/>
  <c r="E597" i="1" a="1"/>
  <c r="E597" i="1" s="1"/>
  <c r="H597" i="1" s="1"/>
  <c r="E995" i="1" a="1"/>
  <c r="E995" i="1" s="1"/>
  <c r="G995" i="1" s="1"/>
  <c r="E987" i="1" a="1"/>
  <c r="E987" i="1" s="1"/>
  <c r="G987" i="1" s="1"/>
  <c r="E983" i="1" a="1"/>
  <c r="E983" i="1" s="1"/>
  <c r="G983" i="1" s="1"/>
  <c r="E975" i="1" a="1"/>
  <c r="E975" i="1" s="1"/>
  <c r="G975" i="1" s="1"/>
  <c r="E967" i="1" a="1"/>
  <c r="E967" i="1" s="1"/>
  <c r="G967" i="1" s="1"/>
  <c r="E959" i="1" a="1"/>
  <c r="E959" i="1" s="1"/>
  <c r="G959" i="1" s="1"/>
  <c r="E951" i="1" a="1"/>
  <c r="E951" i="1" s="1"/>
  <c r="G951" i="1" s="1"/>
  <c r="E947" i="1" a="1"/>
  <c r="E947" i="1" s="1"/>
  <c r="G947" i="1" s="1"/>
  <c r="E939" i="1" a="1"/>
  <c r="E939" i="1" s="1"/>
  <c r="G939" i="1" s="1"/>
  <c r="E931" i="1" a="1"/>
  <c r="E931" i="1" s="1"/>
  <c r="H931" i="1" s="1"/>
  <c r="E923" i="1" a="1"/>
  <c r="E923" i="1" s="1"/>
  <c r="H923" i="1" s="1"/>
  <c r="E919" i="1" a="1"/>
  <c r="E919" i="1" s="1"/>
  <c r="H919" i="1" s="1"/>
  <c r="E911" i="1" a="1"/>
  <c r="E911" i="1" s="1"/>
  <c r="H911" i="1" s="1"/>
  <c r="E907" i="1" a="1"/>
  <c r="E907" i="1" s="1"/>
  <c r="H907" i="1" s="1"/>
  <c r="E899" i="1" a="1"/>
  <c r="E899" i="1" s="1"/>
  <c r="H899" i="1" s="1"/>
  <c r="E891" i="1" a="1"/>
  <c r="E891" i="1" s="1"/>
  <c r="H891" i="1" s="1"/>
  <c r="E887" i="1" a="1"/>
  <c r="E887" i="1" s="1"/>
  <c r="H887" i="1" s="1"/>
  <c r="E883" i="1" a="1"/>
  <c r="E883" i="1" s="1"/>
  <c r="H883" i="1" s="1"/>
  <c r="E875" i="1" a="1"/>
  <c r="E875" i="1" s="1"/>
  <c r="H875" i="1" s="1"/>
  <c r="E867" i="1" a="1"/>
  <c r="E867" i="1" s="1"/>
  <c r="H867" i="1" s="1"/>
  <c r="E859" i="1" a="1"/>
  <c r="E859" i="1" s="1"/>
  <c r="H859" i="1" s="1"/>
  <c r="E851" i="1" a="1"/>
  <c r="E851" i="1" s="1"/>
  <c r="H851" i="1" s="1"/>
  <c r="E843" i="1" a="1"/>
  <c r="E843" i="1" s="1"/>
  <c r="H843" i="1" s="1"/>
  <c r="E835" i="1" a="1"/>
  <c r="E835" i="1" s="1"/>
  <c r="H835" i="1" s="1"/>
  <c r="E831" i="1" a="1"/>
  <c r="E831" i="1" s="1"/>
  <c r="H831" i="1" s="1"/>
  <c r="E823" i="1" a="1"/>
  <c r="E823" i="1" s="1"/>
  <c r="H823" i="1" s="1"/>
  <c r="E815" i="1" a="1"/>
  <c r="E815" i="1" s="1"/>
  <c r="H815" i="1" s="1"/>
  <c r="E807" i="1" a="1"/>
  <c r="E807" i="1" s="1"/>
  <c r="H807" i="1" s="1"/>
  <c r="E799" i="1" a="1"/>
  <c r="E799" i="1" s="1"/>
  <c r="H799" i="1" s="1"/>
  <c r="E791" i="1" a="1"/>
  <c r="E791" i="1" s="1"/>
  <c r="H791" i="1" s="1"/>
  <c r="E783" i="1" a="1"/>
  <c r="E783" i="1" s="1"/>
  <c r="H783" i="1" s="1"/>
  <c r="E775" i="1" a="1"/>
  <c r="E775" i="1" s="1"/>
  <c r="H775" i="1" s="1"/>
  <c r="E767" i="1" a="1"/>
  <c r="E767" i="1" s="1"/>
  <c r="H767" i="1" s="1"/>
  <c r="E759" i="1" a="1"/>
  <c r="E759" i="1" s="1"/>
  <c r="H759" i="1" s="1"/>
  <c r="E751" i="1" a="1"/>
  <c r="E751" i="1" s="1"/>
  <c r="H751" i="1" s="1"/>
  <c r="E743" i="1" a="1"/>
  <c r="E743" i="1" s="1"/>
  <c r="H743" i="1" s="1"/>
  <c r="E735" i="1" a="1"/>
  <c r="E735" i="1" s="1"/>
  <c r="H735" i="1" s="1"/>
  <c r="E727" i="1" a="1"/>
  <c r="E727" i="1" s="1"/>
  <c r="H727" i="1" s="1"/>
  <c r="E719" i="1" a="1"/>
  <c r="E719" i="1" s="1"/>
  <c r="H719" i="1" s="1"/>
  <c r="E711" i="1" a="1"/>
  <c r="E711" i="1" s="1"/>
  <c r="H711" i="1" s="1"/>
  <c r="E703" i="1" a="1"/>
  <c r="E703" i="1" s="1"/>
  <c r="H703" i="1" s="1"/>
  <c r="E695" i="1" a="1"/>
  <c r="E695" i="1" s="1"/>
  <c r="H695" i="1" s="1"/>
  <c r="E687" i="1" a="1"/>
  <c r="E687" i="1" s="1"/>
  <c r="H687" i="1" s="1"/>
  <c r="E679" i="1" a="1"/>
  <c r="E679" i="1" s="1"/>
  <c r="H679" i="1" s="1"/>
  <c r="E671" i="1" a="1"/>
  <c r="E671" i="1" s="1"/>
  <c r="H671" i="1" s="1"/>
  <c r="E663" i="1" a="1"/>
  <c r="E663" i="1" s="1"/>
  <c r="H663" i="1" s="1"/>
  <c r="E659" i="1" a="1"/>
  <c r="E659" i="1" s="1"/>
  <c r="H659" i="1" s="1"/>
  <c r="E651" i="1" a="1"/>
  <c r="E651" i="1" s="1"/>
  <c r="H651" i="1" s="1"/>
  <c r="E643" i="1" a="1"/>
  <c r="E643" i="1" s="1"/>
  <c r="H643" i="1" s="1"/>
  <c r="E635" i="1" a="1"/>
  <c r="E635" i="1" s="1"/>
  <c r="H635" i="1" s="1"/>
  <c r="E627" i="1" a="1"/>
  <c r="E627" i="1" s="1"/>
  <c r="H627" i="1" s="1"/>
  <c r="E619" i="1" a="1"/>
  <c r="E619" i="1" s="1"/>
  <c r="H619" i="1" s="1"/>
  <c r="E615" i="1" a="1"/>
  <c r="E615" i="1" s="1"/>
  <c r="H615" i="1" s="1"/>
  <c r="E607" i="1" a="1"/>
  <c r="E607" i="1" s="1"/>
  <c r="H607" i="1" s="1"/>
  <c r="E599" i="1" a="1"/>
  <c r="E599" i="1" s="1"/>
  <c r="H599" i="1" s="1"/>
  <c r="E591" i="1" a="1"/>
  <c r="E591" i="1" s="1"/>
  <c r="H591" i="1" s="1"/>
  <c r="E583" i="1" a="1"/>
  <c r="E583" i="1" s="1"/>
  <c r="H583" i="1" s="1"/>
  <c r="E575" i="1" a="1"/>
  <c r="E575" i="1" s="1"/>
  <c r="H575" i="1" s="1"/>
  <c r="E567" i="1" a="1"/>
  <c r="E567" i="1" s="1"/>
  <c r="H567" i="1" s="1"/>
  <c r="E563" i="1" a="1"/>
  <c r="E563" i="1" s="1"/>
  <c r="H563" i="1" s="1"/>
  <c r="E555" i="1" a="1"/>
  <c r="E555" i="1" s="1"/>
  <c r="H555" i="1" s="1"/>
  <c r="E547" i="1" a="1"/>
  <c r="E547" i="1" s="1"/>
  <c r="H547" i="1" s="1"/>
  <c r="E539" i="1" a="1"/>
  <c r="E539" i="1" s="1"/>
  <c r="H539" i="1" s="1"/>
  <c r="E531" i="1" a="1"/>
  <c r="E531" i="1" s="1"/>
  <c r="H531" i="1" s="1"/>
  <c r="E523" i="1" a="1"/>
  <c r="E523" i="1" s="1"/>
  <c r="H523" i="1" s="1"/>
  <c r="E515" i="1" a="1"/>
  <c r="E515" i="1" s="1"/>
  <c r="H515" i="1" s="1"/>
  <c r="E507" i="1" a="1"/>
  <c r="E507" i="1" s="1"/>
  <c r="H507" i="1" s="1"/>
  <c r="E499" i="1" a="1"/>
  <c r="E499" i="1" s="1"/>
  <c r="H499" i="1" s="1"/>
  <c r="E491" i="1" a="1"/>
  <c r="E491" i="1" s="1"/>
  <c r="H491" i="1" s="1"/>
  <c r="E483" i="1" a="1"/>
  <c r="E483" i="1" s="1"/>
  <c r="H483" i="1" s="1"/>
  <c r="E479" i="1" a="1"/>
  <c r="E479" i="1" s="1"/>
  <c r="E471" i="1" a="1"/>
  <c r="E471" i="1" s="1"/>
  <c r="G471" i="1" s="1"/>
  <c r="E463" i="1" a="1"/>
  <c r="E463" i="1" s="1"/>
  <c r="E455" i="1" a="1"/>
  <c r="E455" i="1" s="1"/>
  <c r="G455" i="1" s="1"/>
  <c r="E447" i="1" a="1"/>
  <c r="E447" i="1" s="1"/>
  <c r="E443" i="1" a="1"/>
  <c r="E443" i="1" s="1"/>
  <c r="E435" i="1" a="1"/>
  <c r="E435" i="1" s="1"/>
  <c r="E427" i="1" a="1"/>
  <c r="E427" i="1" s="1"/>
  <c r="G427" i="1" s="1"/>
  <c r="E423" i="1" a="1"/>
  <c r="E423" i="1" s="1"/>
  <c r="G423" i="1" s="1"/>
  <c r="E415" i="1" a="1"/>
  <c r="E415" i="1" s="1"/>
  <c r="G415" i="1" s="1"/>
  <c r="E407" i="1" a="1"/>
  <c r="E407" i="1" s="1"/>
  <c r="E399" i="1" a="1"/>
  <c r="E399" i="1" s="1"/>
  <c r="G399" i="1" s="1"/>
  <c r="E391" i="1" a="1"/>
  <c r="E391" i="1" s="1"/>
  <c r="E383" i="1" a="1"/>
  <c r="E383" i="1" s="1"/>
  <c r="G383" i="1" s="1"/>
  <c r="E375" i="1" a="1"/>
  <c r="E375" i="1" s="1"/>
  <c r="E367" i="1" a="1"/>
  <c r="E367" i="1" s="1"/>
  <c r="G367" i="1" s="1"/>
  <c r="E359" i="1" a="1"/>
  <c r="E359" i="1" s="1"/>
  <c r="E355" i="1" a="1"/>
  <c r="E355" i="1" s="1"/>
  <c r="H355" i="1" s="1"/>
  <c r="E347" i="1" a="1"/>
  <c r="E347" i="1" s="1"/>
  <c r="E339" i="1" a="1"/>
  <c r="E339" i="1" s="1"/>
  <c r="G339" i="1" s="1"/>
  <c r="E331" i="1" a="1"/>
  <c r="E331" i="1" s="1"/>
  <c r="G331" i="1" s="1"/>
  <c r="E323" i="1" a="1"/>
  <c r="E323" i="1" s="1"/>
  <c r="G323" i="1" s="1"/>
  <c r="E315" i="1" a="1"/>
  <c r="E315" i="1" s="1"/>
  <c r="E307" i="1" a="1"/>
  <c r="E307" i="1" s="1"/>
  <c r="G307" i="1" s="1"/>
  <c r="E299" i="1" a="1"/>
  <c r="E299" i="1" s="1"/>
  <c r="E291" i="1" a="1"/>
  <c r="E291" i="1" s="1"/>
  <c r="E283" i="1" a="1"/>
  <c r="E283" i="1" s="1"/>
  <c r="E275" i="1" a="1"/>
  <c r="E275" i="1" s="1"/>
  <c r="G275" i="1" s="1"/>
  <c r="E271" i="1" a="1"/>
  <c r="E271" i="1" s="1"/>
  <c r="E263" i="1" a="1"/>
  <c r="E263" i="1" s="1"/>
  <c r="G263" i="1" s="1"/>
  <c r="E255" i="1" a="1"/>
  <c r="E255" i="1" s="1"/>
  <c r="E243" i="1" a="1"/>
  <c r="E243" i="1" s="1"/>
  <c r="G243" i="1" s="1"/>
  <c r="E147" i="1" a="1"/>
  <c r="E147" i="1" s="1"/>
  <c r="G147" i="1" s="1"/>
  <c r="E128" i="1" a="1"/>
  <c r="E128" i="1" s="1"/>
  <c r="G128" i="1" s="1"/>
  <c r="E124" i="1" a="1"/>
  <c r="E124" i="1" s="1"/>
  <c r="E120" i="1" a="1"/>
  <c r="E120" i="1" s="1"/>
  <c r="G120" i="1" s="1"/>
  <c r="E116" i="1" a="1"/>
  <c r="E116" i="1" s="1"/>
  <c r="E112" i="1" a="1"/>
  <c r="E112" i="1" s="1"/>
  <c r="G112" i="1" s="1"/>
  <c r="E108" i="1" a="1"/>
  <c r="E108" i="1" s="1"/>
  <c r="E104" i="1" a="1"/>
  <c r="E104" i="1" s="1"/>
  <c r="G104" i="1" s="1"/>
  <c r="E100" i="1" a="1"/>
  <c r="E100" i="1" s="1"/>
  <c r="E96" i="1" a="1"/>
  <c r="E96" i="1" s="1"/>
  <c r="G96" i="1" s="1"/>
  <c r="E92" i="1" a="1"/>
  <c r="E92" i="1" s="1"/>
  <c r="E88" i="1" a="1"/>
  <c r="E88" i="1" s="1"/>
  <c r="G88" i="1" s="1"/>
  <c r="E84" i="1" a="1"/>
  <c r="E84" i="1" s="1"/>
  <c r="E80" i="1" a="1"/>
  <c r="E80" i="1" s="1"/>
  <c r="G80" i="1" s="1"/>
  <c r="E76" i="1" a="1"/>
  <c r="E76" i="1" s="1"/>
  <c r="E72" i="1" a="1"/>
  <c r="E72" i="1" s="1"/>
  <c r="G72" i="1" s="1"/>
  <c r="E68" i="1" a="1"/>
  <c r="E68" i="1" s="1"/>
  <c r="E64" i="1" a="1"/>
  <c r="E64" i="1" s="1"/>
  <c r="G64" i="1" s="1"/>
  <c r="E60" i="1" a="1"/>
  <c r="E60" i="1" s="1"/>
  <c r="E56" i="1" a="1"/>
  <c r="E56" i="1" s="1"/>
  <c r="G56" i="1" s="1"/>
  <c r="E52" i="1" a="1"/>
  <c r="E52" i="1" s="1"/>
  <c r="E48" i="1" a="1"/>
  <c r="E48" i="1" s="1"/>
  <c r="G48" i="1" s="1"/>
  <c r="E44" i="1" a="1"/>
  <c r="E44" i="1" s="1"/>
  <c r="E40" i="1" a="1"/>
  <c r="E40" i="1" s="1"/>
  <c r="G40" i="1" s="1"/>
  <c r="E36" i="1" a="1"/>
  <c r="E36" i="1" s="1"/>
  <c r="E32" i="1" a="1"/>
  <c r="E32" i="1" s="1"/>
  <c r="G32" i="1" s="1"/>
  <c r="E28" i="1" a="1"/>
  <c r="E28" i="1" s="1"/>
  <c r="E24" i="1" a="1"/>
  <c r="E24" i="1" s="1"/>
  <c r="G24" i="1" s="1"/>
  <c r="E20" i="1" a="1"/>
  <c r="E20" i="1" s="1"/>
  <c r="E16" i="1" a="1"/>
  <c r="E16" i="1" s="1"/>
  <c r="G16" i="1" s="1"/>
  <c r="E12" i="1" a="1"/>
  <c r="E12" i="1" s="1"/>
  <c r="E8" i="1" a="1"/>
  <c r="E8" i="1" s="1"/>
  <c r="G8" i="1" s="1"/>
  <c r="E4" i="1" a="1"/>
  <c r="E4" i="1" s="1"/>
  <c r="H4" i="1" s="1"/>
  <c r="I505" i="1"/>
  <c r="I934" i="1"/>
  <c r="I926" i="1"/>
  <c r="I918" i="1"/>
  <c r="I910" i="1"/>
  <c r="I902" i="1"/>
  <c r="I894" i="1"/>
  <c r="I886" i="1"/>
  <c r="I878" i="1"/>
  <c r="I870" i="1"/>
  <c r="I862" i="1"/>
  <c r="I854" i="1"/>
  <c r="I846" i="1"/>
  <c r="I838" i="1"/>
  <c r="E334" i="1" a="1"/>
  <c r="E334" i="1" s="1"/>
  <c r="H334" i="1" s="1"/>
  <c r="E330" i="1" a="1"/>
  <c r="E330" i="1" s="1"/>
  <c r="H330" i="1" s="1"/>
  <c r="E318" i="1" a="1"/>
  <c r="E318" i="1" s="1"/>
  <c r="H318" i="1" s="1"/>
  <c r="E314" i="1" a="1"/>
  <c r="E314" i="1" s="1"/>
  <c r="H314" i="1" s="1"/>
  <c r="E302" i="1" a="1"/>
  <c r="E302" i="1" s="1"/>
  <c r="H302" i="1" s="1"/>
  <c r="E298" i="1" a="1"/>
  <c r="E298" i="1" s="1"/>
  <c r="H298" i="1" s="1"/>
  <c r="E286" i="1" a="1"/>
  <c r="E286" i="1" s="1"/>
  <c r="H286" i="1" s="1"/>
  <c r="E282" i="1" a="1"/>
  <c r="E282" i="1" s="1"/>
  <c r="H282" i="1" s="1"/>
  <c r="E270" i="1" a="1"/>
  <c r="E270" i="1" s="1"/>
  <c r="H270" i="1" s="1"/>
  <c r="E266" i="1" a="1"/>
  <c r="E266" i="1" s="1"/>
  <c r="H266" i="1" s="1"/>
  <c r="E254" i="1" a="1"/>
  <c r="E254" i="1" s="1"/>
  <c r="H254" i="1" s="1"/>
  <c r="E250" i="1" a="1"/>
  <c r="E250" i="1" s="1"/>
  <c r="H250" i="1" s="1"/>
  <c r="E238" i="1" a="1"/>
  <c r="E238" i="1" s="1"/>
  <c r="H238" i="1" s="1"/>
  <c r="E234" i="1" a="1"/>
  <c r="E234" i="1" s="1"/>
  <c r="H234" i="1" s="1"/>
  <c r="E222" i="1" a="1"/>
  <c r="E222" i="1" s="1"/>
  <c r="H222" i="1" s="1"/>
  <c r="E218" i="1" a="1"/>
  <c r="E218" i="1" s="1"/>
  <c r="H218" i="1" s="1"/>
  <c r="E206" i="1" a="1"/>
  <c r="E206" i="1" s="1"/>
  <c r="H206" i="1" s="1"/>
  <c r="E202" i="1" a="1"/>
  <c r="E202" i="1" s="1"/>
  <c r="H202" i="1" s="1"/>
  <c r="E190" i="1" a="1"/>
  <c r="E190" i="1" s="1"/>
  <c r="H190" i="1" s="1"/>
  <c r="E186" i="1" a="1"/>
  <c r="E186" i="1" s="1"/>
  <c r="H186" i="1" s="1"/>
  <c r="E174" i="1" a="1"/>
  <c r="E174" i="1" s="1"/>
  <c r="H174" i="1" s="1"/>
  <c r="E170" i="1" a="1"/>
  <c r="E170" i="1" s="1"/>
  <c r="H170" i="1" s="1"/>
  <c r="E158" i="1" a="1"/>
  <c r="E158" i="1" s="1"/>
  <c r="H158" i="1" s="1"/>
  <c r="E154" i="1" a="1"/>
  <c r="E154" i="1" s="1"/>
  <c r="H154" i="1" s="1"/>
  <c r="E142" i="1" a="1"/>
  <c r="E142" i="1" s="1"/>
  <c r="H142" i="1" s="1"/>
  <c r="E138" i="1" a="1"/>
  <c r="E138" i="1" s="1"/>
  <c r="H138" i="1" s="1"/>
  <c r="E126" i="1" a="1"/>
  <c r="E126" i="1" s="1"/>
  <c r="H126" i="1" s="1"/>
  <c r="E122" i="1" a="1"/>
  <c r="E122" i="1" s="1"/>
  <c r="H122" i="1" s="1"/>
  <c r="E110" i="1" a="1"/>
  <c r="E110" i="1" s="1"/>
  <c r="H110" i="1" s="1"/>
  <c r="E106" i="1" a="1"/>
  <c r="E106" i="1" s="1"/>
  <c r="H106" i="1" s="1"/>
  <c r="E94" i="1" a="1"/>
  <c r="E94" i="1" s="1"/>
  <c r="H94" i="1" s="1"/>
  <c r="E90" i="1" a="1"/>
  <c r="E90" i="1" s="1"/>
  <c r="H90" i="1" s="1"/>
  <c r="E78" i="1" a="1"/>
  <c r="E78" i="1" s="1"/>
  <c r="H78" i="1" s="1"/>
  <c r="E74" i="1" a="1"/>
  <c r="E74" i="1" s="1"/>
  <c r="H74" i="1" s="1"/>
  <c r="E62" i="1" a="1"/>
  <c r="E62" i="1" s="1"/>
  <c r="H62" i="1" s="1"/>
  <c r="E58" i="1" a="1"/>
  <c r="E58" i="1" s="1"/>
  <c r="H58" i="1" s="1"/>
  <c r="E46" i="1" a="1"/>
  <c r="E46" i="1" s="1"/>
  <c r="H46" i="1" s="1"/>
  <c r="E42" i="1" a="1"/>
  <c r="E42" i="1" s="1"/>
  <c r="H42" i="1" s="1"/>
  <c r="E30" i="1" a="1"/>
  <c r="E30" i="1" s="1"/>
  <c r="H30" i="1" s="1"/>
  <c r="E26" i="1" a="1"/>
  <c r="E26" i="1" s="1"/>
  <c r="H26" i="1" s="1"/>
  <c r="E14" i="1" a="1"/>
  <c r="E14" i="1" s="1"/>
  <c r="H14" i="1" s="1"/>
  <c r="E10" i="1" a="1"/>
  <c r="E10" i="1" s="1"/>
  <c r="H10" i="1" s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38" i="1"/>
  <c r="I306" i="1"/>
  <c r="I274" i="1"/>
  <c r="I242" i="1"/>
  <c r="I210" i="1"/>
  <c r="I178" i="1"/>
  <c r="I146" i="1"/>
  <c r="I114" i="1"/>
  <c r="I82" i="1"/>
  <c r="I50" i="1"/>
  <c r="I18" i="1"/>
  <c r="E341" i="1" a="1"/>
  <c r="E341" i="1" s="1"/>
  <c r="H341" i="1" s="1"/>
  <c r="E337" i="1" a="1"/>
  <c r="E337" i="1" s="1"/>
  <c r="H337" i="1" s="1"/>
  <c r="E333" i="1" a="1"/>
  <c r="E333" i="1" s="1"/>
  <c r="H333" i="1" s="1"/>
  <c r="E329" i="1" a="1"/>
  <c r="E329" i="1" s="1"/>
  <c r="H329" i="1" s="1"/>
  <c r="E325" i="1" a="1"/>
  <c r="E325" i="1" s="1"/>
  <c r="H325" i="1" s="1"/>
  <c r="E321" i="1" a="1"/>
  <c r="E321" i="1" s="1"/>
  <c r="H321" i="1" s="1"/>
  <c r="E317" i="1" a="1"/>
  <c r="E317" i="1" s="1"/>
  <c r="H317" i="1" s="1"/>
  <c r="E313" i="1" a="1"/>
  <c r="E313" i="1" s="1"/>
  <c r="H313" i="1" s="1"/>
  <c r="E309" i="1" a="1"/>
  <c r="E309" i="1" s="1"/>
  <c r="H309" i="1" s="1"/>
  <c r="E305" i="1" a="1"/>
  <c r="E305" i="1" s="1"/>
  <c r="H305" i="1" s="1"/>
  <c r="E301" i="1" a="1"/>
  <c r="E301" i="1" s="1"/>
  <c r="H301" i="1" s="1"/>
  <c r="E297" i="1" a="1"/>
  <c r="E297" i="1" s="1"/>
  <c r="H297" i="1" s="1"/>
  <c r="E293" i="1" a="1"/>
  <c r="E293" i="1" s="1"/>
  <c r="H293" i="1" s="1"/>
  <c r="E289" i="1" a="1"/>
  <c r="E289" i="1" s="1"/>
  <c r="H289" i="1" s="1"/>
  <c r="E285" i="1" a="1"/>
  <c r="E285" i="1" s="1"/>
  <c r="H285" i="1" s="1"/>
  <c r="E281" i="1" a="1"/>
  <c r="E281" i="1" s="1"/>
  <c r="H281" i="1" s="1"/>
  <c r="E277" i="1" a="1"/>
  <c r="E277" i="1" s="1"/>
  <c r="H277" i="1" s="1"/>
  <c r="E273" i="1" a="1"/>
  <c r="E273" i="1" s="1"/>
  <c r="H273" i="1" s="1"/>
  <c r="E269" i="1" a="1"/>
  <c r="E269" i="1" s="1"/>
  <c r="H269" i="1" s="1"/>
  <c r="E265" i="1" a="1"/>
  <c r="E265" i="1" s="1"/>
  <c r="H265" i="1" s="1"/>
  <c r="E261" i="1" a="1"/>
  <c r="E261" i="1" s="1"/>
  <c r="H261" i="1" s="1"/>
  <c r="E257" i="1" a="1"/>
  <c r="E257" i="1" s="1"/>
  <c r="H257" i="1" s="1"/>
  <c r="E253" i="1" a="1"/>
  <c r="E253" i="1" s="1"/>
  <c r="H253" i="1" s="1"/>
  <c r="E249" i="1" a="1"/>
  <c r="E249" i="1" s="1"/>
  <c r="H249" i="1" s="1"/>
  <c r="E245" i="1" a="1"/>
  <c r="E245" i="1" s="1"/>
  <c r="H245" i="1" s="1"/>
  <c r="E241" i="1" a="1"/>
  <c r="E241" i="1" s="1"/>
  <c r="H241" i="1" s="1"/>
  <c r="E237" i="1" a="1"/>
  <c r="E237" i="1" s="1"/>
  <c r="H237" i="1" s="1"/>
  <c r="E233" i="1" a="1"/>
  <c r="E233" i="1" s="1"/>
  <c r="H233" i="1" s="1"/>
  <c r="E229" i="1" a="1"/>
  <c r="E229" i="1" s="1"/>
  <c r="H229" i="1" s="1"/>
  <c r="E225" i="1" a="1"/>
  <c r="E225" i="1" s="1"/>
  <c r="H225" i="1" s="1"/>
  <c r="E221" i="1" a="1"/>
  <c r="E221" i="1" s="1"/>
  <c r="H221" i="1" s="1"/>
  <c r="E217" i="1" a="1"/>
  <c r="E217" i="1" s="1"/>
  <c r="H217" i="1" s="1"/>
  <c r="E213" i="1" a="1"/>
  <c r="E213" i="1" s="1"/>
  <c r="H213" i="1" s="1"/>
  <c r="E209" i="1" a="1"/>
  <c r="E209" i="1" s="1"/>
  <c r="H209" i="1" s="1"/>
  <c r="E205" i="1" a="1"/>
  <c r="E205" i="1" s="1"/>
  <c r="H205" i="1" s="1"/>
  <c r="E201" i="1" a="1"/>
  <c r="E201" i="1" s="1"/>
  <c r="H201" i="1" s="1"/>
  <c r="E197" i="1" a="1"/>
  <c r="E197" i="1" s="1"/>
  <c r="H197" i="1" s="1"/>
  <c r="E193" i="1" a="1"/>
  <c r="E193" i="1" s="1"/>
  <c r="H193" i="1" s="1"/>
  <c r="E189" i="1" a="1"/>
  <c r="E189" i="1" s="1"/>
  <c r="H189" i="1" s="1"/>
  <c r="E185" i="1" a="1"/>
  <c r="E185" i="1" s="1"/>
  <c r="H185" i="1" s="1"/>
  <c r="E181" i="1" a="1"/>
  <c r="E181" i="1" s="1"/>
  <c r="H181" i="1" s="1"/>
  <c r="E177" i="1" a="1"/>
  <c r="E177" i="1" s="1"/>
  <c r="H177" i="1" s="1"/>
  <c r="E173" i="1" a="1"/>
  <c r="E173" i="1" s="1"/>
  <c r="H173" i="1" s="1"/>
  <c r="E169" i="1" a="1"/>
  <c r="E169" i="1" s="1"/>
  <c r="H169" i="1" s="1"/>
  <c r="E165" i="1" a="1"/>
  <c r="E165" i="1" s="1"/>
  <c r="H165" i="1" s="1"/>
  <c r="E161" i="1" a="1"/>
  <c r="E161" i="1" s="1"/>
  <c r="H161" i="1" s="1"/>
  <c r="E157" i="1" a="1"/>
  <c r="E157" i="1" s="1"/>
  <c r="H157" i="1" s="1"/>
  <c r="E153" i="1" a="1"/>
  <c r="E153" i="1" s="1"/>
  <c r="H153" i="1" s="1"/>
  <c r="E149" i="1" a="1"/>
  <c r="E149" i="1" s="1"/>
  <c r="H149" i="1" s="1"/>
  <c r="E145" i="1" a="1"/>
  <c r="E145" i="1" s="1"/>
  <c r="H145" i="1" s="1"/>
  <c r="E141" i="1" a="1"/>
  <c r="E141" i="1" s="1"/>
  <c r="H141" i="1" s="1"/>
  <c r="E137" i="1" a="1"/>
  <c r="E137" i="1" s="1"/>
  <c r="H137" i="1" s="1"/>
  <c r="E133" i="1" a="1"/>
  <c r="E133" i="1" s="1"/>
  <c r="H133" i="1" s="1"/>
  <c r="E129" i="1" a="1"/>
  <c r="E129" i="1" s="1"/>
  <c r="H129" i="1" s="1"/>
  <c r="E125" i="1" a="1"/>
  <c r="E125" i="1" s="1"/>
  <c r="H125" i="1" s="1"/>
  <c r="E121" i="1" a="1"/>
  <c r="E121" i="1" s="1"/>
  <c r="H121" i="1" s="1"/>
  <c r="E117" i="1" a="1"/>
  <c r="E117" i="1" s="1"/>
  <c r="H117" i="1" s="1"/>
  <c r="E113" i="1" a="1"/>
  <c r="E113" i="1" s="1"/>
  <c r="H113" i="1" s="1"/>
  <c r="E109" i="1" a="1"/>
  <c r="E109" i="1" s="1"/>
  <c r="H109" i="1" s="1"/>
  <c r="E105" i="1" a="1"/>
  <c r="E105" i="1" s="1"/>
  <c r="H105" i="1" s="1"/>
  <c r="E101" i="1" a="1"/>
  <c r="E101" i="1" s="1"/>
  <c r="H101" i="1" s="1"/>
  <c r="E97" i="1" a="1"/>
  <c r="E97" i="1" s="1"/>
  <c r="H97" i="1" s="1"/>
  <c r="E93" i="1" a="1"/>
  <c r="E93" i="1" s="1"/>
  <c r="H93" i="1" s="1"/>
  <c r="E89" i="1" a="1"/>
  <c r="E89" i="1" s="1"/>
  <c r="H89" i="1" s="1"/>
  <c r="E85" i="1" a="1"/>
  <c r="E85" i="1" s="1"/>
  <c r="H85" i="1" s="1"/>
  <c r="E81" i="1" a="1"/>
  <c r="E81" i="1" s="1"/>
  <c r="H81" i="1" s="1"/>
  <c r="E77" i="1" a="1"/>
  <c r="E77" i="1" s="1"/>
  <c r="H77" i="1" s="1"/>
  <c r="E73" i="1" a="1"/>
  <c r="E73" i="1" s="1"/>
  <c r="H73" i="1" s="1"/>
  <c r="E69" i="1" a="1"/>
  <c r="E69" i="1" s="1"/>
  <c r="H69" i="1" s="1"/>
  <c r="E65" i="1" a="1"/>
  <c r="E65" i="1" s="1"/>
  <c r="H65" i="1" s="1"/>
  <c r="E61" i="1" a="1"/>
  <c r="E61" i="1" s="1"/>
  <c r="H61" i="1" s="1"/>
  <c r="E57" i="1" a="1"/>
  <c r="E57" i="1" s="1"/>
  <c r="H57" i="1" s="1"/>
  <c r="E53" i="1" a="1"/>
  <c r="E53" i="1" s="1"/>
  <c r="H53" i="1" s="1"/>
  <c r="E49" i="1" a="1"/>
  <c r="E49" i="1" s="1"/>
  <c r="H49" i="1" s="1"/>
  <c r="E45" i="1" a="1"/>
  <c r="E45" i="1" s="1"/>
  <c r="H45" i="1" s="1"/>
  <c r="E41" i="1" a="1"/>
  <c r="E41" i="1" s="1"/>
  <c r="H41" i="1" s="1"/>
  <c r="E37" i="1" a="1"/>
  <c r="E37" i="1" s="1"/>
  <c r="H37" i="1" s="1"/>
  <c r="E33" i="1" a="1"/>
  <c r="E33" i="1" s="1"/>
  <c r="H33" i="1" s="1"/>
  <c r="E29" i="1" a="1"/>
  <c r="E29" i="1" s="1"/>
  <c r="H29" i="1" s="1"/>
  <c r="E25" i="1" a="1"/>
  <c r="E25" i="1" s="1"/>
  <c r="H25" i="1" s="1"/>
  <c r="E21" i="1" a="1"/>
  <c r="E21" i="1" s="1"/>
  <c r="H21" i="1" s="1"/>
  <c r="E17" i="1" a="1"/>
  <c r="E17" i="1" s="1"/>
  <c r="H17" i="1" s="1"/>
  <c r="E13" i="1" a="1"/>
  <c r="E13" i="1" s="1"/>
  <c r="H13" i="1" s="1"/>
  <c r="E9" i="1" a="1"/>
  <c r="E9" i="1" s="1"/>
  <c r="H9" i="1" s="1"/>
  <c r="E5" i="1" a="1"/>
  <c r="E5" i="1" s="1"/>
  <c r="H5" i="1" s="1"/>
  <c r="I998" i="1"/>
  <c r="I994" i="1"/>
  <c r="I990" i="1"/>
  <c r="I986" i="1"/>
  <c r="I982" i="1"/>
  <c r="I978" i="1"/>
  <c r="I974" i="1"/>
  <c r="I970" i="1"/>
  <c r="I966" i="1"/>
  <c r="I962" i="1"/>
  <c r="I958" i="1"/>
  <c r="I954" i="1"/>
  <c r="I950" i="1"/>
  <c r="I946" i="1"/>
  <c r="I942" i="1"/>
  <c r="I938" i="1"/>
  <c r="I930" i="1"/>
  <c r="I922" i="1"/>
  <c r="I914" i="1"/>
  <c r="I906" i="1"/>
  <c r="I898" i="1"/>
  <c r="I890" i="1"/>
  <c r="I882" i="1"/>
  <c r="I874" i="1"/>
  <c r="I866" i="1"/>
  <c r="I858" i="1"/>
  <c r="I850" i="1"/>
  <c r="I842" i="1"/>
  <c r="I834" i="1"/>
  <c r="I826" i="1"/>
  <c r="I818" i="1"/>
  <c r="I810" i="1"/>
  <c r="I802" i="1"/>
  <c r="I794" i="1"/>
  <c r="I786" i="1"/>
  <c r="I778" i="1"/>
  <c r="I770" i="1"/>
  <c r="I762" i="1"/>
  <c r="I754" i="1"/>
  <c r="I746" i="1"/>
  <c r="I738" i="1"/>
  <c r="I730" i="1"/>
  <c r="I722" i="1"/>
  <c r="I714" i="1"/>
  <c r="I706" i="1"/>
  <c r="I698" i="1"/>
  <c r="I690" i="1"/>
  <c r="I682" i="1"/>
  <c r="I674" i="1"/>
  <c r="I666" i="1"/>
  <c r="I658" i="1"/>
  <c r="I650" i="1"/>
  <c r="I642" i="1"/>
  <c r="I634" i="1"/>
  <c r="I626" i="1"/>
  <c r="I618" i="1"/>
  <c r="I610" i="1"/>
  <c r="I602" i="1"/>
  <c r="I594" i="1"/>
  <c r="I586" i="1"/>
  <c r="I578" i="1"/>
  <c r="I570" i="1"/>
  <c r="I562" i="1"/>
  <c r="I554" i="1"/>
  <c r="I546" i="1"/>
  <c r="I538" i="1"/>
  <c r="I530" i="1"/>
  <c r="I522" i="1"/>
  <c r="I514" i="1"/>
  <c r="I506" i="1"/>
  <c r="I498" i="1"/>
  <c r="I490" i="1"/>
  <c r="I482" i="1"/>
  <c r="I474" i="1"/>
  <c r="I466" i="1"/>
  <c r="I458" i="1"/>
  <c r="I450" i="1"/>
  <c r="I442" i="1"/>
  <c r="I434" i="1"/>
  <c r="I426" i="1"/>
  <c r="I418" i="1"/>
  <c r="I410" i="1"/>
  <c r="I402" i="1"/>
  <c r="I394" i="1"/>
  <c r="I386" i="1"/>
  <c r="I378" i="1"/>
  <c r="I370" i="1"/>
  <c r="I362" i="1"/>
  <c r="I354" i="1"/>
  <c r="I346" i="1"/>
  <c r="I326" i="1"/>
  <c r="I294" i="1"/>
  <c r="I262" i="1"/>
  <c r="I230" i="1"/>
  <c r="I198" i="1"/>
  <c r="I166" i="1"/>
  <c r="I134" i="1"/>
  <c r="I102" i="1"/>
  <c r="I70" i="1"/>
  <c r="I38" i="1"/>
  <c r="I6" i="1"/>
  <c r="H999" i="1"/>
  <c r="H975" i="1"/>
  <c r="H994" i="1"/>
  <c r="H978" i="1"/>
  <c r="H962" i="1"/>
  <c r="H946" i="1"/>
  <c r="H934" i="1"/>
  <c r="H922" i="1"/>
  <c r="H902" i="1"/>
  <c r="H890" i="1"/>
  <c r="H870" i="1"/>
  <c r="H858" i="1"/>
  <c r="H363" i="1"/>
  <c r="H347" i="1"/>
  <c r="H995" i="1"/>
  <c r="H971" i="1"/>
  <c r="H963" i="1"/>
  <c r="H951" i="1"/>
  <c r="H939" i="1"/>
  <c r="H997" i="1"/>
  <c r="H989" i="1"/>
  <c r="H981" i="1"/>
  <c r="H973" i="1"/>
  <c r="H969" i="1"/>
  <c r="H961" i="1"/>
  <c r="H953" i="1"/>
  <c r="H933" i="1"/>
  <c r="H929" i="1"/>
  <c r="H921" i="1"/>
  <c r="H909" i="1"/>
  <c r="H905" i="1"/>
  <c r="H897" i="1"/>
  <c r="H881" i="1"/>
  <c r="H873" i="1"/>
  <c r="H857" i="1"/>
  <c r="H991" i="1"/>
  <c r="H967" i="1"/>
  <c r="H955" i="1"/>
  <c r="H947" i="1"/>
  <c r="G923" i="1"/>
  <c r="G915" i="1"/>
  <c r="G907" i="1"/>
  <c r="G879" i="1"/>
  <c r="G871" i="1"/>
  <c r="G855" i="1"/>
  <c r="G847" i="1"/>
  <c r="G839" i="1"/>
  <c r="G831" i="1"/>
  <c r="G811" i="1"/>
  <c r="G803" i="1"/>
  <c r="G799" i="1"/>
  <c r="G787" i="1"/>
  <c r="G779" i="1"/>
  <c r="G771" i="1"/>
  <c r="G763" i="1"/>
  <c r="G755" i="1"/>
  <c r="G747" i="1"/>
  <c r="G739" i="1"/>
  <c r="G880" i="1"/>
  <c r="G816" i="1"/>
  <c r="G800" i="1"/>
  <c r="G784" i="1"/>
  <c r="G776" i="1"/>
  <c r="G752" i="1"/>
  <c r="G744" i="1"/>
  <c r="G736" i="1"/>
  <c r="G716" i="1"/>
  <c r="G712" i="1"/>
  <c r="G708" i="1"/>
  <c r="G700" i="1"/>
  <c r="G696" i="1"/>
  <c r="G692" i="1"/>
  <c r="G684" i="1"/>
  <c r="G680" i="1"/>
  <c r="G676" i="1"/>
  <c r="G935" i="1"/>
  <c r="G927" i="1"/>
  <c r="G919" i="1"/>
  <c r="G911" i="1"/>
  <c r="G895" i="1"/>
  <c r="G887" i="1"/>
  <c r="G875" i="1"/>
  <c r="G859" i="1"/>
  <c r="G843" i="1"/>
  <c r="G835" i="1"/>
  <c r="G819" i="1"/>
  <c r="G815" i="1"/>
  <c r="G807" i="1"/>
  <c r="G783" i="1"/>
  <c r="G767" i="1"/>
  <c r="G743" i="1"/>
  <c r="G735" i="1"/>
  <c r="G731" i="1"/>
  <c r="G723" i="1"/>
  <c r="G719" i="1"/>
  <c r="G707" i="1"/>
  <c r="G703" i="1"/>
  <c r="G699" i="1"/>
  <c r="G691" i="1"/>
  <c r="G687" i="1"/>
  <c r="G683" i="1"/>
  <c r="G679" i="1"/>
  <c r="G675" i="1"/>
  <c r="G671" i="1"/>
  <c r="G499" i="1"/>
  <c r="G491" i="1"/>
  <c r="G475" i="1"/>
  <c r="G467" i="1"/>
  <c r="G459" i="1"/>
  <c r="G451" i="1"/>
  <c r="G443" i="1"/>
  <c r="G435" i="1"/>
  <c r="G419" i="1"/>
  <c r="G411" i="1"/>
  <c r="G395" i="1"/>
  <c r="G379" i="1"/>
  <c r="G315" i="1"/>
  <c r="G838" i="1"/>
  <c r="G826" i="1"/>
  <c r="G806" i="1"/>
  <c r="G802" i="1"/>
  <c r="G794" i="1"/>
  <c r="G786" i="1"/>
  <c r="G778" i="1"/>
  <c r="G774" i="1"/>
  <c r="G770" i="1"/>
  <c r="G762" i="1"/>
  <c r="G754" i="1"/>
  <c r="G746" i="1"/>
  <c r="G742" i="1"/>
  <c r="G738" i="1"/>
  <c r="G730" i="1"/>
  <c r="G722" i="1"/>
  <c r="G714" i="1"/>
  <c r="G710" i="1"/>
  <c r="G706" i="1"/>
  <c r="G698" i="1"/>
  <c r="G690" i="1"/>
  <c r="G682" i="1"/>
  <c r="G678" i="1"/>
  <c r="G674" i="1"/>
  <c r="G510" i="1"/>
  <c r="G494" i="1"/>
  <c r="G486" i="1"/>
  <c r="G478" i="1"/>
  <c r="G462" i="1"/>
  <c r="G454" i="1"/>
  <c r="G446" i="1"/>
  <c r="G438" i="1"/>
  <c r="G430" i="1"/>
  <c r="G422" i="1"/>
  <c r="G414" i="1"/>
  <c r="G398" i="1"/>
  <c r="G390" i="1"/>
  <c r="G382" i="1"/>
  <c r="G366" i="1"/>
  <c r="G358" i="1"/>
  <c r="G350" i="1"/>
  <c r="G326" i="1"/>
  <c r="G318" i="1"/>
  <c r="G837" i="1"/>
  <c r="G821" i="1"/>
  <c r="G817" i="1"/>
  <c r="G801" i="1"/>
  <c r="G785" i="1"/>
  <c r="G781" i="1"/>
  <c r="G777" i="1"/>
  <c r="G769" i="1"/>
  <c r="G761" i="1"/>
  <c r="G753" i="1"/>
  <c r="G745" i="1"/>
  <c r="G737" i="1"/>
  <c r="G721" i="1"/>
  <c r="G713" i="1"/>
  <c r="G709" i="1"/>
  <c r="G701" i="1"/>
  <c r="G693" i="1"/>
  <c r="G689" i="1"/>
  <c r="G685" i="1"/>
  <c r="G677" i="1"/>
  <c r="G669" i="1"/>
  <c r="G928" i="1"/>
  <c r="G864" i="1"/>
  <c r="G840" i="1"/>
  <c r="G824" i="1"/>
  <c r="G998" i="1"/>
  <c r="G990" i="1"/>
  <c r="G986" i="1"/>
  <c r="G982" i="1"/>
  <c r="G974" i="1"/>
  <c r="G970" i="1"/>
  <c r="G966" i="1"/>
  <c r="G958" i="1"/>
  <c r="G954" i="1"/>
  <c r="G950" i="1"/>
  <c r="G942" i="1"/>
  <c r="G938" i="1"/>
  <c r="G930" i="1"/>
  <c r="G926" i="1"/>
  <c r="G918" i="1"/>
  <c r="G914" i="1"/>
  <c r="G910" i="1"/>
  <c r="G906" i="1"/>
  <c r="G898" i="1"/>
  <c r="G894" i="1"/>
  <c r="G886" i="1"/>
  <c r="G882" i="1"/>
  <c r="G878" i="1"/>
  <c r="G874" i="1"/>
  <c r="G866" i="1"/>
  <c r="G862" i="1"/>
  <c r="G854" i="1"/>
  <c r="G850" i="1"/>
  <c r="G846" i="1"/>
  <c r="G842" i="1"/>
  <c r="G834" i="1"/>
  <c r="G830" i="1"/>
  <c r="G822" i="1"/>
  <c r="G818" i="1"/>
  <c r="G814" i="1"/>
  <c r="G810" i="1"/>
  <c r="G798" i="1"/>
  <c r="G790" i="1"/>
  <c r="G782" i="1"/>
  <c r="G766" i="1"/>
  <c r="G758" i="1"/>
  <c r="G750" i="1"/>
  <c r="G734" i="1"/>
  <c r="G726" i="1"/>
  <c r="G718" i="1"/>
  <c r="G702" i="1"/>
  <c r="G694" i="1"/>
  <c r="G686" i="1"/>
  <c r="G670" i="1"/>
  <c r="G502" i="1"/>
  <c r="G470" i="1"/>
  <c r="G406" i="1"/>
  <c r="G374" i="1"/>
  <c r="G342" i="1"/>
  <c r="B10" i="5" a="1"/>
  <c r="B10" i="5" s="1"/>
  <c r="G651" i="1"/>
  <c r="G639" i="1"/>
  <c r="G627" i="1"/>
  <c r="G615" i="1"/>
  <c r="G607" i="1"/>
  <c r="G583" i="1"/>
  <c r="G571" i="1"/>
  <c r="G559" i="1"/>
  <c r="G519" i="1"/>
  <c r="G511" i="1"/>
  <c r="G447" i="1"/>
  <c r="G391" i="1"/>
  <c r="G327" i="1"/>
  <c r="G319" i="1"/>
  <c r="G295" i="1"/>
  <c r="G283" i="1"/>
  <c r="G271" i="1"/>
  <c r="G259" i="1"/>
  <c r="G247" i="1"/>
  <c r="G235" i="1"/>
  <c r="G203" i="1"/>
  <c r="G666" i="1"/>
  <c r="G662" i="1"/>
  <c r="G658" i="1"/>
  <c r="G654" i="1"/>
  <c r="G650" i="1"/>
  <c r="G646" i="1"/>
  <c r="G642" i="1"/>
  <c r="G638" i="1"/>
  <c r="G634" i="1"/>
  <c r="G630" i="1"/>
  <c r="G626" i="1"/>
  <c r="G622" i="1"/>
  <c r="G618" i="1"/>
  <c r="G614" i="1"/>
  <c r="G610" i="1"/>
  <c r="G606" i="1"/>
  <c r="G602" i="1"/>
  <c r="G598" i="1"/>
  <c r="G594" i="1"/>
  <c r="G590" i="1"/>
  <c r="G586" i="1"/>
  <c r="G582" i="1"/>
  <c r="G578" i="1"/>
  <c r="G574" i="1"/>
  <c r="G570" i="1"/>
  <c r="G566" i="1"/>
  <c r="G562" i="1"/>
  <c r="G558" i="1"/>
  <c r="G554" i="1"/>
  <c r="G550" i="1"/>
  <c r="G546" i="1"/>
  <c r="G542" i="1"/>
  <c r="G538" i="1"/>
  <c r="G534" i="1"/>
  <c r="G530" i="1"/>
  <c r="G526" i="1"/>
  <c r="G522" i="1"/>
  <c r="G518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0" i="1"/>
  <c r="G306" i="1"/>
  <c r="G298" i="1"/>
  <c r="G294" i="1"/>
  <c r="G290" i="1"/>
  <c r="G282" i="1"/>
  <c r="G278" i="1"/>
  <c r="G274" i="1"/>
  <c r="G266" i="1"/>
  <c r="G262" i="1"/>
  <c r="G258" i="1"/>
  <c r="G246" i="1"/>
  <c r="G242" i="1"/>
  <c r="G238" i="1"/>
  <c r="G234" i="1"/>
  <c r="G230" i="1"/>
  <c r="G226" i="1"/>
  <c r="G222" i="1"/>
  <c r="G218" i="1"/>
  <c r="G214" i="1"/>
  <c r="G210" i="1"/>
  <c r="G206" i="1"/>
  <c r="G202" i="1"/>
  <c r="G198" i="1"/>
  <c r="G194" i="1"/>
  <c r="G190" i="1"/>
  <c r="G182" i="1"/>
  <c r="G178" i="1"/>
  <c r="G170" i="1"/>
  <c r="G166" i="1"/>
  <c r="G162" i="1"/>
  <c r="G154" i="1"/>
  <c r="G150" i="1"/>
  <c r="G146" i="1"/>
  <c r="G138" i="1"/>
  <c r="G134" i="1"/>
  <c r="G130" i="1"/>
  <c r="G118" i="1"/>
  <c r="G114" i="1"/>
  <c r="G110" i="1"/>
  <c r="G102" i="1"/>
  <c r="G98" i="1"/>
  <c r="G94" i="1"/>
  <c r="G90" i="1"/>
  <c r="G86" i="1"/>
  <c r="G82" i="1"/>
  <c r="G78" i="1"/>
  <c r="G70" i="1"/>
  <c r="G66" i="1"/>
  <c r="G62" i="1"/>
  <c r="G54" i="1"/>
  <c r="G50" i="1"/>
  <c r="G42" i="1"/>
  <c r="G38" i="1"/>
  <c r="G34" i="1"/>
  <c r="G26" i="1"/>
  <c r="G22" i="1"/>
  <c r="G18" i="1"/>
  <c r="G10" i="1"/>
  <c r="G6" i="1"/>
  <c r="G659" i="1"/>
  <c r="G647" i="1"/>
  <c r="G623" i="1"/>
  <c r="G599" i="1"/>
  <c r="G587" i="1"/>
  <c r="G551" i="1"/>
  <c r="G539" i="1"/>
  <c r="G527" i="1"/>
  <c r="G503" i="1"/>
  <c r="G495" i="1"/>
  <c r="G487" i="1"/>
  <c r="G479" i="1"/>
  <c r="G463" i="1"/>
  <c r="G375" i="1"/>
  <c r="G343" i="1"/>
  <c r="G291" i="1"/>
  <c r="G279" i="1"/>
  <c r="G255" i="1"/>
  <c r="G231" i="1"/>
  <c r="G219" i="1"/>
  <c r="G211" i="1"/>
  <c r="G199" i="1"/>
  <c r="G183" i="1"/>
  <c r="G171" i="1"/>
  <c r="G163" i="1"/>
  <c r="G155" i="1"/>
  <c r="G143" i="1"/>
  <c r="G135" i="1"/>
  <c r="G127" i="1"/>
  <c r="G123" i="1"/>
  <c r="G119" i="1"/>
  <c r="G111" i="1"/>
  <c r="G103" i="1"/>
  <c r="G95" i="1"/>
  <c r="G87" i="1"/>
  <c r="G79" i="1"/>
  <c r="G71" i="1"/>
  <c r="G63" i="1"/>
  <c r="G55" i="1"/>
  <c r="G47" i="1"/>
  <c r="G39" i="1"/>
  <c r="G27" i="1"/>
  <c r="G23" i="1"/>
  <c r="G15" i="1"/>
  <c r="G11" i="1"/>
  <c r="G3" i="1"/>
  <c r="G665" i="1"/>
  <c r="G661" i="1"/>
  <c r="G653" i="1"/>
  <c r="G645" i="1"/>
  <c r="G641" i="1"/>
  <c r="G633" i="1"/>
  <c r="G621" i="1"/>
  <c r="G617" i="1"/>
  <c r="G613" i="1"/>
  <c r="G605" i="1"/>
  <c r="G601" i="1"/>
  <c r="G597" i="1"/>
  <c r="G589" i="1"/>
  <c r="G581" i="1"/>
  <c r="G565" i="1"/>
  <c r="G561" i="1"/>
  <c r="G553" i="1"/>
  <c r="G549" i="1"/>
  <c r="G545" i="1"/>
  <c r="G533" i="1"/>
  <c r="G529" i="1"/>
  <c r="G525" i="1"/>
  <c r="G521" i="1"/>
  <c r="G517" i="1"/>
  <c r="G513" i="1"/>
  <c r="G509" i="1"/>
  <c r="G505" i="1"/>
  <c r="G501" i="1"/>
  <c r="G497" i="1"/>
  <c r="G493" i="1"/>
  <c r="G489" i="1"/>
  <c r="G485" i="1"/>
  <c r="G481" i="1"/>
  <c r="G477" i="1"/>
  <c r="G473" i="1"/>
  <c r="G469" i="1"/>
  <c r="G465" i="1"/>
  <c r="G461" i="1"/>
  <c r="G457" i="1"/>
  <c r="G453" i="1"/>
  <c r="G449" i="1"/>
  <c r="G445" i="1"/>
  <c r="G441" i="1"/>
  <c r="G437" i="1"/>
  <c r="G433" i="1"/>
  <c r="G429" i="1"/>
  <c r="G421" i="1"/>
  <c r="G417" i="1"/>
  <c r="G413" i="1"/>
  <c r="G405" i="1"/>
  <c r="G401" i="1"/>
  <c r="G397" i="1"/>
  <c r="G389" i="1"/>
  <c r="G385" i="1"/>
  <c r="G381" i="1"/>
  <c r="G377" i="1"/>
  <c r="G373" i="1"/>
  <c r="G369" i="1"/>
  <c r="G365" i="1"/>
  <c r="G361" i="1"/>
  <c r="G357" i="1"/>
  <c r="G353" i="1"/>
  <c r="G349" i="1"/>
  <c r="G345" i="1"/>
  <c r="G341" i="1"/>
  <c r="G325" i="1"/>
  <c r="G309" i="1"/>
  <c r="G301" i="1"/>
  <c r="G277" i="1"/>
  <c r="G273" i="1"/>
  <c r="G245" i="1"/>
  <c r="G241" i="1"/>
  <c r="G237" i="1"/>
  <c r="G229" i="1"/>
  <c r="G213" i="1"/>
  <c r="G197" i="1"/>
  <c r="G181" i="1"/>
  <c r="G173" i="1"/>
  <c r="G165" i="1"/>
  <c r="G161" i="1"/>
  <c r="G133" i="1"/>
  <c r="G129" i="1"/>
  <c r="G109" i="1"/>
  <c r="G101" i="1"/>
  <c r="G85" i="1"/>
  <c r="G69" i="1"/>
  <c r="G53" i="1"/>
  <c r="G45" i="1"/>
  <c r="G21" i="1"/>
  <c r="G17" i="1"/>
  <c r="G667" i="1"/>
  <c r="G655" i="1"/>
  <c r="G643" i="1"/>
  <c r="G619" i="1"/>
  <c r="G603" i="1"/>
  <c r="G591" i="1"/>
  <c r="G567" i="1"/>
  <c r="G555" i="1"/>
  <c r="G535" i="1"/>
  <c r="G523" i="1"/>
  <c r="G431" i="1"/>
  <c r="G407" i="1"/>
  <c r="G359" i="1"/>
  <c r="G311" i="1"/>
  <c r="G299" i="1"/>
  <c r="G287" i="1"/>
  <c r="G251" i="1"/>
  <c r="G227" i="1"/>
  <c r="G215" i="1"/>
  <c r="G207" i="1"/>
  <c r="G195" i="1"/>
  <c r="G187" i="1"/>
  <c r="G179" i="1"/>
  <c r="G175" i="1"/>
  <c r="G167" i="1"/>
  <c r="G151" i="1"/>
  <c r="G139" i="1"/>
  <c r="G115" i="1"/>
  <c r="G107" i="1"/>
  <c r="G99" i="1"/>
  <c r="G91" i="1"/>
  <c r="G83" i="1"/>
  <c r="G75" i="1"/>
  <c r="G67" i="1"/>
  <c r="G59" i="1"/>
  <c r="G51" i="1"/>
  <c r="G43" i="1"/>
  <c r="G35" i="1"/>
  <c r="G31" i="1"/>
  <c r="G7" i="1"/>
  <c r="G668" i="1"/>
  <c r="G664" i="1"/>
  <c r="G660" i="1"/>
  <c r="G652" i="1"/>
  <c r="G648" i="1"/>
  <c r="G644" i="1"/>
  <c r="G632" i="1"/>
  <c r="G628" i="1"/>
  <c r="G620" i="1"/>
  <c r="G616" i="1"/>
  <c r="G612" i="1"/>
  <c r="G604" i="1"/>
  <c r="G600" i="1"/>
  <c r="G596" i="1"/>
  <c r="G588" i="1"/>
  <c r="G584" i="1"/>
  <c r="G580" i="1"/>
  <c r="G568" i="1"/>
  <c r="G564" i="1"/>
  <c r="G556" i="1"/>
  <c r="G552" i="1"/>
  <c r="G548" i="1"/>
  <c r="G540" i="1"/>
  <c r="G536" i="1"/>
  <c r="G532" i="1"/>
  <c r="G524" i="1"/>
  <c r="G520" i="1"/>
  <c r="G516" i="1"/>
  <c r="G504" i="1"/>
  <c r="G500" i="1"/>
  <c r="G492" i="1"/>
  <c r="G488" i="1"/>
  <c r="G484" i="1"/>
  <c r="G476" i="1"/>
  <c r="G472" i="1"/>
  <c r="G468" i="1"/>
  <c r="G460" i="1"/>
  <c r="G456" i="1"/>
  <c r="G452" i="1"/>
  <c r="G440" i="1"/>
  <c r="G436" i="1"/>
  <c r="G428" i="1"/>
  <c r="G424" i="1"/>
  <c r="G420" i="1"/>
  <c r="G412" i="1"/>
  <c r="G408" i="1"/>
  <c r="G404" i="1"/>
  <c r="G396" i="1"/>
  <c r="G392" i="1"/>
  <c r="G388" i="1"/>
  <c r="G376" i="1"/>
  <c r="G372" i="1"/>
  <c r="G364" i="1"/>
  <c r="G360" i="1"/>
  <c r="G356" i="1"/>
  <c r="G348" i="1"/>
  <c r="G344" i="1"/>
  <c r="G340" i="1"/>
  <c r="G332" i="1"/>
  <c r="G328" i="1"/>
  <c r="G324" i="1"/>
  <c r="G312" i="1"/>
  <c r="G308" i="1"/>
  <c r="G300" i="1"/>
  <c r="G296" i="1"/>
  <c r="G292" i="1"/>
  <c r="G284" i="1"/>
  <c r="G280" i="1"/>
  <c r="G276" i="1"/>
  <c r="G268" i="1"/>
  <c r="G264" i="1"/>
  <c r="G260" i="1"/>
  <c r="G248" i="1"/>
  <c r="G244" i="1"/>
  <c r="G236" i="1"/>
  <c r="G232" i="1"/>
  <c r="G228" i="1"/>
  <c r="G220" i="1"/>
  <c r="G216" i="1"/>
  <c r="G212" i="1"/>
  <c r="G204" i="1"/>
  <c r="G200" i="1"/>
  <c r="G196" i="1"/>
  <c r="G184" i="1"/>
  <c r="G180" i="1"/>
  <c r="G172" i="1"/>
  <c r="G168" i="1"/>
  <c r="G164" i="1"/>
  <c r="G156" i="1"/>
  <c r="G152" i="1"/>
  <c r="G148" i="1"/>
  <c r="G140" i="1"/>
  <c r="G136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E425" i="1" a="1"/>
  <c r="E425" i="1" s="1"/>
  <c r="E409" i="1" a="1"/>
  <c r="E409" i="1" s="1"/>
  <c r="E393" i="1" a="1"/>
  <c r="E393" i="1" s="1"/>
  <c r="E1001" i="1" a="1"/>
  <c r="E1001" i="1" s="1"/>
  <c r="H1001" i="1" s="1"/>
  <c r="E993" i="1" a="1"/>
  <c r="E993" i="1" s="1"/>
  <c r="H993" i="1" s="1"/>
  <c r="E985" i="1" a="1"/>
  <c r="E985" i="1" s="1"/>
  <c r="E977" i="1" a="1"/>
  <c r="E977" i="1" s="1"/>
  <c r="H977" i="1" s="1"/>
  <c r="E965" i="1" a="1"/>
  <c r="E965" i="1" s="1"/>
  <c r="H965" i="1" s="1"/>
  <c r="E957" i="1" a="1"/>
  <c r="E957" i="1" s="1"/>
  <c r="H957" i="1" s="1"/>
  <c r="E949" i="1" a="1"/>
  <c r="E949" i="1" s="1"/>
  <c r="H949" i="1" s="1"/>
  <c r="E941" i="1" a="1"/>
  <c r="E941" i="1" s="1"/>
  <c r="H941" i="1" s="1"/>
  <c r="E925" i="1" a="1"/>
  <c r="E925" i="1" s="1"/>
  <c r="H925" i="1" s="1"/>
  <c r="E901" i="1" a="1"/>
  <c r="E901" i="1" s="1"/>
  <c r="H901" i="1" s="1"/>
  <c r="E885" i="1" a="1"/>
  <c r="E885" i="1" s="1"/>
  <c r="H885" i="1" s="1"/>
  <c r="E877" i="1" a="1"/>
  <c r="E877" i="1" s="1"/>
  <c r="H877" i="1" s="1"/>
  <c r="E853" i="1" a="1"/>
  <c r="E853" i="1" s="1"/>
  <c r="H853" i="1" s="1"/>
  <c r="E845" i="1" a="1"/>
  <c r="E845" i="1" s="1"/>
  <c r="H845" i="1" s="1"/>
  <c r="E829" i="1" a="1"/>
  <c r="E829" i="1" s="1"/>
  <c r="H829" i="1" s="1"/>
  <c r="E805" i="1" a="1"/>
  <c r="E805" i="1" s="1"/>
  <c r="H805" i="1" s="1"/>
  <c r="E789" i="1" a="1"/>
  <c r="E789" i="1" s="1"/>
  <c r="H789" i="1" s="1"/>
  <c r="E765" i="1" a="1"/>
  <c r="E765" i="1" s="1"/>
  <c r="H765" i="1" s="1"/>
  <c r="E757" i="1" a="1"/>
  <c r="E757" i="1" s="1"/>
  <c r="H757" i="1" s="1"/>
  <c r="E749" i="1" a="1"/>
  <c r="E749" i="1" s="1"/>
  <c r="H749" i="1" s="1"/>
  <c r="E733" i="1" a="1"/>
  <c r="E733" i="1" s="1"/>
  <c r="E1000" i="1" a="1"/>
  <c r="E1000" i="1" s="1"/>
  <c r="H1000" i="1" s="1"/>
  <c r="E996" i="1" a="1"/>
  <c r="E996" i="1" s="1"/>
  <c r="H996" i="1" s="1"/>
  <c r="E992" i="1" a="1"/>
  <c r="E992" i="1" s="1"/>
  <c r="H992" i="1" s="1"/>
  <c r="E988" i="1" a="1"/>
  <c r="E988" i="1" s="1"/>
  <c r="H988" i="1" s="1"/>
  <c r="E984" i="1" a="1"/>
  <c r="E984" i="1" s="1"/>
  <c r="H984" i="1" s="1"/>
  <c r="E980" i="1" a="1"/>
  <c r="E980" i="1" s="1"/>
  <c r="H980" i="1" s="1"/>
  <c r="E976" i="1" a="1"/>
  <c r="E976" i="1" s="1"/>
  <c r="H976" i="1" s="1"/>
  <c r="E972" i="1" a="1"/>
  <c r="E972" i="1" s="1"/>
  <c r="H972" i="1" s="1"/>
  <c r="E968" i="1" a="1"/>
  <c r="E968" i="1" s="1"/>
  <c r="H968" i="1" s="1"/>
  <c r="E964" i="1" a="1"/>
  <c r="E964" i="1" s="1"/>
  <c r="H964" i="1" s="1"/>
  <c r="E960" i="1" a="1"/>
  <c r="E960" i="1" s="1"/>
  <c r="H960" i="1" s="1"/>
  <c r="E956" i="1" a="1"/>
  <c r="E956" i="1" s="1"/>
  <c r="H956" i="1" s="1"/>
  <c r="E952" i="1" a="1"/>
  <c r="E952" i="1" s="1"/>
  <c r="H952" i="1" s="1"/>
  <c r="E948" i="1" a="1"/>
  <c r="E948" i="1" s="1"/>
  <c r="H948" i="1" s="1"/>
  <c r="E944" i="1" a="1"/>
  <c r="E944" i="1" s="1"/>
  <c r="H944" i="1" s="1"/>
  <c r="E940" i="1" a="1"/>
  <c r="E940" i="1" s="1"/>
  <c r="H940" i="1" s="1"/>
  <c r="E932" i="1" a="1"/>
  <c r="E932" i="1" s="1"/>
  <c r="E924" i="1" a="1"/>
  <c r="E924" i="1" s="1"/>
  <c r="H924" i="1" s="1"/>
  <c r="E916" i="1" a="1"/>
  <c r="E916" i="1" s="1"/>
  <c r="H916" i="1" s="1"/>
  <c r="E908" i="1" a="1"/>
  <c r="E908" i="1" s="1"/>
  <c r="H908" i="1" s="1"/>
  <c r="E900" i="1" a="1"/>
  <c r="E900" i="1" s="1"/>
  <c r="E892" i="1" a="1"/>
  <c r="E892" i="1" s="1"/>
  <c r="H892" i="1" s="1"/>
  <c r="E884" i="1" a="1"/>
  <c r="E884" i="1" s="1"/>
  <c r="H884" i="1" s="1"/>
  <c r="E876" i="1" a="1"/>
  <c r="E876" i="1" s="1"/>
  <c r="H876" i="1" s="1"/>
  <c r="E868" i="1" a="1"/>
  <c r="E868" i="1" s="1"/>
  <c r="E860" i="1" a="1"/>
  <c r="E860" i="1" s="1"/>
  <c r="H860" i="1" s="1"/>
  <c r="E852" i="1" a="1"/>
  <c r="E852" i="1" s="1"/>
  <c r="H852" i="1" s="1"/>
  <c r="E844" i="1" a="1"/>
  <c r="E844" i="1" s="1"/>
  <c r="H844" i="1" s="1"/>
  <c r="E836" i="1" a="1"/>
  <c r="E836" i="1" s="1"/>
  <c r="E828" i="1" a="1"/>
  <c r="E828" i="1" s="1"/>
  <c r="H828" i="1" s="1"/>
  <c r="E820" i="1" a="1"/>
  <c r="E820" i="1" s="1"/>
  <c r="H820" i="1" s="1"/>
  <c r="E812" i="1" a="1"/>
  <c r="E812" i="1" s="1"/>
  <c r="H812" i="1" s="1"/>
  <c r="E804" i="1" a="1"/>
  <c r="E804" i="1" s="1"/>
  <c r="E796" i="1" a="1"/>
  <c r="E796" i="1" s="1"/>
  <c r="H796" i="1" s="1"/>
  <c r="E788" i="1" a="1"/>
  <c r="E788" i="1" s="1"/>
  <c r="H788" i="1" s="1"/>
  <c r="E780" i="1" a="1"/>
  <c r="E780" i="1" s="1"/>
  <c r="H780" i="1" s="1"/>
  <c r="E772" i="1" a="1"/>
  <c r="E772" i="1" s="1"/>
  <c r="E764" i="1" a="1"/>
  <c r="E764" i="1" s="1"/>
  <c r="H764" i="1" s="1"/>
  <c r="E756" i="1" a="1"/>
  <c r="E756" i="1" s="1"/>
  <c r="H756" i="1" s="1"/>
  <c r="E748" i="1" a="1"/>
  <c r="E748" i="1" s="1"/>
  <c r="H748" i="1" s="1"/>
  <c r="E740" i="1" a="1"/>
  <c r="E740" i="1" s="1"/>
  <c r="E732" i="1" a="1"/>
  <c r="E732" i="1" s="1"/>
  <c r="H732" i="1" s="1"/>
  <c r="E724" i="1" a="1"/>
  <c r="E724" i="1" s="1"/>
  <c r="H724" i="1" s="1"/>
  <c r="E2" i="1" a="1"/>
  <c r="E2" i="1" s="1"/>
  <c r="H2" i="1" s="1"/>
  <c r="G49" i="1" l="1"/>
  <c r="G81" i="1"/>
  <c r="G193" i="1"/>
  <c r="G225" i="1"/>
  <c r="G305" i="1"/>
  <c r="G337" i="1"/>
  <c r="G563" i="1"/>
  <c r="G14" i="1"/>
  <c r="G30" i="1"/>
  <c r="G46" i="1"/>
  <c r="G254" i="1"/>
  <c r="G270" i="1"/>
  <c r="G286" i="1"/>
  <c r="G302" i="1"/>
  <c r="G711" i="1"/>
  <c r="G775" i="1"/>
  <c r="G113" i="1"/>
  <c r="G33" i="1"/>
  <c r="G145" i="1"/>
  <c r="G257" i="1"/>
  <c r="G289" i="1"/>
  <c r="G891" i="1"/>
  <c r="G188" i="1"/>
  <c r="G252" i="1"/>
  <c r="G316" i="1"/>
  <c r="G380" i="1"/>
  <c r="G444" i="1"/>
  <c r="G508" i="1"/>
  <c r="G572" i="1"/>
  <c r="G636" i="1"/>
  <c r="G131" i="1"/>
  <c r="G5" i="1"/>
  <c r="G37" i="1"/>
  <c r="G65" i="1"/>
  <c r="G97" i="1"/>
  <c r="G117" i="1"/>
  <c r="G149" i="1"/>
  <c r="G177" i="1"/>
  <c r="G209" i="1"/>
  <c r="G261" i="1"/>
  <c r="G293" i="1"/>
  <c r="G321" i="1"/>
  <c r="G593" i="1"/>
  <c r="G19" i="1"/>
  <c r="G74" i="1"/>
  <c r="G106" i="1"/>
  <c r="G126" i="1"/>
  <c r="G142" i="1"/>
  <c r="G158" i="1"/>
  <c r="G174" i="1"/>
  <c r="G531" i="1"/>
  <c r="G904" i="1"/>
  <c r="G729" i="1"/>
  <c r="G507" i="1"/>
  <c r="G751" i="1"/>
  <c r="G867" i="1"/>
  <c r="G899" i="1"/>
  <c r="H917" i="1"/>
  <c r="H945" i="1"/>
  <c r="H983" i="1"/>
  <c r="I27" i="1"/>
  <c r="I138" i="1"/>
  <c r="I945" i="1"/>
  <c r="I75" i="1"/>
  <c r="I115" i="1"/>
  <c r="I11" i="1"/>
  <c r="I51" i="1"/>
  <c r="I91" i="1"/>
  <c r="I59" i="1"/>
  <c r="I83" i="1"/>
  <c r="I107" i="1"/>
  <c r="I961" i="1"/>
  <c r="I19" i="1"/>
  <c r="I43" i="1"/>
  <c r="I123" i="1"/>
  <c r="I873" i="1"/>
  <c r="I202" i="1"/>
  <c r="I3" i="1"/>
  <c r="I35" i="1"/>
  <c r="I67" i="1"/>
  <c r="I99" i="1"/>
  <c r="I131" i="1"/>
  <c r="I10" i="1"/>
  <c r="I234" i="1"/>
  <c r="I74" i="1"/>
  <c r="I330" i="1"/>
  <c r="I953" i="1"/>
  <c r="I969" i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529" i="1"/>
  <c r="I106" i="1"/>
  <c r="I266" i="1"/>
  <c r="I881" i="1"/>
  <c r="I593" i="1"/>
  <c r="I42" i="1"/>
  <c r="I170" i="1"/>
  <c r="I298" i="1"/>
  <c r="I685" i="1"/>
  <c r="I897" i="1"/>
  <c r="G29" i="1"/>
  <c r="G93" i="1"/>
  <c r="G157" i="1"/>
  <c r="G221" i="1"/>
  <c r="G285" i="1"/>
  <c r="G625" i="1"/>
  <c r="G515" i="1"/>
  <c r="G663" i="1"/>
  <c r="G808" i="1"/>
  <c r="G717" i="1"/>
  <c r="G797" i="1"/>
  <c r="G334" i="1"/>
  <c r="G483" i="1"/>
  <c r="G912" i="1"/>
  <c r="G823" i="1"/>
  <c r="G883" i="1"/>
  <c r="H937" i="1"/>
  <c r="H959" i="1"/>
  <c r="I26" i="1"/>
  <c r="I90" i="1"/>
  <c r="I154" i="1"/>
  <c r="I218" i="1"/>
  <c r="I282" i="1"/>
  <c r="I132" i="1"/>
  <c r="I140" i="1"/>
  <c r="I148" i="1"/>
  <c r="I156" i="1"/>
  <c r="I164" i="1"/>
  <c r="I172" i="1"/>
  <c r="I180" i="1"/>
  <c r="I188" i="1"/>
  <c r="I196" i="1"/>
  <c r="I204" i="1"/>
  <c r="I212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2" i="1"/>
  <c r="I340" i="1"/>
  <c r="I348" i="1"/>
  <c r="I356" i="1"/>
  <c r="I364" i="1"/>
  <c r="I372" i="1"/>
  <c r="I380" i="1"/>
  <c r="I388" i="1"/>
  <c r="I396" i="1"/>
  <c r="I404" i="1"/>
  <c r="I412" i="1"/>
  <c r="I420" i="1"/>
  <c r="I428" i="1"/>
  <c r="I436" i="1"/>
  <c r="I444" i="1"/>
  <c r="I452" i="1"/>
  <c r="I460" i="1"/>
  <c r="I468" i="1"/>
  <c r="I476" i="1"/>
  <c r="I484" i="1"/>
  <c r="I492" i="1"/>
  <c r="I500" i="1"/>
  <c r="I508" i="1"/>
  <c r="I516" i="1"/>
  <c r="I524" i="1"/>
  <c r="I532" i="1"/>
  <c r="I540" i="1"/>
  <c r="I548" i="1"/>
  <c r="I556" i="1"/>
  <c r="I564" i="1"/>
  <c r="I572" i="1"/>
  <c r="I580" i="1"/>
  <c r="I588" i="1"/>
  <c r="I596" i="1"/>
  <c r="I604" i="1"/>
  <c r="I612" i="1"/>
  <c r="I620" i="1"/>
  <c r="I628" i="1"/>
  <c r="I636" i="1"/>
  <c r="I644" i="1"/>
  <c r="I652" i="1"/>
  <c r="I660" i="1"/>
  <c r="I668" i="1"/>
  <c r="I676" i="1"/>
  <c r="I684" i="1"/>
  <c r="I692" i="1"/>
  <c r="I700" i="1"/>
  <c r="I708" i="1"/>
  <c r="I716" i="1"/>
  <c r="I752" i="1"/>
  <c r="I776" i="1"/>
  <c r="I816" i="1"/>
  <c r="I840" i="1"/>
  <c r="I880" i="1"/>
  <c r="I904" i="1"/>
  <c r="I565" i="1"/>
  <c r="I729" i="1"/>
  <c r="I973" i="1"/>
  <c r="G872" i="1"/>
  <c r="G936" i="1"/>
  <c r="G841" i="1"/>
  <c r="G727" i="1"/>
  <c r="G672" i="1"/>
  <c r="G688" i="1"/>
  <c r="G704" i="1"/>
  <c r="G720" i="1"/>
  <c r="G768" i="1"/>
  <c r="G144" i="1"/>
  <c r="G160" i="1"/>
  <c r="G176" i="1"/>
  <c r="G192" i="1"/>
  <c r="G208" i="1"/>
  <c r="G224" i="1"/>
  <c r="G240" i="1"/>
  <c r="G256" i="1"/>
  <c r="G272" i="1"/>
  <c r="G288" i="1"/>
  <c r="G304" i="1"/>
  <c r="G320" i="1"/>
  <c r="G336" i="1"/>
  <c r="G352" i="1"/>
  <c r="G368" i="1"/>
  <c r="G384" i="1"/>
  <c r="G400" i="1"/>
  <c r="G416" i="1"/>
  <c r="G432" i="1"/>
  <c r="G448" i="1"/>
  <c r="G464" i="1"/>
  <c r="G480" i="1"/>
  <c r="G496" i="1"/>
  <c r="G512" i="1"/>
  <c r="G528" i="1"/>
  <c r="G544" i="1"/>
  <c r="G560" i="1"/>
  <c r="G576" i="1"/>
  <c r="G592" i="1"/>
  <c r="G608" i="1"/>
  <c r="G624" i="1"/>
  <c r="G640" i="1"/>
  <c r="G656" i="1"/>
  <c r="G547" i="1"/>
  <c r="G13" i="1"/>
  <c r="G77" i="1"/>
  <c r="G141" i="1"/>
  <c r="G205" i="1"/>
  <c r="G269" i="1"/>
  <c r="G333" i="1"/>
  <c r="G557" i="1"/>
  <c r="G577" i="1"/>
  <c r="G575" i="1"/>
  <c r="G61" i="1"/>
  <c r="G125" i="1"/>
  <c r="G189" i="1"/>
  <c r="G253" i="1"/>
  <c r="G317" i="1"/>
  <c r="G637" i="1"/>
  <c r="G635" i="1"/>
  <c r="G58" i="1"/>
  <c r="G122" i="1"/>
  <c r="G186" i="1"/>
  <c r="G250" i="1"/>
  <c r="G314" i="1"/>
  <c r="G832" i="1"/>
  <c r="G896" i="1"/>
  <c r="G725" i="1"/>
  <c r="G695" i="1"/>
  <c r="G759" i="1"/>
  <c r="G791" i="1"/>
  <c r="G851" i="1"/>
  <c r="G848" i="1"/>
  <c r="G931" i="1"/>
  <c r="H869" i="1"/>
  <c r="H987" i="1"/>
  <c r="I58" i="1"/>
  <c r="I122" i="1"/>
  <c r="I186" i="1"/>
  <c r="I250" i="1"/>
  <c r="I314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64" i="1"/>
  <c r="I272" i="1"/>
  <c r="I280" i="1"/>
  <c r="I288" i="1"/>
  <c r="I296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6" i="1"/>
  <c r="I624" i="1"/>
  <c r="I632" i="1"/>
  <c r="I640" i="1"/>
  <c r="I648" i="1"/>
  <c r="I656" i="1"/>
  <c r="I664" i="1"/>
  <c r="I672" i="1"/>
  <c r="I680" i="1"/>
  <c r="I688" i="1"/>
  <c r="I696" i="1"/>
  <c r="I704" i="1"/>
  <c r="I712" i="1"/>
  <c r="I720" i="1"/>
  <c r="I744" i="1"/>
  <c r="I784" i="1"/>
  <c r="I808" i="1"/>
  <c r="I848" i="1"/>
  <c r="I872" i="1"/>
  <c r="I912" i="1"/>
  <c r="I936" i="1"/>
  <c r="I637" i="1"/>
  <c r="I841" i="1"/>
  <c r="I937" i="1"/>
  <c r="H733" i="1"/>
  <c r="I733" i="1"/>
  <c r="H12" i="1"/>
  <c r="I12" i="1"/>
  <c r="H28" i="1"/>
  <c r="I28" i="1"/>
  <c r="H44" i="1"/>
  <c r="I44" i="1"/>
  <c r="H60" i="1"/>
  <c r="I60" i="1"/>
  <c r="H76" i="1"/>
  <c r="I76" i="1"/>
  <c r="H92" i="1"/>
  <c r="I92" i="1"/>
  <c r="H108" i="1"/>
  <c r="I108" i="1"/>
  <c r="H124" i="1"/>
  <c r="I124" i="1"/>
  <c r="H255" i="1"/>
  <c r="I255" i="1"/>
  <c r="H283" i="1"/>
  <c r="I283" i="1"/>
  <c r="H315" i="1"/>
  <c r="I315" i="1"/>
  <c r="G347" i="1"/>
  <c r="I347" i="1"/>
  <c r="H375" i="1"/>
  <c r="I375" i="1"/>
  <c r="H407" i="1"/>
  <c r="I407" i="1"/>
  <c r="H435" i="1"/>
  <c r="I435" i="1"/>
  <c r="H463" i="1"/>
  <c r="I463" i="1"/>
  <c r="H740" i="1"/>
  <c r="I740" i="1"/>
  <c r="H804" i="1"/>
  <c r="I804" i="1"/>
  <c r="H868" i="1"/>
  <c r="I868" i="1"/>
  <c r="H932" i="1"/>
  <c r="I932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302" i="1"/>
  <c r="I318" i="1"/>
  <c r="I334" i="1"/>
  <c r="I4" i="1"/>
  <c r="H16" i="1"/>
  <c r="I16" i="1"/>
  <c r="H32" i="1"/>
  <c r="I32" i="1"/>
  <c r="H48" i="1"/>
  <c r="I48" i="1"/>
  <c r="H64" i="1"/>
  <c r="I64" i="1"/>
  <c r="H80" i="1"/>
  <c r="I80" i="1"/>
  <c r="H96" i="1"/>
  <c r="I96" i="1"/>
  <c r="H112" i="1"/>
  <c r="I112" i="1"/>
  <c r="H128" i="1"/>
  <c r="I128" i="1"/>
  <c r="H263" i="1"/>
  <c r="I263" i="1"/>
  <c r="H291" i="1"/>
  <c r="I291" i="1"/>
  <c r="H323" i="1"/>
  <c r="I323" i="1"/>
  <c r="G355" i="1"/>
  <c r="I355" i="1"/>
  <c r="H383" i="1"/>
  <c r="I383" i="1"/>
  <c r="H415" i="1"/>
  <c r="I415" i="1"/>
  <c r="H443" i="1"/>
  <c r="I443" i="1"/>
  <c r="H471" i="1"/>
  <c r="I471" i="1"/>
  <c r="H985" i="1"/>
  <c r="I985" i="1"/>
  <c r="H20" i="1"/>
  <c r="I20" i="1"/>
  <c r="H36" i="1"/>
  <c r="I36" i="1"/>
  <c r="H52" i="1"/>
  <c r="I52" i="1"/>
  <c r="H68" i="1"/>
  <c r="I68" i="1"/>
  <c r="H84" i="1"/>
  <c r="I84" i="1"/>
  <c r="H100" i="1"/>
  <c r="I100" i="1"/>
  <c r="H116" i="1"/>
  <c r="I116" i="1"/>
  <c r="H147" i="1"/>
  <c r="I147" i="1"/>
  <c r="H271" i="1"/>
  <c r="I271" i="1"/>
  <c r="H299" i="1"/>
  <c r="I299" i="1"/>
  <c r="H331" i="1"/>
  <c r="I331" i="1"/>
  <c r="H359" i="1"/>
  <c r="I359" i="1"/>
  <c r="H391" i="1"/>
  <c r="I391" i="1"/>
  <c r="H423" i="1"/>
  <c r="I423" i="1"/>
  <c r="H447" i="1"/>
  <c r="I447" i="1"/>
  <c r="H479" i="1"/>
  <c r="I479" i="1"/>
  <c r="H772" i="1"/>
  <c r="I772" i="1"/>
  <c r="H836" i="1"/>
  <c r="I836" i="1"/>
  <c r="H900" i="1"/>
  <c r="I900" i="1"/>
  <c r="H8" i="1"/>
  <c r="I8" i="1"/>
  <c r="H24" i="1"/>
  <c r="I24" i="1"/>
  <c r="H40" i="1"/>
  <c r="I40" i="1"/>
  <c r="H56" i="1"/>
  <c r="I56" i="1"/>
  <c r="H72" i="1"/>
  <c r="I72" i="1"/>
  <c r="H88" i="1"/>
  <c r="I88" i="1"/>
  <c r="H104" i="1"/>
  <c r="I104" i="1"/>
  <c r="H120" i="1"/>
  <c r="I120" i="1"/>
  <c r="H243" i="1"/>
  <c r="I243" i="1"/>
  <c r="H275" i="1"/>
  <c r="I275" i="1"/>
  <c r="H307" i="1"/>
  <c r="I307" i="1"/>
  <c r="H339" i="1"/>
  <c r="I339" i="1"/>
  <c r="H367" i="1"/>
  <c r="I367" i="1"/>
  <c r="H399" i="1"/>
  <c r="I399" i="1"/>
  <c r="H427" i="1"/>
  <c r="I427" i="1"/>
  <c r="H455" i="1"/>
  <c r="I455" i="1"/>
  <c r="I491" i="1"/>
  <c r="I507" i="1"/>
  <c r="I523" i="1"/>
  <c r="I539" i="1"/>
  <c r="I555" i="1"/>
  <c r="I567" i="1"/>
  <c r="I583" i="1"/>
  <c r="I599" i="1"/>
  <c r="I615" i="1"/>
  <c r="I627" i="1"/>
  <c r="I643" i="1"/>
  <c r="I659" i="1"/>
  <c r="I671" i="1"/>
  <c r="I687" i="1"/>
  <c r="I703" i="1"/>
  <c r="I719" i="1"/>
  <c r="I735" i="1"/>
  <c r="I751" i="1"/>
  <c r="I767" i="1"/>
  <c r="I783" i="1"/>
  <c r="I799" i="1"/>
  <c r="I815" i="1"/>
  <c r="I831" i="1"/>
  <c r="I843" i="1"/>
  <c r="I859" i="1"/>
  <c r="I875" i="1"/>
  <c r="I887" i="1"/>
  <c r="I899" i="1"/>
  <c r="I911" i="1"/>
  <c r="I923" i="1"/>
  <c r="I939" i="1"/>
  <c r="I951" i="1"/>
  <c r="I967" i="1"/>
  <c r="I983" i="1"/>
  <c r="I995" i="1"/>
  <c r="I613" i="1"/>
  <c r="I641" i="1"/>
  <c r="I665" i="1"/>
  <c r="I689" i="1"/>
  <c r="I713" i="1"/>
  <c r="I737" i="1"/>
  <c r="I753" i="1"/>
  <c r="H143" i="1"/>
  <c r="I143" i="1"/>
  <c r="H163" i="1"/>
  <c r="I163" i="1"/>
  <c r="H179" i="1"/>
  <c r="I179" i="1"/>
  <c r="H195" i="1"/>
  <c r="I195" i="1"/>
  <c r="H211" i="1"/>
  <c r="I211" i="1"/>
  <c r="H227" i="1"/>
  <c r="I227" i="1"/>
  <c r="H247" i="1"/>
  <c r="I247" i="1"/>
  <c r="H279" i="1"/>
  <c r="I279" i="1"/>
  <c r="H311" i="1"/>
  <c r="I311" i="1"/>
  <c r="H343" i="1"/>
  <c r="I343" i="1"/>
  <c r="H379" i="1"/>
  <c r="I379" i="1"/>
  <c r="H411" i="1"/>
  <c r="I411" i="1"/>
  <c r="H451" i="1"/>
  <c r="I451" i="1"/>
  <c r="H487" i="1"/>
  <c r="I487" i="1"/>
  <c r="H519" i="1"/>
  <c r="I519" i="1"/>
  <c r="H551" i="1"/>
  <c r="I551" i="1"/>
  <c r="H587" i="1"/>
  <c r="I587" i="1"/>
  <c r="H623" i="1"/>
  <c r="I623" i="1"/>
  <c r="H655" i="1"/>
  <c r="I655" i="1"/>
  <c r="H691" i="1"/>
  <c r="I691" i="1"/>
  <c r="H723" i="1"/>
  <c r="I723" i="1"/>
  <c r="H755" i="1"/>
  <c r="I755" i="1"/>
  <c r="H787" i="1"/>
  <c r="I787" i="1"/>
  <c r="H819" i="1"/>
  <c r="I819" i="1"/>
  <c r="H855" i="1"/>
  <c r="I855" i="1"/>
  <c r="H895" i="1"/>
  <c r="I895" i="1"/>
  <c r="H935" i="1"/>
  <c r="I935" i="1"/>
  <c r="G971" i="1"/>
  <c r="I971" i="1"/>
  <c r="H513" i="1"/>
  <c r="I513" i="1"/>
  <c r="H545" i="1"/>
  <c r="I545" i="1"/>
  <c r="H581" i="1"/>
  <c r="I581" i="1"/>
  <c r="H621" i="1"/>
  <c r="I621" i="1"/>
  <c r="H669" i="1"/>
  <c r="I669" i="1"/>
  <c r="H721" i="1"/>
  <c r="I721" i="1"/>
  <c r="H151" i="1"/>
  <c r="I151" i="1"/>
  <c r="H167" i="1"/>
  <c r="I167" i="1"/>
  <c r="H183" i="1"/>
  <c r="I183" i="1"/>
  <c r="H199" i="1"/>
  <c r="I199" i="1"/>
  <c r="H215" i="1"/>
  <c r="I215" i="1"/>
  <c r="H231" i="1"/>
  <c r="I231" i="1"/>
  <c r="H251" i="1"/>
  <c r="I251" i="1"/>
  <c r="H287" i="1"/>
  <c r="I287" i="1"/>
  <c r="H319" i="1"/>
  <c r="I319" i="1"/>
  <c r="H351" i="1"/>
  <c r="I351" i="1"/>
  <c r="H387" i="1"/>
  <c r="I387" i="1"/>
  <c r="H419" i="1"/>
  <c r="I419" i="1"/>
  <c r="H459" i="1"/>
  <c r="I459" i="1"/>
  <c r="H495" i="1"/>
  <c r="I495" i="1"/>
  <c r="H527" i="1"/>
  <c r="I527" i="1"/>
  <c r="H559" i="1"/>
  <c r="I559" i="1"/>
  <c r="H595" i="1"/>
  <c r="I595" i="1"/>
  <c r="H631" i="1"/>
  <c r="I631" i="1"/>
  <c r="H667" i="1"/>
  <c r="I667" i="1"/>
  <c r="H699" i="1"/>
  <c r="I699" i="1"/>
  <c r="H731" i="1"/>
  <c r="I731" i="1"/>
  <c r="H763" i="1"/>
  <c r="I763" i="1"/>
  <c r="H795" i="1"/>
  <c r="I795" i="1"/>
  <c r="H827" i="1"/>
  <c r="I827" i="1"/>
  <c r="H863" i="1"/>
  <c r="I863" i="1"/>
  <c r="H903" i="1"/>
  <c r="I903" i="1"/>
  <c r="G943" i="1"/>
  <c r="I943" i="1"/>
  <c r="G979" i="1"/>
  <c r="I979" i="1"/>
  <c r="H521" i="1"/>
  <c r="I521" i="1"/>
  <c r="H553" i="1"/>
  <c r="I553" i="1"/>
  <c r="H589" i="1"/>
  <c r="I589" i="1"/>
  <c r="H633" i="1"/>
  <c r="I633" i="1"/>
  <c r="H681" i="1"/>
  <c r="I681" i="1"/>
  <c r="I483" i="1"/>
  <c r="I499" i="1"/>
  <c r="I515" i="1"/>
  <c r="I531" i="1"/>
  <c r="I547" i="1"/>
  <c r="I563" i="1"/>
  <c r="I575" i="1"/>
  <c r="I591" i="1"/>
  <c r="I607" i="1"/>
  <c r="I619" i="1"/>
  <c r="I635" i="1"/>
  <c r="I651" i="1"/>
  <c r="I663" i="1"/>
  <c r="I679" i="1"/>
  <c r="I695" i="1"/>
  <c r="I711" i="1"/>
  <c r="I727" i="1"/>
  <c r="I743" i="1"/>
  <c r="I759" i="1"/>
  <c r="I775" i="1"/>
  <c r="I791" i="1"/>
  <c r="I807" i="1"/>
  <c r="I823" i="1"/>
  <c r="I835" i="1"/>
  <c r="I851" i="1"/>
  <c r="I867" i="1"/>
  <c r="I883" i="1"/>
  <c r="I891" i="1"/>
  <c r="I907" i="1"/>
  <c r="I919" i="1"/>
  <c r="I931" i="1"/>
  <c r="I947" i="1"/>
  <c r="I959" i="1"/>
  <c r="I975" i="1"/>
  <c r="I987" i="1"/>
  <c r="I597" i="1"/>
  <c r="I625" i="1"/>
  <c r="I653" i="1"/>
  <c r="I677" i="1"/>
  <c r="I701" i="1"/>
  <c r="I725" i="1"/>
  <c r="I745" i="1"/>
  <c r="I869" i="1"/>
  <c r="H155" i="1"/>
  <c r="I155" i="1"/>
  <c r="H171" i="1"/>
  <c r="I171" i="1"/>
  <c r="H187" i="1"/>
  <c r="I187" i="1"/>
  <c r="H203" i="1"/>
  <c r="I203" i="1"/>
  <c r="H219" i="1"/>
  <c r="I219" i="1"/>
  <c r="H235" i="1"/>
  <c r="I235" i="1"/>
  <c r="H259" i="1"/>
  <c r="I259" i="1"/>
  <c r="H295" i="1"/>
  <c r="I295" i="1"/>
  <c r="H327" i="1"/>
  <c r="I327" i="1"/>
  <c r="G363" i="1"/>
  <c r="I363" i="1"/>
  <c r="H395" i="1"/>
  <c r="I395" i="1"/>
  <c r="H431" i="1"/>
  <c r="I431" i="1"/>
  <c r="H467" i="1"/>
  <c r="I467" i="1"/>
  <c r="H503" i="1"/>
  <c r="I503" i="1"/>
  <c r="H535" i="1"/>
  <c r="I535" i="1"/>
  <c r="H571" i="1"/>
  <c r="I571" i="1"/>
  <c r="H603" i="1"/>
  <c r="I603" i="1"/>
  <c r="H639" i="1"/>
  <c r="I639" i="1"/>
  <c r="H675" i="1"/>
  <c r="I675" i="1"/>
  <c r="H707" i="1"/>
  <c r="I707" i="1"/>
  <c r="H739" i="1"/>
  <c r="I739" i="1"/>
  <c r="H771" i="1"/>
  <c r="I771" i="1"/>
  <c r="H803" i="1"/>
  <c r="I803" i="1"/>
  <c r="H839" i="1"/>
  <c r="I839" i="1"/>
  <c r="H871" i="1"/>
  <c r="I871" i="1"/>
  <c r="H915" i="1"/>
  <c r="I915" i="1"/>
  <c r="G955" i="1"/>
  <c r="I955" i="1"/>
  <c r="G991" i="1"/>
  <c r="I991" i="1"/>
  <c r="H533" i="1"/>
  <c r="I533" i="1"/>
  <c r="H561" i="1"/>
  <c r="I561" i="1"/>
  <c r="H601" i="1"/>
  <c r="I601" i="1"/>
  <c r="H645" i="1"/>
  <c r="I645" i="1"/>
  <c r="H693" i="1"/>
  <c r="I693" i="1"/>
  <c r="H139" i="1"/>
  <c r="I139" i="1"/>
  <c r="H159" i="1"/>
  <c r="I159" i="1"/>
  <c r="H175" i="1"/>
  <c r="I175" i="1"/>
  <c r="H191" i="1"/>
  <c r="I191" i="1"/>
  <c r="H207" i="1"/>
  <c r="I207" i="1"/>
  <c r="H223" i="1"/>
  <c r="I223" i="1"/>
  <c r="H239" i="1"/>
  <c r="I239" i="1"/>
  <c r="H267" i="1"/>
  <c r="I267" i="1"/>
  <c r="H303" i="1"/>
  <c r="I303" i="1"/>
  <c r="H335" i="1"/>
  <c r="I335" i="1"/>
  <c r="H371" i="1"/>
  <c r="I371" i="1"/>
  <c r="H403" i="1"/>
  <c r="I403" i="1"/>
  <c r="H439" i="1"/>
  <c r="I439" i="1"/>
  <c r="H475" i="1"/>
  <c r="I475" i="1"/>
  <c r="H511" i="1"/>
  <c r="I511" i="1"/>
  <c r="H543" i="1"/>
  <c r="I543" i="1"/>
  <c r="H579" i="1"/>
  <c r="I579" i="1"/>
  <c r="H611" i="1"/>
  <c r="I611" i="1"/>
  <c r="H647" i="1"/>
  <c r="I647" i="1"/>
  <c r="H683" i="1"/>
  <c r="I683" i="1"/>
  <c r="H715" i="1"/>
  <c r="I715" i="1"/>
  <c r="H747" i="1"/>
  <c r="I747" i="1"/>
  <c r="H779" i="1"/>
  <c r="I779" i="1"/>
  <c r="H811" i="1"/>
  <c r="I811" i="1"/>
  <c r="H847" i="1"/>
  <c r="I847" i="1"/>
  <c r="H879" i="1"/>
  <c r="I879" i="1"/>
  <c r="H927" i="1"/>
  <c r="I927" i="1"/>
  <c r="G963" i="1"/>
  <c r="I963" i="1"/>
  <c r="G999" i="1"/>
  <c r="I999" i="1"/>
  <c r="H541" i="1"/>
  <c r="I541" i="1"/>
  <c r="H573" i="1"/>
  <c r="I573" i="1"/>
  <c r="H609" i="1"/>
  <c r="I609" i="1"/>
  <c r="H657" i="1"/>
  <c r="I657" i="1"/>
  <c r="H705" i="1"/>
  <c r="I705" i="1"/>
  <c r="I933" i="1"/>
  <c r="I736" i="1"/>
  <c r="I768" i="1"/>
  <c r="I800" i="1"/>
  <c r="I832" i="1"/>
  <c r="I864" i="1"/>
  <c r="I896" i="1"/>
  <c r="I928" i="1"/>
  <c r="I549" i="1"/>
  <c r="I617" i="1"/>
  <c r="I709" i="1"/>
  <c r="I769" i="1"/>
  <c r="I785" i="1"/>
  <c r="I821" i="1"/>
  <c r="I921" i="1"/>
  <c r="I517" i="1"/>
  <c r="I577" i="1"/>
  <c r="I661" i="1"/>
  <c r="I761" i="1"/>
  <c r="I777" i="1"/>
  <c r="I797" i="1"/>
  <c r="I857" i="1"/>
  <c r="I917" i="1"/>
  <c r="I989" i="1"/>
  <c r="H393" i="1"/>
  <c r="I393" i="1"/>
  <c r="I960" i="1"/>
  <c r="I976" i="1"/>
  <c r="I992" i="1"/>
  <c r="G920" i="1"/>
  <c r="G673" i="1"/>
  <c r="G741" i="1"/>
  <c r="G809" i="1"/>
  <c r="G825" i="1"/>
  <c r="G728" i="1"/>
  <c r="G760" i="1"/>
  <c r="G792" i="1"/>
  <c r="H861" i="1"/>
  <c r="I5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781" i="1"/>
  <c r="I801" i="1"/>
  <c r="I817" i="1"/>
  <c r="I837" i="1"/>
  <c r="I905" i="1"/>
  <c r="I925" i="1"/>
  <c r="I765" i="1"/>
  <c r="I829" i="1"/>
  <c r="I901" i="1"/>
  <c r="I1001" i="1"/>
  <c r="I732" i="1"/>
  <c r="I764" i="1"/>
  <c r="I796" i="1"/>
  <c r="I828" i="1"/>
  <c r="I860" i="1"/>
  <c r="I892" i="1"/>
  <c r="I924" i="1"/>
  <c r="I948" i="1"/>
  <c r="I964" i="1"/>
  <c r="I980" i="1"/>
  <c r="I996" i="1"/>
  <c r="I749" i="1"/>
  <c r="I944" i="1"/>
  <c r="H425" i="1"/>
  <c r="I425" i="1"/>
  <c r="G9" i="1"/>
  <c r="G41" i="1"/>
  <c r="G89" i="1"/>
  <c r="G121" i="1"/>
  <c r="G153" i="1"/>
  <c r="G185" i="1"/>
  <c r="G217" i="1"/>
  <c r="G265" i="1"/>
  <c r="G297" i="1"/>
  <c r="G629" i="1"/>
  <c r="G793" i="1"/>
  <c r="G833" i="1"/>
  <c r="H865" i="1"/>
  <c r="I757" i="1"/>
  <c r="I877" i="1"/>
  <c r="I977" i="1"/>
  <c r="I789" i="1"/>
  <c r="I845" i="1"/>
  <c r="I949" i="1"/>
  <c r="I724" i="1"/>
  <c r="I756" i="1"/>
  <c r="I788" i="1"/>
  <c r="I820" i="1"/>
  <c r="I852" i="1"/>
  <c r="I884" i="1"/>
  <c r="I916" i="1"/>
  <c r="I952" i="1"/>
  <c r="I968" i="1"/>
  <c r="I984" i="1"/>
  <c r="I1000" i="1"/>
  <c r="I909" i="1"/>
  <c r="I929" i="1"/>
  <c r="I941" i="1"/>
  <c r="I981" i="1"/>
  <c r="I997" i="1"/>
  <c r="I805" i="1"/>
  <c r="H409" i="1"/>
  <c r="I409" i="1"/>
  <c r="G25" i="1"/>
  <c r="G57" i="1"/>
  <c r="G73" i="1"/>
  <c r="G105" i="1"/>
  <c r="G137" i="1"/>
  <c r="G169" i="1"/>
  <c r="G201" i="1"/>
  <c r="G233" i="1"/>
  <c r="G249" i="1"/>
  <c r="G281" i="1"/>
  <c r="G313" i="1"/>
  <c r="G329" i="1"/>
  <c r="G888" i="1"/>
  <c r="G773" i="1"/>
  <c r="G813" i="1"/>
  <c r="H889" i="1"/>
  <c r="G537" i="1"/>
  <c r="G569" i="1"/>
  <c r="G585" i="1"/>
  <c r="G649" i="1"/>
  <c r="G856" i="1"/>
  <c r="G697" i="1"/>
  <c r="H849" i="1"/>
  <c r="H893" i="1"/>
  <c r="H913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3" i="1"/>
  <c r="I241" i="1"/>
  <c r="I249" i="1"/>
  <c r="I257" i="1"/>
  <c r="I265" i="1"/>
  <c r="I273" i="1"/>
  <c r="I281" i="1"/>
  <c r="I289" i="1"/>
  <c r="I297" i="1"/>
  <c r="I305" i="1"/>
  <c r="I313" i="1"/>
  <c r="I321" i="1"/>
  <c r="I329" i="1"/>
  <c r="I337" i="1"/>
  <c r="I773" i="1"/>
  <c r="I793" i="1"/>
  <c r="I809" i="1"/>
  <c r="I825" i="1"/>
  <c r="I853" i="1"/>
  <c r="I893" i="1"/>
  <c r="I913" i="1"/>
  <c r="I993" i="1"/>
  <c r="I813" i="1"/>
  <c r="I865" i="1"/>
  <c r="I889" i="1"/>
  <c r="I965" i="1"/>
  <c r="I728" i="1"/>
  <c r="I748" i="1"/>
  <c r="I760" i="1"/>
  <c r="I780" i="1"/>
  <c r="I792" i="1"/>
  <c r="I812" i="1"/>
  <c r="I824" i="1"/>
  <c r="I844" i="1"/>
  <c r="I856" i="1"/>
  <c r="I876" i="1"/>
  <c r="I888" i="1"/>
  <c r="I908" i="1"/>
  <c r="I920" i="1"/>
  <c r="I940" i="1"/>
  <c r="I956" i="1"/>
  <c r="I972" i="1"/>
  <c r="I988" i="1"/>
  <c r="I509" i="1"/>
  <c r="I525" i="1"/>
  <c r="I537" i="1"/>
  <c r="I557" i="1"/>
  <c r="I569" i="1"/>
  <c r="I585" i="1"/>
  <c r="I605" i="1"/>
  <c r="I629" i="1"/>
  <c r="I649" i="1"/>
  <c r="I673" i="1"/>
  <c r="I697" i="1"/>
  <c r="I717" i="1"/>
  <c r="I741" i="1"/>
  <c r="I833" i="1"/>
  <c r="I849" i="1"/>
  <c r="I861" i="1"/>
  <c r="I885" i="1"/>
  <c r="I957" i="1"/>
  <c r="I2" i="1"/>
  <c r="C10" i="5" a="1"/>
  <c r="C10" i="5" s="1"/>
  <c r="G748" i="1"/>
  <c r="G940" i="1"/>
  <c r="G789" i="1"/>
  <c r="G1001" i="1"/>
  <c r="G724" i="1"/>
  <c r="G756" i="1"/>
  <c r="G788" i="1"/>
  <c r="G820" i="1"/>
  <c r="G852" i="1"/>
  <c r="G884" i="1"/>
  <c r="G916" i="1"/>
  <c r="G944" i="1"/>
  <c r="G960" i="1"/>
  <c r="G976" i="1"/>
  <c r="G992" i="1"/>
  <c r="G877" i="1"/>
  <c r="G941" i="1"/>
  <c r="G393" i="1"/>
  <c r="G853" i="1"/>
  <c r="G965" i="1"/>
  <c r="G732" i="1"/>
  <c r="G764" i="1"/>
  <c r="G796" i="1"/>
  <c r="G828" i="1"/>
  <c r="G860" i="1"/>
  <c r="G892" i="1"/>
  <c r="G924" i="1"/>
  <c r="G948" i="1"/>
  <c r="G964" i="1"/>
  <c r="G980" i="1"/>
  <c r="G996" i="1"/>
  <c r="G949" i="1"/>
  <c r="G985" i="1"/>
  <c r="G409" i="1"/>
  <c r="G876" i="1"/>
  <c r="G733" i="1"/>
  <c r="G925" i="1"/>
  <c r="G740" i="1"/>
  <c r="G772" i="1"/>
  <c r="G804" i="1"/>
  <c r="G836" i="1"/>
  <c r="G900" i="1"/>
  <c r="G932" i="1"/>
  <c r="G952" i="1"/>
  <c r="G968" i="1"/>
  <c r="G984" i="1"/>
  <c r="G1000" i="1"/>
  <c r="G765" i="1"/>
  <c r="G845" i="1"/>
  <c r="G901" i="1"/>
  <c r="G957" i="1"/>
  <c r="G993" i="1"/>
  <c r="G425" i="1"/>
  <c r="G2" i="1"/>
  <c r="G844" i="1"/>
  <c r="G908" i="1"/>
  <c r="G972" i="1"/>
  <c r="G988" i="1"/>
  <c r="G749" i="1"/>
  <c r="G805" i="1"/>
  <c r="G977" i="1"/>
  <c r="G812" i="1"/>
  <c r="G757" i="1"/>
  <c r="G829" i="1"/>
  <c r="G885" i="1"/>
  <c r="G780" i="1"/>
  <c r="G956" i="1"/>
  <c r="G868" i="1"/>
  <c r="E10" i="5" l="1" a="1"/>
  <c r="I75" i="5" s="1"/>
  <c r="D10" i="5" a="1"/>
  <c r="F129" i="5" s="1"/>
  <c r="G129" i="5" s="1"/>
  <c r="F811" i="5" l="1"/>
  <c r="G811" i="5" s="1"/>
  <c r="F829" i="5"/>
  <c r="G829" i="5" s="1"/>
  <c r="F179" i="5"/>
  <c r="G179" i="5" s="1"/>
  <c r="F882" i="5"/>
  <c r="G882" i="5" s="1"/>
  <c r="H882" i="5" s="1"/>
  <c r="F445" i="5"/>
  <c r="G445" i="5" s="1"/>
  <c r="H445" i="5" s="1"/>
  <c r="F557" i="5"/>
  <c r="G557" i="5" s="1"/>
  <c r="H557" i="5" s="1"/>
  <c r="F326" i="5"/>
  <c r="G326" i="5" s="1"/>
  <c r="F171" i="5"/>
  <c r="G171" i="5" s="1"/>
  <c r="H171" i="5" s="1"/>
  <c r="F523" i="5"/>
  <c r="G523" i="5" s="1"/>
  <c r="H523" i="5" s="1"/>
  <c r="F63" i="5"/>
  <c r="G63" i="5" s="1"/>
  <c r="H63" i="5" s="1"/>
  <c r="F330" i="5"/>
  <c r="G330" i="5" s="1"/>
  <c r="F390" i="5"/>
  <c r="G390" i="5" s="1"/>
  <c r="H390" i="5" s="1"/>
  <c r="F567" i="5"/>
  <c r="G567" i="5" s="1"/>
  <c r="H567" i="5" s="1"/>
  <c r="F519" i="5"/>
  <c r="G519" i="5" s="1"/>
  <c r="H519" i="5" s="1"/>
  <c r="F410" i="5"/>
  <c r="G410" i="5" s="1"/>
  <c r="F38" i="5"/>
  <c r="G38" i="5" s="1"/>
  <c r="H38" i="5" s="1"/>
  <c r="F402" i="5"/>
  <c r="G402" i="5" s="1"/>
  <c r="H402" i="5" s="1"/>
  <c r="F140" i="5"/>
  <c r="G140" i="5" s="1"/>
  <c r="H140" i="5" s="1"/>
  <c r="F767" i="5"/>
  <c r="G767" i="5" s="1"/>
  <c r="F896" i="5"/>
  <c r="G896" i="5" s="1"/>
  <c r="H896" i="5" s="1"/>
  <c r="F912" i="5"/>
  <c r="G912" i="5" s="1"/>
  <c r="H912" i="5" s="1"/>
  <c r="F932" i="5"/>
  <c r="G932" i="5" s="1"/>
  <c r="H932" i="5" s="1"/>
  <c r="F146" i="5"/>
  <c r="G146" i="5" s="1"/>
  <c r="F879" i="5"/>
  <c r="G879" i="5" s="1"/>
  <c r="H879" i="5" s="1"/>
  <c r="F972" i="5"/>
  <c r="G972" i="5" s="1"/>
  <c r="H972" i="5" s="1"/>
  <c r="F536" i="5"/>
  <c r="G536" i="5" s="1"/>
  <c r="H536" i="5" s="1"/>
  <c r="F78" i="5"/>
  <c r="G78" i="5" s="1"/>
  <c r="F470" i="5"/>
  <c r="G470" i="5" s="1"/>
  <c r="H470" i="5" s="1"/>
  <c r="F306" i="5"/>
  <c r="G306" i="5" s="1"/>
  <c r="H306" i="5" s="1"/>
  <c r="F585" i="5"/>
  <c r="G585" i="5" s="1"/>
  <c r="H585" i="5" s="1"/>
  <c r="F245" i="5"/>
  <c r="G245" i="5" s="1"/>
  <c r="F963" i="5"/>
  <c r="G963" i="5" s="1"/>
  <c r="H963" i="5" s="1"/>
  <c r="F999" i="5"/>
  <c r="G999" i="5" s="1"/>
  <c r="H999" i="5" s="1"/>
  <c r="F374" i="5"/>
  <c r="G374" i="5" s="1"/>
  <c r="H374" i="5" s="1"/>
  <c r="F466" i="5"/>
  <c r="G466" i="5" s="1"/>
  <c r="F599" i="5"/>
  <c r="G599" i="5" s="1"/>
  <c r="H599" i="5" s="1"/>
  <c r="F302" i="5"/>
  <c r="G302" i="5" s="1"/>
  <c r="H302" i="5" s="1"/>
  <c r="F338" i="5"/>
  <c r="G338" i="5" s="1"/>
  <c r="H338" i="5" s="1"/>
  <c r="F88" i="5"/>
  <c r="G88" i="5" s="1"/>
  <c r="F970" i="5"/>
  <c r="G970" i="5" s="1"/>
  <c r="H970" i="5" s="1"/>
  <c r="F221" i="5"/>
  <c r="G221" i="5" s="1"/>
  <c r="H221" i="5" s="1"/>
  <c r="F264" i="5"/>
  <c r="G264" i="5" s="1"/>
  <c r="H264" i="5" s="1"/>
  <c r="F40" i="5"/>
  <c r="G40" i="5" s="1"/>
  <c r="F232" i="5"/>
  <c r="G232" i="5" s="1"/>
  <c r="H232" i="5" s="1"/>
  <c r="F888" i="5"/>
  <c r="G888" i="5" s="1"/>
  <c r="H888" i="5" s="1"/>
  <c r="F604" i="5"/>
  <c r="G604" i="5" s="1"/>
  <c r="H604" i="5" s="1"/>
  <c r="F947" i="5"/>
  <c r="G947" i="5" s="1"/>
  <c r="F420" i="5"/>
  <c r="G420" i="5" s="1"/>
  <c r="H420" i="5" s="1"/>
  <c r="F220" i="5"/>
  <c r="G220" i="5" s="1"/>
  <c r="H220" i="5" s="1"/>
  <c r="F161" i="5"/>
  <c r="G161" i="5" s="1"/>
  <c r="H161" i="5" s="1"/>
  <c r="F482" i="5"/>
  <c r="G482" i="5" s="1"/>
  <c r="F170" i="5"/>
  <c r="G170" i="5" s="1"/>
  <c r="H170" i="5" s="1"/>
  <c r="F969" i="5"/>
  <c r="G969" i="5" s="1"/>
  <c r="H969" i="5" s="1"/>
  <c r="F624" i="5"/>
  <c r="G624" i="5" s="1"/>
  <c r="H624" i="5" s="1"/>
  <c r="F507" i="5"/>
  <c r="G507" i="5" s="1"/>
  <c r="H507" i="5" s="1"/>
  <c r="F500" i="5"/>
  <c r="G500" i="5" s="1"/>
  <c r="H500" i="5" s="1"/>
  <c r="F939" i="5"/>
  <c r="G939" i="5" s="1"/>
  <c r="H939" i="5" s="1"/>
  <c r="F531" i="5"/>
  <c r="G531" i="5" s="1"/>
  <c r="H531" i="5" s="1"/>
  <c r="F21" i="5"/>
  <c r="G21" i="5" s="1"/>
  <c r="H21" i="5" s="1"/>
  <c r="F773" i="5"/>
  <c r="G773" i="5" s="1"/>
  <c r="H773" i="5" s="1"/>
  <c r="F149" i="5"/>
  <c r="G149" i="5" s="1"/>
  <c r="H149" i="5" s="1"/>
  <c r="F720" i="5"/>
  <c r="G720" i="5" s="1"/>
  <c r="H720" i="5" s="1"/>
  <c r="F765" i="5"/>
  <c r="G765" i="5" s="1"/>
  <c r="H765" i="5" s="1"/>
  <c r="F598" i="5"/>
  <c r="G598" i="5" s="1"/>
  <c r="H598" i="5" s="1"/>
  <c r="F905" i="5"/>
  <c r="G905" i="5" s="1"/>
  <c r="H905" i="5" s="1"/>
  <c r="F143" i="5"/>
  <c r="G143" i="5" s="1"/>
  <c r="H143" i="5" s="1"/>
  <c r="F236" i="5"/>
  <c r="G236" i="5" s="1"/>
  <c r="F542" i="5"/>
  <c r="G542" i="5" s="1"/>
  <c r="H542" i="5" s="1"/>
  <c r="F36" i="5"/>
  <c r="G36" i="5" s="1"/>
  <c r="H36" i="5" s="1"/>
  <c r="F724" i="5"/>
  <c r="G724" i="5" s="1"/>
  <c r="H724" i="5" s="1"/>
  <c r="F125" i="5"/>
  <c r="G125" i="5" s="1"/>
  <c r="H125" i="5" s="1"/>
  <c r="F256" i="5"/>
  <c r="G256" i="5" s="1"/>
  <c r="H256" i="5" s="1"/>
  <c r="F48" i="5"/>
  <c r="G48" i="5" s="1"/>
  <c r="H48" i="5" s="1"/>
  <c r="F360" i="5"/>
  <c r="G360" i="5" s="1"/>
  <c r="H360" i="5" s="1"/>
  <c r="F981" i="5"/>
  <c r="G981" i="5" s="1"/>
  <c r="H981" i="5" s="1"/>
  <c r="F945" i="5"/>
  <c r="G945" i="5" s="1"/>
  <c r="H945" i="5" s="1"/>
  <c r="F455" i="5"/>
  <c r="G455" i="5" s="1"/>
  <c r="H455" i="5" s="1"/>
  <c r="F872" i="5"/>
  <c r="G872" i="5" s="1"/>
  <c r="H872" i="5" s="1"/>
  <c r="F681" i="5"/>
  <c r="G681" i="5" s="1"/>
  <c r="H681" i="5" s="1"/>
  <c r="F745" i="5"/>
  <c r="G745" i="5" s="1"/>
  <c r="H745" i="5" s="1"/>
  <c r="F898" i="5"/>
  <c r="G898" i="5" s="1"/>
  <c r="H898" i="5" s="1"/>
  <c r="F726" i="5"/>
  <c r="G726" i="5" s="1"/>
  <c r="H726" i="5" s="1"/>
  <c r="F789" i="5"/>
  <c r="G789" i="5" s="1"/>
  <c r="F386" i="5"/>
  <c r="G386" i="5" s="1"/>
  <c r="H386" i="5" s="1"/>
  <c r="F671" i="5"/>
  <c r="G671" i="5" s="1"/>
  <c r="H671" i="5" s="1"/>
  <c r="F814" i="5"/>
  <c r="G814" i="5" s="1"/>
  <c r="H814" i="5" s="1"/>
  <c r="F575" i="5"/>
  <c r="G575" i="5" s="1"/>
  <c r="H575" i="5" s="1"/>
  <c r="F162" i="5"/>
  <c r="G162" i="5" s="1"/>
  <c r="H162" i="5" s="1"/>
  <c r="F861" i="5"/>
  <c r="G861" i="5" s="1"/>
  <c r="H861" i="5" s="1"/>
  <c r="F539" i="5"/>
  <c r="G539" i="5" s="1"/>
  <c r="H539" i="5" s="1"/>
  <c r="F521" i="5"/>
  <c r="G521" i="5" s="1"/>
  <c r="H521" i="5" s="1"/>
  <c r="F406" i="5"/>
  <c r="G406" i="5" s="1"/>
  <c r="H406" i="5" s="1"/>
  <c r="F249" i="5"/>
  <c r="G249" i="5" s="1"/>
  <c r="H249" i="5" s="1"/>
  <c r="F873" i="5"/>
  <c r="G873" i="5" s="1"/>
  <c r="H873" i="5" s="1"/>
  <c r="F978" i="5"/>
  <c r="G978" i="5" s="1"/>
  <c r="H978" i="5" s="1"/>
  <c r="F592" i="5"/>
  <c r="G592" i="5" s="1"/>
  <c r="H592" i="5" s="1"/>
  <c r="F845" i="5"/>
  <c r="G845" i="5" s="1"/>
  <c r="H845" i="5" s="1"/>
  <c r="F717" i="5"/>
  <c r="G717" i="5" s="1"/>
  <c r="H717" i="5" s="1"/>
  <c r="F607" i="5"/>
  <c r="G607" i="5" s="1"/>
  <c r="H607" i="5" s="1"/>
  <c r="F830" i="5"/>
  <c r="G830" i="5" s="1"/>
  <c r="H830" i="5" s="1"/>
  <c r="F959" i="5"/>
  <c r="G959" i="5" s="1"/>
  <c r="H959" i="5" s="1"/>
  <c r="F568" i="5"/>
  <c r="G568" i="5" s="1"/>
  <c r="H568" i="5" s="1"/>
  <c r="F793" i="5"/>
  <c r="G793" i="5" s="1"/>
  <c r="H793" i="5" s="1"/>
  <c r="F262" i="5"/>
  <c r="G262" i="5" s="1"/>
  <c r="H262" i="5" s="1"/>
  <c r="F17" i="5"/>
  <c r="G17" i="5" s="1"/>
  <c r="H17" i="5" s="1"/>
  <c r="F877" i="5"/>
  <c r="G877" i="5" s="1"/>
  <c r="H877" i="5" s="1"/>
  <c r="F655" i="5"/>
  <c r="G655" i="5" s="1"/>
  <c r="H655" i="5" s="1"/>
  <c r="F268" i="5"/>
  <c r="G268" i="5" s="1"/>
  <c r="H268" i="5" s="1"/>
  <c r="F345" i="5"/>
  <c r="G345" i="5" s="1"/>
  <c r="H345" i="5" s="1"/>
  <c r="F833" i="5"/>
  <c r="G833" i="5" s="1"/>
  <c r="H833" i="5" s="1"/>
  <c r="F547" i="5"/>
  <c r="G547" i="5" s="1"/>
  <c r="H547" i="5" s="1"/>
  <c r="F914" i="5"/>
  <c r="G914" i="5" s="1"/>
  <c r="H914" i="5" s="1"/>
  <c r="F513" i="5"/>
  <c r="G513" i="5" s="1"/>
  <c r="F941" i="5"/>
  <c r="G941" i="5" s="1"/>
  <c r="H941" i="5" s="1"/>
  <c r="F733" i="5"/>
  <c r="G733" i="5" s="1"/>
  <c r="H733" i="5" s="1"/>
  <c r="F237" i="5"/>
  <c r="G237" i="5" s="1"/>
  <c r="H237" i="5" s="1"/>
  <c r="F296" i="5"/>
  <c r="G296" i="5" s="1"/>
  <c r="H296" i="5" s="1"/>
  <c r="F512" i="5"/>
  <c r="G512" i="5" s="1"/>
  <c r="H512" i="5" s="1"/>
  <c r="F417" i="5"/>
  <c r="G417" i="5" s="1"/>
  <c r="H417" i="5" s="1"/>
  <c r="F284" i="5"/>
  <c r="G284" i="5" s="1"/>
  <c r="H284" i="5" s="1"/>
  <c r="F212" i="5"/>
  <c r="G212" i="5" s="1"/>
  <c r="H212" i="5" s="1"/>
  <c r="F676" i="5"/>
  <c r="G676" i="5" s="1"/>
  <c r="H676" i="5" s="1"/>
  <c r="F54" i="5"/>
  <c r="G54" i="5" s="1"/>
  <c r="H54" i="5" s="1"/>
  <c r="F252" i="5"/>
  <c r="G252" i="5" s="1"/>
  <c r="H252" i="5" s="1"/>
  <c r="F312" i="5"/>
  <c r="G312" i="5" s="1"/>
  <c r="H312" i="5" s="1"/>
  <c r="F87" i="5"/>
  <c r="G87" i="5" s="1"/>
  <c r="H87" i="5" s="1"/>
  <c r="F779" i="5"/>
  <c r="G779" i="5" s="1"/>
  <c r="H779" i="5" s="1"/>
  <c r="F368" i="5"/>
  <c r="G368" i="5" s="1"/>
  <c r="H368" i="5" s="1"/>
  <c r="F73" i="5"/>
  <c r="G73" i="5" s="1"/>
  <c r="H73" i="5" s="1"/>
  <c r="F689" i="5"/>
  <c r="G689" i="5" s="1"/>
  <c r="H689" i="5" s="1"/>
  <c r="F935" i="5"/>
  <c r="G935" i="5" s="1"/>
  <c r="H935" i="5" s="1"/>
  <c r="F769" i="5"/>
  <c r="G769" i="5" s="1"/>
  <c r="H769" i="5" s="1"/>
  <c r="F837" i="5"/>
  <c r="G837" i="5" s="1"/>
  <c r="H837" i="5" s="1"/>
  <c r="F325" i="5"/>
  <c r="G325" i="5" s="1"/>
  <c r="H325" i="5" s="1"/>
  <c r="F730" i="5"/>
  <c r="G730" i="5" s="1"/>
  <c r="H730" i="5" s="1"/>
  <c r="F796" i="5"/>
  <c r="G796" i="5" s="1"/>
  <c r="H796" i="5" s="1"/>
  <c r="F370" i="5"/>
  <c r="G370" i="5" s="1"/>
  <c r="H370" i="5" s="1"/>
  <c r="F917" i="5"/>
  <c r="G917" i="5" s="1"/>
  <c r="H917" i="5" s="1"/>
  <c r="F672" i="5"/>
  <c r="G672" i="5" s="1"/>
  <c r="H672" i="5" s="1"/>
  <c r="F787" i="5"/>
  <c r="G787" i="5" s="1"/>
  <c r="H787" i="5" s="1"/>
  <c r="F385" i="5"/>
  <c r="G385" i="5" s="1"/>
  <c r="H385" i="5" s="1"/>
  <c r="F160" i="5"/>
  <c r="G160" i="5" s="1"/>
  <c r="H160" i="5" s="1"/>
  <c r="F627" i="5"/>
  <c r="G627" i="5" s="1"/>
  <c r="H627" i="5" s="1"/>
  <c r="F775" i="5"/>
  <c r="G775" i="5" s="1"/>
  <c r="H775" i="5" s="1"/>
  <c r="F441" i="5"/>
  <c r="G441" i="5" s="1"/>
  <c r="F549" i="5"/>
  <c r="G549" i="5" s="1"/>
  <c r="H549" i="5" s="1"/>
  <c r="F867" i="5"/>
  <c r="G867" i="5" s="1"/>
  <c r="H867" i="5" s="1"/>
  <c r="F534" i="5"/>
  <c r="G534" i="5" s="1"/>
  <c r="H534" i="5" s="1"/>
  <c r="F59" i="5"/>
  <c r="G59" i="5" s="1"/>
  <c r="H59" i="5" s="1"/>
  <c r="F103" i="5"/>
  <c r="G103" i="5" s="1"/>
  <c r="H103" i="5" s="1"/>
  <c r="F42" i="5"/>
  <c r="G42" i="5" s="1"/>
  <c r="H42" i="5" s="1"/>
  <c r="F361" i="5"/>
  <c r="G361" i="5" s="1"/>
  <c r="H361" i="5" s="1"/>
  <c r="F613" i="5"/>
  <c r="G613" i="5" s="1"/>
  <c r="H613" i="5" s="1"/>
  <c r="F136" i="5"/>
  <c r="G136" i="5" s="1"/>
  <c r="H136" i="5" s="1"/>
  <c r="F718" i="5"/>
  <c r="G718" i="5" s="1"/>
  <c r="F803" i="5"/>
  <c r="G803" i="5" s="1"/>
  <c r="H803" i="5" s="1"/>
  <c r="F369" i="5"/>
  <c r="G369" i="5" s="1"/>
  <c r="H369" i="5" s="1"/>
  <c r="F98" i="5"/>
  <c r="G98" i="5" s="1"/>
  <c r="H98" i="5" s="1"/>
  <c r="F184" i="5"/>
  <c r="G184" i="5" s="1"/>
  <c r="H184" i="5" s="1"/>
  <c r="F230" i="5"/>
  <c r="G230" i="5" s="1"/>
  <c r="H230" i="5" s="1"/>
  <c r="F400" i="5"/>
  <c r="G400" i="5" s="1"/>
  <c r="H400" i="5" s="1"/>
  <c r="F541" i="5"/>
  <c r="G541" i="5" s="1"/>
  <c r="H541" i="5" s="1"/>
  <c r="F764" i="5"/>
  <c r="G764" i="5" s="1"/>
  <c r="H764" i="5" s="1"/>
  <c r="F74" i="5"/>
  <c r="G74" i="5" s="1"/>
  <c r="H74" i="5" s="1"/>
  <c r="F846" i="5"/>
  <c r="G846" i="5" s="1"/>
  <c r="H846" i="5" s="1"/>
  <c r="F484" i="5"/>
  <c r="G484" i="5" s="1"/>
  <c r="H484" i="5" s="1"/>
  <c r="F485" i="5"/>
  <c r="G485" i="5" s="1"/>
  <c r="H485" i="5" s="1"/>
  <c r="F928" i="5"/>
  <c r="G928" i="5" s="1"/>
  <c r="H928" i="5" s="1"/>
  <c r="F278" i="5"/>
  <c r="G278" i="5" s="1"/>
  <c r="H278" i="5" s="1"/>
  <c r="F609" i="5"/>
  <c r="G609" i="5" s="1"/>
  <c r="H609" i="5" s="1"/>
  <c r="F792" i="5"/>
  <c r="G792" i="5" s="1"/>
  <c r="H792" i="5" s="1"/>
  <c r="F185" i="5"/>
  <c r="G185" i="5" s="1"/>
  <c r="H185" i="5" s="1"/>
  <c r="F737" i="5"/>
  <c r="G737" i="5" s="1"/>
  <c r="H737" i="5" s="1"/>
  <c r="F843" i="5"/>
  <c r="G843" i="5" s="1"/>
  <c r="H843" i="5" s="1"/>
  <c r="F51" i="5"/>
  <c r="G51" i="5" s="1"/>
  <c r="H51" i="5" s="1"/>
  <c r="F640" i="5"/>
  <c r="G640" i="5" s="1"/>
  <c r="H640" i="5" s="1"/>
  <c r="F666" i="5"/>
  <c r="G666" i="5" s="1"/>
  <c r="H666" i="5" s="1"/>
  <c r="F518" i="5"/>
  <c r="G518" i="5" s="1"/>
  <c r="H518" i="5" s="1"/>
  <c r="F228" i="5"/>
  <c r="G228" i="5" s="1"/>
  <c r="H228" i="5" s="1"/>
  <c r="F632" i="5"/>
  <c r="G632" i="5" s="1"/>
  <c r="H632" i="5" s="1"/>
  <c r="F652" i="5"/>
  <c r="G652" i="5" s="1"/>
  <c r="H652" i="5" s="1"/>
  <c r="F528" i="5"/>
  <c r="G528" i="5" s="1"/>
  <c r="H528" i="5" s="1"/>
  <c r="F250" i="5"/>
  <c r="G250" i="5" s="1"/>
  <c r="H250" i="5" s="1"/>
  <c r="F91" i="5"/>
  <c r="G91" i="5" s="1"/>
  <c r="H91" i="5" s="1"/>
  <c r="F165" i="5"/>
  <c r="G165" i="5" s="1"/>
  <c r="H165" i="5" s="1"/>
  <c r="F940" i="5"/>
  <c r="G940" i="5" s="1"/>
  <c r="H940" i="5" s="1"/>
  <c r="F12" i="5"/>
  <c r="G12" i="5" s="1"/>
  <c r="H12" i="5" s="1"/>
  <c r="F979" i="5"/>
  <c r="G979" i="5" s="1"/>
  <c r="H979" i="5" s="1"/>
  <c r="F900" i="5"/>
  <c r="G900" i="5" s="1"/>
  <c r="H900" i="5" s="1"/>
  <c r="F448" i="5"/>
  <c r="G448" i="5" s="1"/>
  <c r="H448" i="5" s="1"/>
  <c r="F375" i="5"/>
  <c r="G375" i="5" s="1"/>
  <c r="H375" i="5" s="1"/>
  <c r="F244" i="5"/>
  <c r="G244" i="5" s="1"/>
  <c r="H244" i="5" s="1"/>
  <c r="F971" i="5"/>
  <c r="G971" i="5" s="1"/>
  <c r="H971" i="5" s="1"/>
  <c r="F937" i="5"/>
  <c r="G937" i="5" s="1"/>
  <c r="H937" i="5" s="1"/>
  <c r="F210" i="5"/>
  <c r="G210" i="5" s="1"/>
  <c r="H210" i="5" s="1"/>
  <c r="F248" i="5"/>
  <c r="G248" i="5" s="1"/>
  <c r="H248" i="5" s="1"/>
  <c r="F44" i="5"/>
  <c r="G44" i="5" s="1"/>
  <c r="F571" i="5"/>
  <c r="G571" i="5" s="1"/>
  <c r="H571" i="5" s="1"/>
  <c r="F267" i="5"/>
  <c r="G267" i="5" s="1"/>
  <c r="H267" i="5" s="1"/>
  <c r="F933" i="5"/>
  <c r="G933" i="5" s="1"/>
  <c r="H933" i="5" s="1"/>
  <c r="F138" i="5"/>
  <c r="G138" i="5" s="1"/>
  <c r="H138" i="5" s="1"/>
  <c r="F450" i="5"/>
  <c r="G450" i="5" s="1"/>
  <c r="H450" i="5" s="1"/>
  <c r="F405" i="5"/>
  <c r="G405" i="5" s="1"/>
  <c r="H405" i="5" s="1"/>
  <c r="F364" i="5"/>
  <c r="G364" i="5" s="1"/>
  <c r="H364" i="5" s="1"/>
  <c r="F201" i="5"/>
  <c r="G201" i="5" s="1"/>
  <c r="H201" i="5" s="1"/>
  <c r="F619" i="5"/>
  <c r="G619" i="5" s="1"/>
  <c r="H619" i="5" s="1"/>
  <c r="F227" i="5"/>
  <c r="G227" i="5" s="1"/>
  <c r="H227" i="5" s="1"/>
  <c r="F641" i="5"/>
  <c r="G641" i="5" s="1"/>
  <c r="H641" i="5" s="1"/>
  <c r="F53" i="5"/>
  <c r="G53" i="5" s="1"/>
  <c r="H53" i="5" s="1"/>
  <c r="F760" i="5"/>
  <c r="G760" i="5" s="1"/>
  <c r="H760" i="5" s="1"/>
  <c r="F904" i="5"/>
  <c r="G904" i="5" s="1"/>
  <c r="H904" i="5" s="1"/>
  <c r="F701" i="5"/>
  <c r="G701" i="5" s="1"/>
  <c r="H701" i="5" s="1"/>
  <c r="F269" i="5"/>
  <c r="G269" i="5" s="1"/>
  <c r="H269" i="5" s="1"/>
  <c r="F801" i="5"/>
  <c r="G801" i="5" s="1"/>
  <c r="H801" i="5" s="1"/>
  <c r="F432" i="5"/>
  <c r="G432" i="5" s="1"/>
  <c r="H432" i="5" s="1"/>
  <c r="F192" i="5"/>
  <c r="G192" i="5" s="1"/>
  <c r="H192" i="5" s="1"/>
  <c r="F480" i="5"/>
  <c r="G480" i="5" s="1"/>
  <c r="H480" i="5" s="1"/>
  <c r="F200" i="5"/>
  <c r="G200" i="5" s="1"/>
  <c r="H200" i="5" s="1"/>
  <c r="F520" i="5"/>
  <c r="G520" i="5" s="1"/>
  <c r="H520" i="5" s="1"/>
  <c r="F569" i="5"/>
  <c r="G569" i="5" s="1"/>
  <c r="H569" i="5" s="1"/>
  <c r="F373" i="5"/>
  <c r="G373" i="5" s="1"/>
  <c r="H373" i="5" s="1"/>
  <c r="F960" i="5"/>
  <c r="G960" i="5" s="1"/>
  <c r="H960" i="5" s="1"/>
  <c r="F626" i="5"/>
  <c r="G626" i="5" s="1"/>
  <c r="H626" i="5" s="1"/>
  <c r="F219" i="5"/>
  <c r="G219" i="5" s="1"/>
  <c r="H219" i="5" s="1"/>
  <c r="F82" i="5"/>
  <c r="G82" i="5" s="1"/>
  <c r="H82" i="5" s="1"/>
  <c r="F875" i="5"/>
  <c r="G875" i="5" s="1"/>
  <c r="H875" i="5" s="1"/>
  <c r="F608" i="5"/>
  <c r="G608" i="5" s="1"/>
  <c r="H608" i="5" s="1"/>
  <c r="F377" i="5"/>
  <c r="G377" i="5" s="1"/>
  <c r="H377" i="5" s="1"/>
  <c r="F559" i="5"/>
  <c r="G559" i="5" s="1"/>
  <c r="H559" i="5" s="1"/>
  <c r="F1008" i="5"/>
  <c r="G1008" i="5" s="1"/>
  <c r="H1008" i="5" s="1"/>
  <c r="F755" i="5"/>
  <c r="G755" i="5" s="1"/>
  <c r="H755" i="5" s="1"/>
  <c r="F335" i="5"/>
  <c r="G335" i="5" s="1"/>
  <c r="H335" i="5" s="1"/>
  <c r="F551" i="5"/>
  <c r="G551" i="5" s="1"/>
  <c r="H551" i="5" s="1"/>
  <c r="F18" i="5"/>
  <c r="G18" i="5" s="1"/>
  <c r="H18" i="5" s="1"/>
  <c r="F475" i="5"/>
  <c r="G475" i="5" s="1"/>
  <c r="H475" i="5" s="1"/>
  <c r="F332" i="5"/>
  <c r="G332" i="5" s="1"/>
  <c r="H332" i="5" s="1"/>
  <c r="F795" i="5"/>
  <c r="G795" i="5" s="1"/>
  <c r="H795" i="5" s="1"/>
  <c r="F505" i="5"/>
  <c r="G505" i="5" s="1"/>
  <c r="H505" i="5" s="1"/>
  <c r="F216" i="5"/>
  <c r="G216" i="5" s="1"/>
  <c r="H216" i="5" s="1"/>
  <c r="F783" i="5"/>
  <c r="G783" i="5" s="1"/>
  <c r="H783" i="5" s="1"/>
  <c r="F786" i="5"/>
  <c r="G786" i="5" s="1"/>
  <c r="H786" i="5" s="1"/>
  <c r="F739" i="5"/>
  <c r="G739" i="5" s="1"/>
  <c r="H739" i="5" s="1"/>
  <c r="F471" i="5"/>
  <c r="G471" i="5" s="1"/>
  <c r="H471" i="5" s="1"/>
  <c r="F841" i="5"/>
  <c r="G841" i="5" s="1"/>
  <c r="H841" i="5" s="1"/>
  <c r="F197" i="5"/>
  <c r="G197" i="5" s="1"/>
  <c r="H197" i="5" s="1"/>
  <c r="F702" i="5"/>
  <c r="G702" i="5" s="1"/>
  <c r="H702" i="5" s="1"/>
  <c r="F442" i="5"/>
  <c r="G442" i="5" s="1"/>
  <c r="H442" i="5" s="1"/>
  <c r="F977" i="5"/>
  <c r="G977" i="5" s="1"/>
  <c r="H977" i="5" s="1"/>
  <c r="F282" i="5"/>
  <c r="G282" i="5" s="1"/>
  <c r="H282" i="5" s="1"/>
  <c r="F708" i="5"/>
  <c r="G708" i="5" s="1"/>
  <c r="H708" i="5" s="1"/>
  <c r="H718" i="5"/>
  <c r="H78" i="5"/>
  <c r="I437" i="5"/>
  <c r="I101" i="5"/>
  <c r="I367" i="5"/>
  <c r="I21" i="5"/>
  <c r="H441" i="5"/>
  <c r="I491" i="5"/>
  <c r="I82" i="5"/>
  <c r="I554" i="5"/>
  <c r="I585" i="5"/>
  <c r="I512" i="5"/>
  <c r="I569" i="5"/>
  <c r="I18" i="5"/>
  <c r="F815" i="5"/>
  <c r="G815" i="5" s="1"/>
  <c r="H815" i="5" s="1"/>
  <c r="F516" i="5"/>
  <c r="G516" i="5" s="1"/>
  <c r="H516" i="5" s="1"/>
  <c r="F173" i="5"/>
  <c r="G173" i="5" s="1"/>
  <c r="F463" i="5"/>
  <c r="G463" i="5" s="1"/>
  <c r="H463" i="5" s="1"/>
  <c r="F869" i="5"/>
  <c r="G869" i="5" s="1"/>
  <c r="H869" i="5" s="1"/>
  <c r="F304" i="5"/>
  <c r="G304" i="5" s="1"/>
  <c r="H304" i="5" s="1"/>
  <c r="F533" i="5"/>
  <c r="G533" i="5" s="1"/>
  <c r="H533" i="5" s="1"/>
  <c r="F832" i="5"/>
  <c r="G832" i="5" s="1"/>
  <c r="H832" i="5" s="1"/>
  <c r="F342" i="5"/>
  <c r="G342" i="5" s="1"/>
  <c r="H342" i="5" s="1"/>
  <c r="F809" i="5"/>
  <c r="G809" i="5" s="1"/>
  <c r="H809" i="5" s="1"/>
  <c r="F802" i="5"/>
  <c r="G802" i="5" s="1"/>
  <c r="H802" i="5" s="1"/>
  <c r="F699" i="5"/>
  <c r="G699" i="5" s="1"/>
  <c r="H699" i="5" s="1"/>
  <c r="F705" i="5"/>
  <c r="G705" i="5" s="1"/>
  <c r="H705" i="5" s="1"/>
  <c r="F582" i="5"/>
  <c r="G582" i="5" s="1"/>
  <c r="H582" i="5" s="1"/>
  <c r="F887" i="5"/>
  <c r="G887" i="5" s="1"/>
  <c r="H887" i="5" s="1"/>
  <c r="F589" i="5"/>
  <c r="G589" i="5" s="1"/>
  <c r="H589" i="5" s="1"/>
  <c r="F181" i="5"/>
  <c r="G181" i="5" s="1"/>
  <c r="H181" i="5" s="1"/>
  <c r="F827" i="5"/>
  <c r="G827" i="5" s="1"/>
  <c r="H827" i="5" s="1"/>
  <c r="F117" i="5"/>
  <c r="G117" i="5" s="1"/>
  <c r="H117" i="5" s="1"/>
  <c r="F127" i="5"/>
  <c r="G127" i="5" s="1"/>
  <c r="H127" i="5" s="1"/>
  <c r="F68" i="5"/>
  <c r="G68" i="5" s="1"/>
  <c r="H68" i="5" s="1"/>
  <c r="F850" i="5"/>
  <c r="G850" i="5" s="1"/>
  <c r="H850" i="5" s="1"/>
  <c r="F915" i="5"/>
  <c r="G915" i="5" s="1"/>
  <c r="H915" i="5" s="1"/>
  <c r="F392" i="5"/>
  <c r="G392" i="5" s="1"/>
  <c r="H392" i="5" s="1"/>
  <c r="F34" i="5"/>
  <c r="G34" i="5" s="1"/>
  <c r="H34" i="5" s="1"/>
  <c r="F742" i="5"/>
  <c r="G742" i="5" s="1"/>
  <c r="H742" i="5" s="1"/>
  <c r="F275" i="5"/>
  <c r="G275" i="5" s="1"/>
  <c r="H275" i="5" s="1"/>
  <c r="F573" i="5"/>
  <c r="G573" i="5" s="1"/>
  <c r="H573" i="5" s="1"/>
  <c r="F183" i="5"/>
  <c r="G183" i="5" s="1"/>
  <c r="H183" i="5" s="1"/>
  <c r="F753" i="5"/>
  <c r="G753" i="5" s="1"/>
  <c r="H753" i="5" s="1"/>
  <c r="F949" i="5"/>
  <c r="G949" i="5" s="1"/>
  <c r="H949" i="5" s="1"/>
  <c r="F412" i="5"/>
  <c r="G412" i="5" s="1"/>
  <c r="H412" i="5" s="1"/>
  <c r="F265" i="5"/>
  <c r="G265" i="5" s="1"/>
  <c r="H265" i="5" s="1"/>
  <c r="F314" i="5"/>
  <c r="G314" i="5" s="1"/>
  <c r="H314" i="5" s="1"/>
  <c r="F357" i="5"/>
  <c r="G357" i="5" s="1"/>
  <c r="H357" i="5" s="1"/>
  <c r="F79" i="5"/>
  <c r="G79" i="5" s="1"/>
  <c r="H79" i="5" s="1"/>
  <c r="F180" i="5"/>
  <c r="G180" i="5" s="1"/>
  <c r="H180" i="5" s="1"/>
  <c r="F65" i="5"/>
  <c r="G65" i="5" s="1"/>
  <c r="H65" i="5" s="1"/>
  <c r="F813" i="5"/>
  <c r="G813" i="5" s="1"/>
  <c r="H813" i="5" s="1"/>
  <c r="F967" i="5"/>
  <c r="G967" i="5" s="1"/>
  <c r="H967" i="5" s="1"/>
  <c r="F663" i="5"/>
  <c r="G663" i="5" s="1"/>
  <c r="H663" i="5" s="1"/>
  <c r="F133" i="5"/>
  <c r="G133" i="5" s="1"/>
  <c r="H133" i="5" s="1"/>
  <c r="F961" i="5"/>
  <c r="G961" i="5" s="1"/>
  <c r="H961" i="5" s="1"/>
  <c r="F686" i="5"/>
  <c r="G686" i="5" s="1"/>
  <c r="H686" i="5" s="1"/>
  <c r="F584" i="5"/>
  <c r="G584" i="5" s="1"/>
  <c r="H584" i="5" s="1"/>
  <c r="F242" i="5"/>
  <c r="G242" i="5" s="1"/>
  <c r="H242" i="5" s="1"/>
  <c r="F419" i="5"/>
  <c r="G419" i="5" s="1"/>
  <c r="H419" i="5" s="1"/>
  <c r="F658" i="5"/>
  <c r="G658" i="5" s="1"/>
  <c r="H658" i="5" s="1"/>
  <c r="F476" i="5"/>
  <c r="G476" i="5" s="1"/>
  <c r="H476" i="5" s="1"/>
  <c r="F440" i="5"/>
  <c r="G440" i="5" s="1"/>
  <c r="H440" i="5" s="1"/>
  <c r="F565" i="5"/>
  <c r="G565" i="5" s="1"/>
  <c r="H565" i="5" s="1"/>
  <c r="F931" i="5"/>
  <c r="G931" i="5" s="1"/>
  <c r="H931" i="5" s="1"/>
  <c r="F768" i="5"/>
  <c r="G768" i="5" s="1"/>
  <c r="H768" i="5" s="1"/>
  <c r="F223" i="5"/>
  <c r="G223" i="5" s="1"/>
  <c r="H223" i="5" s="1"/>
  <c r="F623" i="5"/>
  <c r="G623" i="5" s="1"/>
  <c r="H623" i="5" s="1"/>
  <c r="F307" i="5"/>
  <c r="G307" i="5" s="1"/>
  <c r="H307" i="5" s="1"/>
  <c r="F100" i="5"/>
  <c r="G100" i="5" s="1"/>
  <c r="H100" i="5" s="1"/>
  <c r="F893" i="5"/>
  <c r="G893" i="5" s="1"/>
  <c r="H893" i="5" s="1"/>
  <c r="F422" i="5"/>
  <c r="G422" i="5" s="1"/>
  <c r="H422" i="5" s="1"/>
  <c r="F858" i="5"/>
  <c r="G858" i="5" s="1"/>
  <c r="H858" i="5" s="1"/>
  <c r="F319" i="5"/>
  <c r="G319" i="5" s="1"/>
  <c r="H319" i="5" s="1"/>
  <c r="H245" i="5"/>
  <c r="H466" i="5"/>
  <c r="H88" i="5"/>
  <c r="I37" i="5"/>
  <c r="I741" i="5"/>
  <c r="I548" i="5"/>
  <c r="I99" i="5"/>
  <c r="I482" i="5"/>
  <c r="I256" i="5"/>
  <c r="I582" i="5"/>
  <c r="I263" i="5"/>
  <c r="I94" i="5"/>
  <c r="I146" i="5"/>
  <c r="I55" i="5"/>
  <c r="H129" i="5"/>
  <c r="H40" i="5"/>
  <c r="H829" i="5"/>
  <c r="H179" i="5"/>
  <c r="I150" i="5"/>
  <c r="I466" i="5"/>
  <c r="I688" i="5"/>
  <c r="I297" i="5"/>
  <c r="I141" i="5"/>
  <c r="I38" i="5"/>
  <c r="I629" i="5"/>
  <c r="I207" i="5"/>
  <c r="F974" i="5"/>
  <c r="G974" i="5" s="1"/>
  <c r="H974" i="5" s="1"/>
  <c r="F83" i="5"/>
  <c r="G83" i="5" s="1"/>
  <c r="H83" i="5" s="1"/>
  <c r="F67" i="5"/>
  <c r="G67" i="5" s="1"/>
  <c r="H67" i="5" s="1"/>
  <c r="F594" i="5"/>
  <c r="G594" i="5" s="1"/>
  <c r="H594" i="5" s="1"/>
  <c r="F911" i="5"/>
  <c r="G911" i="5" s="1"/>
  <c r="H911" i="5" s="1"/>
  <c r="F383" i="5"/>
  <c r="G383" i="5" s="1"/>
  <c r="H383" i="5" s="1"/>
  <c r="F919" i="5"/>
  <c r="G919" i="5" s="1"/>
  <c r="H919" i="5" s="1"/>
  <c r="F683" i="5"/>
  <c r="G683" i="5" s="1"/>
  <c r="H683" i="5" s="1"/>
  <c r="F299" i="5"/>
  <c r="G299" i="5" s="1"/>
  <c r="H299" i="5" s="1"/>
  <c r="F397" i="5"/>
  <c r="G397" i="5" s="1"/>
  <c r="H397" i="5" s="1"/>
  <c r="F906" i="5"/>
  <c r="G906" i="5" s="1"/>
  <c r="H906" i="5" s="1"/>
  <c r="F510" i="5"/>
  <c r="G510" i="5" s="1"/>
  <c r="H510" i="5" s="1"/>
  <c r="F907" i="5"/>
  <c r="G907" i="5" s="1"/>
  <c r="H907" i="5" s="1"/>
  <c r="F108" i="5"/>
  <c r="G108" i="5" s="1"/>
  <c r="H108" i="5" s="1"/>
  <c r="F706" i="5"/>
  <c r="G706" i="5" s="1"/>
  <c r="H706" i="5" s="1"/>
  <c r="F316" i="5"/>
  <c r="G316" i="5" s="1"/>
  <c r="H316" i="5" s="1"/>
  <c r="F465" i="5"/>
  <c r="G465" i="5" s="1"/>
  <c r="H465" i="5" s="1"/>
  <c r="F353" i="5"/>
  <c r="G353" i="5" s="1"/>
  <c r="H353" i="5" s="1"/>
  <c r="F362" i="5"/>
  <c r="G362" i="5" s="1"/>
  <c r="H362" i="5" s="1"/>
  <c r="F957" i="5"/>
  <c r="G957" i="5" s="1"/>
  <c r="H957" i="5" s="1"/>
  <c r="F347" i="5"/>
  <c r="G347" i="5" s="1"/>
  <c r="H347" i="5" s="1"/>
  <c r="F555" i="5"/>
  <c r="G555" i="5" s="1"/>
  <c r="H555" i="5" s="1"/>
  <c r="F381" i="5"/>
  <c r="G381" i="5" s="1"/>
  <c r="H381" i="5" s="1"/>
  <c r="F153" i="5"/>
  <c r="G153" i="5" s="1"/>
  <c r="H153" i="5" s="1"/>
  <c r="F199" i="5"/>
  <c r="G199" i="5" s="1"/>
  <c r="H199" i="5" s="1"/>
  <c r="F126" i="5"/>
  <c r="G126" i="5" s="1"/>
  <c r="H126" i="5" s="1"/>
  <c r="F617" i="5"/>
  <c r="G617" i="5" s="1"/>
  <c r="H617" i="5" s="1"/>
  <c r="F997" i="5"/>
  <c r="G997" i="5" s="1"/>
  <c r="H997" i="5" s="1"/>
  <c r="F92" i="5"/>
  <c r="G92" i="5" s="1"/>
  <c r="H92" i="5" s="1"/>
  <c r="F70" i="5"/>
  <c r="G70" i="5" s="1"/>
  <c r="H70" i="5" s="1"/>
  <c r="F529" i="5"/>
  <c r="G529" i="5" s="1"/>
  <c r="H529" i="5" s="1"/>
  <c r="F84" i="5"/>
  <c r="G84" i="5" s="1"/>
  <c r="H84" i="5" s="1"/>
  <c r="F435" i="5"/>
  <c r="G435" i="5" s="1"/>
  <c r="H435" i="5" s="1"/>
  <c r="F975" i="5"/>
  <c r="G975" i="5" s="1"/>
  <c r="H975" i="5" s="1"/>
  <c r="F498" i="5"/>
  <c r="G498" i="5" s="1"/>
  <c r="H498" i="5" s="1"/>
  <c r="F457" i="5"/>
  <c r="G457" i="5" s="1"/>
  <c r="H457" i="5" s="1"/>
  <c r="F741" i="5"/>
  <c r="G741" i="5" s="1"/>
  <c r="H741" i="5" s="1"/>
  <c r="F991" i="5"/>
  <c r="G991" i="5" s="1"/>
  <c r="H991" i="5" s="1"/>
  <c r="F404" i="5"/>
  <c r="G404" i="5" s="1"/>
  <c r="H404" i="5" s="1"/>
  <c r="F350" i="5"/>
  <c r="G350" i="5" s="1"/>
  <c r="H350" i="5" s="1"/>
  <c r="F535" i="5"/>
  <c r="G535" i="5" s="1"/>
  <c r="H535" i="5" s="1"/>
  <c r="F467" i="5"/>
  <c r="G467" i="5" s="1"/>
  <c r="H467" i="5" s="1"/>
  <c r="F343" i="5"/>
  <c r="G343" i="5" s="1"/>
  <c r="H343" i="5" s="1"/>
  <c r="F336" i="5"/>
  <c r="G336" i="5" s="1"/>
  <c r="H336" i="5" s="1"/>
  <c r="F273" i="5"/>
  <c r="G273" i="5" s="1"/>
  <c r="H273" i="5" s="1"/>
  <c r="F459" i="5"/>
  <c r="G459" i="5" s="1"/>
  <c r="H459" i="5" s="1"/>
  <c r="F934" i="5"/>
  <c r="G934" i="5" s="1"/>
  <c r="H934" i="5" s="1"/>
  <c r="F839" i="5"/>
  <c r="G839" i="5" s="1"/>
  <c r="H839" i="5" s="1"/>
  <c r="F57" i="5"/>
  <c r="G57" i="5" s="1"/>
  <c r="H57" i="5" s="1"/>
  <c r="F618" i="5"/>
  <c r="G618" i="5" s="1"/>
  <c r="H618" i="5" s="1"/>
  <c r="F1002" i="5"/>
  <c r="G1002" i="5" s="1"/>
  <c r="H1002" i="5" s="1"/>
  <c r="F859" i="5"/>
  <c r="G859" i="5" s="1"/>
  <c r="H859" i="5" s="1"/>
  <c r="F550" i="5"/>
  <c r="G550" i="5" s="1"/>
  <c r="H550" i="5" s="1"/>
  <c r="F756" i="5"/>
  <c r="G756" i="5" s="1"/>
  <c r="H756" i="5" s="1"/>
  <c r="F680" i="5"/>
  <c r="G680" i="5" s="1"/>
  <c r="H680" i="5" s="1"/>
  <c r="F152" i="5"/>
  <c r="G152" i="5" s="1"/>
  <c r="H152" i="5" s="1"/>
  <c r="F890" i="5"/>
  <c r="G890" i="5" s="1"/>
  <c r="H890" i="5" s="1"/>
  <c r="H482" i="5"/>
  <c r="H789" i="5"/>
  <c r="I577" i="5"/>
  <c r="I917" i="5"/>
  <c r="I902" i="5"/>
  <c r="I892" i="5"/>
  <c r="I638" i="5"/>
  <c r="I302" i="5"/>
  <c r="I691" i="5"/>
  <c r="I721" i="5"/>
  <c r="I397" i="5"/>
  <c r="I448" i="5"/>
  <c r="I538" i="5"/>
  <c r="I999" i="5"/>
  <c r="I431" i="5"/>
  <c r="I918" i="5"/>
  <c r="I246" i="5"/>
  <c r="H236" i="5"/>
  <c r="H513" i="5"/>
  <c r="H173" i="5"/>
  <c r="I65" i="5"/>
  <c r="I321" i="5"/>
  <c r="I634" i="5"/>
  <c r="I920" i="5"/>
  <c r="I853" i="5"/>
  <c r="I615" i="5"/>
  <c r="I295" i="5"/>
  <c r="I660" i="5"/>
  <c r="I324" i="5"/>
  <c r="I47" i="5"/>
  <c r="I791" i="5"/>
  <c r="I807" i="5"/>
  <c r="I54" i="5"/>
  <c r="I326" i="5"/>
  <c r="I523" i="5"/>
  <c r="I31" i="5"/>
  <c r="I1003" i="5"/>
  <c r="I357" i="5"/>
  <c r="I776" i="5"/>
  <c r="I929" i="5"/>
  <c r="I653" i="5"/>
  <c r="I311" i="5"/>
  <c r="I640" i="5"/>
  <c r="I384" i="5"/>
  <c r="I128" i="5"/>
  <c r="I796" i="5"/>
  <c r="I884" i="5"/>
  <c r="I886" i="5"/>
  <c r="I83" i="5"/>
  <c r="I281" i="5"/>
  <c r="I325" i="5"/>
  <c r="I453" i="5"/>
  <c r="I549" i="5"/>
  <c r="I838" i="5"/>
  <c r="I952" i="5"/>
  <c r="I188" i="5"/>
  <c r="I195" i="5"/>
  <c r="I258" i="5"/>
  <c r="I771" i="5"/>
  <c r="I981" i="5"/>
  <c r="I799" i="5"/>
  <c r="I978" i="5"/>
  <c r="I735" i="5"/>
  <c r="I947" i="5"/>
  <c r="I801" i="5"/>
  <c r="I887" i="5"/>
  <c r="I823" i="5"/>
  <c r="I938" i="5"/>
  <c r="I831" i="5"/>
  <c r="H947" i="5"/>
  <c r="H767" i="5"/>
  <c r="H326" i="5"/>
  <c r="I235" i="5"/>
  <c r="I835" i="5"/>
  <c r="I677" i="5"/>
  <c r="I381" i="5"/>
  <c r="I484" i="5"/>
  <c r="I951" i="5"/>
  <c r="I133" i="5"/>
  <c r="I441" i="5"/>
  <c r="I182" i="5"/>
  <c r="I243" i="5"/>
  <c r="I993" i="5"/>
  <c r="I192" i="5"/>
  <c r="I716" i="5"/>
  <c r="I266" i="5"/>
  <c r="I475" i="5"/>
  <c r="I522" i="5"/>
  <c r="I116" i="5"/>
  <c r="I449" i="5"/>
  <c r="I524" i="5"/>
  <c r="I597" i="5"/>
  <c r="H811" i="5"/>
  <c r="H410" i="5"/>
  <c r="H146" i="5"/>
  <c r="H44" i="5"/>
  <c r="H330" i="5"/>
  <c r="I122" i="5"/>
  <c r="I406" i="5"/>
  <c r="I707" i="5"/>
  <c r="I984" i="5"/>
  <c r="I805" i="5"/>
  <c r="I551" i="5"/>
  <c r="I231" i="5"/>
  <c r="I612" i="5"/>
  <c r="I409" i="5"/>
  <c r="I443" i="5"/>
  <c r="I217" i="5"/>
  <c r="I703" i="5"/>
  <c r="I726" i="5"/>
  <c r="I213" i="5"/>
  <c r="I410" i="5"/>
  <c r="I501" i="5"/>
  <c r="I784" i="5"/>
  <c r="I470" i="5"/>
  <c r="I862" i="5"/>
  <c r="I865" i="5"/>
  <c r="I567" i="5"/>
  <c r="I226" i="5"/>
  <c r="I576" i="5"/>
  <c r="I320" i="5"/>
  <c r="I64" i="5"/>
  <c r="I948" i="5"/>
  <c r="I820" i="5"/>
  <c r="I770" i="5"/>
  <c r="I719" i="5"/>
  <c r="I127" i="5"/>
  <c r="I174" i="5"/>
  <c r="I736" i="5"/>
  <c r="I757" i="5"/>
  <c r="I517" i="5"/>
  <c r="I717" i="5"/>
  <c r="I882" i="5"/>
  <c r="I49" i="5"/>
  <c r="I783" i="5"/>
  <c r="F233" i="5"/>
  <c r="G233" i="5" s="1"/>
  <c r="H233" i="5" s="1"/>
  <c r="F425" i="5"/>
  <c r="G425" i="5" s="1"/>
  <c r="H425" i="5" s="1"/>
  <c r="F186" i="5"/>
  <c r="G186" i="5" s="1"/>
  <c r="H186" i="5" s="1"/>
  <c r="F297" i="5"/>
  <c r="G297" i="5" s="1"/>
  <c r="H297" i="5" s="1"/>
  <c r="F649" i="5"/>
  <c r="G649" i="5" s="1"/>
  <c r="H649" i="5" s="1"/>
  <c r="F109" i="5"/>
  <c r="G109" i="5" s="1"/>
  <c r="H109" i="5" s="1"/>
  <c r="F208" i="5"/>
  <c r="G208" i="5" s="1"/>
  <c r="H208" i="5" s="1"/>
  <c r="F16" i="5"/>
  <c r="G16" i="5" s="1"/>
  <c r="H16" i="5" s="1"/>
  <c r="F283" i="5"/>
  <c r="G283" i="5" s="1"/>
  <c r="H283" i="5" s="1"/>
  <c r="F122" i="5"/>
  <c r="G122" i="5" s="1"/>
  <c r="H122" i="5" s="1"/>
  <c r="F942" i="5"/>
  <c r="G942" i="5" s="1"/>
  <c r="H942" i="5" s="1"/>
  <c r="F483" i="5"/>
  <c r="G483" i="5" s="1"/>
  <c r="H483" i="5" s="1"/>
  <c r="F644" i="5"/>
  <c r="G644" i="5" s="1"/>
  <c r="H644" i="5" s="1"/>
  <c r="F469" i="5"/>
  <c r="G469" i="5" s="1"/>
  <c r="H469" i="5" s="1"/>
  <c r="F948" i="5"/>
  <c r="G948" i="5" s="1"/>
  <c r="H948" i="5" s="1"/>
  <c r="F583" i="5"/>
  <c r="G583" i="5" s="1"/>
  <c r="H583" i="5" s="1"/>
  <c r="F951" i="5"/>
  <c r="G951" i="5" s="1"/>
  <c r="H951" i="5" s="1"/>
  <c r="F685" i="5"/>
  <c r="G685" i="5" s="1"/>
  <c r="H685" i="5" s="1"/>
  <c r="F25" i="5"/>
  <c r="G25" i="5" s="1"/>
  <c r="H25" i="5" s="1"/>
  <c r="F174" i="5"/>
  <c r="G174" i="5" s="1"/>
  <c r="H174" i="5" s="1"/>
  <c r="F14" i="5"/>
  <c r="G14" i="5" s="1"/>
  <c r="H14" i="5" s="1"/>
  <c r="F897" i="5"/>
  <c r="G897" i="5" s="1"/>
  <c r="H897" i="5" s="1"/>
  <c r="F842" i="5"/>
  <c r="G842" i="5" s="1"/>
  <c r="H842" i="5" s="1"/>
  <c r="F954" i="5"/>
  <c r="G954" i="5" s="1"/>
  <c r="H954" i="5" s="1"/>
  <c r="F545" i="5"/>
  <c r="G545" i="5" s="1"/>
  <c r="H545" i="5" s="1"/>
  <c r="F130" i="5"/>
  <c r="G130" i="5" s="1"/>
  <c r="H130" i="5" s="1"/>
  <c r="F387" i="5"/>
  <c r="G387" i="5" s="1"/>
  <c r="H387" i="5" s="1"/>
  <c r="F499" i="5"/>
  <c r="G499" i="5" s="1"/>
  <c r="H499" i="5" s="1"/>
  <c r="F418" i="5"/>
  <c r="G418" i="5" s="1"/>
  <c r="H418" i="5" s="1"/>
  <c r="F71" i="5"/>
  <c r="G71" i="5" s="1"/>
  <c r="H71" i="5" s="1"/>
  <c r="F692" i="5"/>
  <c r="G692" i="5" s="1"/>
  <c r="H692" i="5" s="1"/>
  <c r="F908" i="5"/>
  <c r="G908" i="5" s="1"/>
  <c r="H908" i="5" s="1"/>
  <c r="F195" i="5"/>
  <c r="G195" i="5" s="1"/>
  <c r="H195" i="5" s="1"/>
  <c r="F112" i="5"/>
  <c r="G112" i="5" s="1"/>
  <c r="H112" i="5" s="1"/>
  <c r="F254" i="5"/>
  <c r="G254" i="5" s="1"/>
  <c r="H254" i="5" s="1"/>
  <c r="F564" i="5"/>
  <c r="G564" i="5" s="1"/>
  <c r="H564" i="5" s="1"/>
  <c r="F883" i="5"/>
  <c r="G883" i="5" s="1"/>
  <c r="H883" i="5" s="1"/>
  <c r="F255" i="5"/>
  <c r="G255" i="5" s="1"/>
  <c r="H255" i="5" s="1"/>
  <c r="F176" i="5"/>
  <c r="G176" i="5" s="1"/>
  <c r="H176" i="5" s="1"/>
  <c r="F22" i="5"/>
  <c r="G22" i="5" s="1"/>
  <c r="H22" i="5" s="1"/>
  <c r="F543" i="5"/>
  <c r="G543" i="5" s="1"/>
  <c r="H543" i="5" s="1"/>
  <c r="F148" i="5"/>
  <c r="G148" i="5" s="1"/>
  <c r="H148" i="5" s="1"/>
  <c r="F852" i="5"/>
  <c r="G852" i="5" s="1"/>
  <c r="H852" i="5" s="1"/>
  <c r="F647" i="5"/>
  <c r="G647" i="5" s="1"/>
  <c r="H647" i="5" s="1"/>
  <c r="F123" i="5"/>
  <c r="G123" i="5" s="1"/>
  <c r="H123" i="5" s="1"/>
  <c r="F1005" i="5"/>
  <c r="G1005" i="5" s="1"/>
  <c r="H1005" i="5" s="1"/>
  <c r="F669" i="5"/>
  <c r="G669" i="5" s="1"/>
  <c r="H669" i="5" s="1"/>
  <c r="F142" i="5"/>
  <c r="G142" i="5" s="1"/>
  <c r="H142" i="5" s="1"/>
  <c r="F213" i="5"/>
  <c r="G213" i="5" s="1"/>
  <c r="H213" i="5" s="1"/>
  <c r="F785" i="5"/>
  <c r="G785" i="5" s="1"/>
  <c r="H785" i="5" s="1"/>
  <c r="F434" i="5"/>
  <c r="G434" i="5" s="1"/>
  <c r="H434" i="5" s="1"/>
  <c r="F926" i="5"/>
  <c r="G926" i="5" s="1"/>
  <c r="H926" i="5" s="1"/>
  <c r="F281" i="5"/>
  <c r="G281" i="5" s="1"/>
  <c r="H281" i="5" s="1"/>
  <c r="F831" i="5"/>
  <c r="G831" i="5" s="1"/>
  <c r="H831" i="5" s="1"/>
  <c r="F19" i="5"/>
  <c r="G19" i="5" s="1"/>
  <c r="H19" i="5" s="1"/>
  <c r="F102" i="5"/>
  <c r="G102" i="5" s="1"/>
  <c r="H102" i="5" s="1"/>
  <c r="F930" i="5"/>
  <c r="G930" i="5" s="1"/>
  <c r="H930" i="5" s="1"/>
  <c r="F97" i="5"/>
  <c r="G97" i="5" s="1"/>
  <c r="H97" i="5" s="1"/>
  <c r="F203" i="5"/>
  <c r="G203" i="5" s="1"/>
  <c r="H203" i="5" s="1"/>
  <c r="F204" i="5"/>
  <c r="G204" i="5" s="1"/>
  <c r="H204" i="5" s="1"/>
  <c r="F253" i="5"/>
  <c r="G253" i="5" s="1"/>
  <c r="H253" i="5" s="1"/>
  <c r="F49" i="5"/>
  <c r="G49" i="5" s="1"/>
  <c r="H49" i="5" s="1"/>
  <c r="F495" i="5"/>
  <c r="G495" i="5" s="1"/>
  <c r="H495" i="5" s="1"/>
  <c r="F191" i="5"/>
  <c r="G191" i="5" s="1"/>
  <c r="H191" i="5" s="1"/>
  <c r="F522" i="5"/>
  <c r="G522" i="5" s="1"/>
  <c r="H522" i="5" s="1"/>
  <c r="F684" i="5"/>
  <c r="G684" i="5" s="1"/>
  <c r="H684" i="5" s="1"/>
  <c r="F921" i="5"/>
  <c r="G921" i="5" s="1"/>
  <c r="H921" i="5" s="1"/>
  <c r="F818" i="5"/>
  <c r="G818" i="5" s="1"/>
  <c r="H818" i="5" s="1"/>
  <c r="F339" i="5"/>
  <c r="G339" i="5" s="1"/>
  <c r="H339" i="5" s="1"/>
  <c r="F156" i="5"/>
  <c r="G156" i="5" s="1"/>
  <c r="H156" i="5" s="1"/>
  <c r="F423" i="5"/>
  <c r="G423" i="5" s="1"/>
  <c r="H423" i="5" s="1"/>
  <c r="F552" i="5"/>
  <c r="G552" i="5" s="1"/>
  <c r="H552" i="5" s="1"/>
  <c r="F886" i="5"/>
  <c r="G886" i="5" s="1"/>
  <c r="H886" i="5" s="1"/>
  <c r="F968" i="5"/>
  <c r="G968" i="5" s="1"/>
  <c r="H968" i="5" s="1"/>
  <c r="F527" i="5"/>
  <c r="G527" i="5" s="1"/>
  <c r="H527" i="5" s="1"/>
  <c r="F439" i="5"/>
  <c r="G439" i="5" s="1"/>
  <c r="H439" i="5" s="1"/>
  <c r="F605" i="5"/>
  <c r="G605" i="5" s="1"/>
  <c r="H605" i="5" s="1"/>
  <c r="F606" i="5"/>
  <c r="G606" i="5" s="1"/>
  <c r="H606" i="5" s="1"/>
  <c r="F579" i="5"/>
  <c r="G579" i="5" s="1"/>
  <c r="H579" i="5" s="1"/>
  <c r="F923" i="5"/>
  <c r="G923" i="5" s="1"/>
  <c r="H923" i="5" s="1"/>
  <c r="F246" i="5"/>
  <c r="G246" i="5" s="1"/>
  <c r="H246" i="5" s="1"/>
  <c r="F697" i="5"/>
  <c r="G697" i="5" s="1"/>
  <c r="H697" i="5" s="1"/>
  <c r="F864" i="5"/>
  <c r="G864" i="5" s="1"/>
  <c r="H864" i="5" s="1"/>
  <c r="F851" i="5"/>
  <c r="G851" i="5" s="1"/>
  <c r="H851" i="5" s="1"/>
  <c r="F340" i="5"/>
  <c r="G340" i="5" s="1"/>
  <c r="H340" i="5" s="1"/>
  <c r="F69" i="5"/>
  <c r="G69" i="5" s="1"/>
  <c r="H69" i="5" s="1"/>
  <c r="F305" i="5"/>
  <c r="G305" i="5" s="1"/>
  <c r="H305" i="5" s="1"/>
  <c r="I724" i="5"/>
  <c r="I129" i="5"/>
  <c r="I271" i="5"/>
  <c r="I385" i="5"/>
  <c r="I499" i="5"/>
  <c r="I613" i="5"/>
  <c r="I712" i="5"/>
  <c r="I798" i="5"/>
  <c r="I883" i="5"/>
  <c r="I968" i="5"/>
  <c r="I977" i="5"/>
  <c r="I913" i="5"/>
  <c r="I849" i="5"/>
  <c r="I769" i="5"/>
  <c r="I705" i="5"/>
  <c r="I631" i="5"/>
  <c r="I546" i="5"/>
  <c r="I461" i="5"/>
  <c r="I375" i="5"/>
  <c r="I290" i="5"/>
  <c r="I205" i="5"/>
  <c r="I119" i="5"/>
  <c r="I34" i="5"/>
  <c r="I624" i="5"/>
  <c r="I560" i="5"/>
  <c r="I496" i="5"/>
  <c r="I432" i="5"/>
  <c r="I368" i="5"/>
  <c r="I304" i="5"/>
  <c r="I240" i="5"/>
  <c r="I176" i="5"/>
  <c r="I112" i="5"/>
  <c r="I48" i="5"/>
  <c r="I234" i="5"/>
  <c r="I635" i="5"/>
  <c r="I834" i="5"/>
  <c r="I987" i="5"/>
  <c r="I465" i="5"/>
  <c r="I767" i="5"/>
  <c r="I923" i="5"/>
  <c r="I896" i="5"/>
  <c r="I962" i="5"/>
  <c r="I971" i="5"/>
  <c r="I858" i="5"/>
  <c r="I731" i="5"/>
  <c r="I494" i="5"/>
  <c r="I190" i="5"/>
  <c r="I46" i="5"/>
  <c r="I690" i="5"/>
  <c r="I545" i="5"/>
  <c r="I394" i="5"/>
  <c r="I241" i="5"/>
  <c r="I90" i="5"/>
  <c r="I590" i="5"/>
  <c r="I438" i="5"/>
  <c r="I287" i="5"/>
  <c r="I134" i="5"/>
  <c r="I218" i="5"/>
  <c r="I623" i="5"/>
  <c r="I758" i="5"/>
  <c r="I890" i="5"/>
  <c r="I975" i="5"/>
  <c r="I179" i="5"/>
  <c r="I814" i="5"/>
  <c r="I530" i="5"/>
  <c r="I532" i="5"/>
  <c r="I20" i="5"/>
  <c r="I868" i="5"/>
  <c r="I601" i="5"/>
  <c r="I785" i="5"/>
  <c r="I591" i="5"/>
  <c r="I973" i="5"/>
  <c r="I605" i="5"/>
  <c r="I157" i="5"/>
  <c r="I444" i="5"/>
  <c r="I92" i="5"/>
  <c r="I291" i="5"/>
  <c r="I992" i="5"/>
  <c r="I768" i="5"/>
  <c r="I657" i="5"/>
  <c r="I547" i="5"/>
  <c r="I637" i="5"/>
  <c r="I457" i="5"/>
  <c r="I536" i="5"/>
  <c r="I19" i="5"/>
  <c r="I187" i="5"/>
  <c r="I158" i="5"/>
  <c r="I299" i="5"/>
  <c r="I414" i="5"/>
  <c r="I527" i="5"/>
  <c r="I641" i="5"/>
  <c r="I734" i="5"/>
  <c r="I819" i="5"/>
  <c r="I904" i="5"/>
  <c r="I990" i="5"/>
  <c r="I961" i="5"/>
  <c r="I897" i="5"/>
  <c r="I833" i="5"/>
  <c r="I753" i="5"/>
  <c r="I689" i="5"/>
  <c r="I610" i="5"/>
  <c r="I525" i="5"/>
  <c r="I439" i="5"/>
  <c r="I354" i="5"/>
  <c r="I269" i="5"/>
  <c r="I183" i="5"/>
  <c r="I98" i="5"/>
  <c r="I13" i="5"/>
  <c r="I608" i="5"/>
  <c r="I544" i="5"/>
  <c r="I480" i="5"/>
  <c r="I416" i="5"/>
  <c r="I352" i="5"/>
  <c r="I288" i="5"/>
  <c r="I224" i="5"/>
  <c r="I160" i="5"/>
  <c r="I96" i="5"/>
  <c r="I32" i="5"/>
  <c r="I331" i="5"/>
  <c r="I700" i="5"/>
  <c r="I874" i="5"/>
  <c r="I123" i="5"/>
  <c r="I566" i="5"/>
  <c r="I810" i="5"/>
  <c r="I960" i="5"/>
  <c r="I982" i="5"/>
  <c r="I197" i="5"/>
  <c r="I943" i="5"/>
  <c r="I828" i="5"/>
  <c r="I694" i="5"/>
  <c r="I417" i="5"/>
  <c r="I95" i="5"/>
  <c r="I775" i="5"/>
  <c r="I659" i="5"/>
  <c r="I507" i="5"/>
  <c r="I355" i="5"/>
  <c r="I203" i="5"/>
  <c r="I53" i="5"/>
  <c r="I553" i="5"/>
  <c r="I401" i="5"/>
  <c r="I249" i="5"/>
  <c r="I97" i="5"/>
  <c r="I319" i="5"/>
  <c r="I695" i="5"/>
  <c r="I908" i="5"/>
  <c r="I225" i="5"/>
  <c r="I481" i="5"/>
  <c r="I350" i="5"/>
  <c r="I878" i="5"/>
  <c r="I317" i="5"/>
  <c r="I388" i="5"/>
  <c r="I310" i="5"/>
  <c r="I779" i="5"/>
  <c r="I145" i="5"/>
  <c r="I137" i="5"/>
  <c r="I718" i="5"/>
  <c r="I877" i="5"/>
  <c r="I498" i="5"/>
  <c r="I50" i="5"/>
  <c r="I348" i="5"/>
  <c r="I12" i="5"/>
  <c r="I730" i="5"/>
  <c r="I822" i="5"/>
  <c r="I611" i="5"/>
  <c r="I467" i="5"/>
  <c r="I946" i="5"/>
  <c r="I276" i="5"/>
  <c r="I936" i="5"/>
  <c r="I152" i="5"/>
  <c r="I185" i="5"/>
  <c r="I43" i="5"/>
  <c r="I214" i="5"/>
  <c r="I329" i="5"/>
  <c r="I442" i="5"/>
  <c r="I555" i="5"/>
  <c r="I670" i="5"/>
  <c r="I755" i="5"/>
  <c r="I840" i="5"/>
  <c r="I926" i="5"/>
  <c r="I1009" i="5"/>
  <c r="I945" i="5"/>
  <c r="I881" i="5"/>
  <c r="I817" i="5"/>
  <c r="I737" i="5"/>
  <c r="I673" i="5"/>
  <c r="I589" i="5"/>
  <c r="I503" i="5"/>
  <c r="I418" i="5"/>
  <c r="I333" i="5"/>
  <c r="I247" i="5"/>
  <c r="I162" i="5"/>
  <c r="I77" i="5"/>
  <c r="I656" i="5"/>
  <c r="I592" i="5"/>
  <c r="I528" i="5"/>
  <c r="I464" i="5"/>
  <c r="I400" i="5"/>
  <c r="I336" i="5"/>
  <c r="I272" i="5"/>
  <c r="I208" i="5"/>
  <c r="I144" i="5"/>
  <c r="I80" i="5"/>
  <c r="I16" i="5"/>
  <c r="I433" i="5"/>
  <c r="I752" i="5"/>
  <c r="I911" i="5"/>
  <c r="I262" i="5"/>
  <c r="I666" i="5"/>
  <c r="I847" i="5"/>
  <c r="I998" i="5"/>
  <c r="I811" i="5"/>
  <c r="I105" i="5"/>
  <c r="I914" i="5"/>
  <c r="I800" i="5"/>
  <c r="I645" i="5"/>
  <c r="I341" i="5"/>
  <c r="I121" i="5"/>
  <c r="I747" i="5"/>
  <c r="I622" i="5"/>
  <c r="I469" i="5"/>
  <c r="I318" i="5"/>
  <c r="I166" i="5"/>
  <c r="I14" i="5"/>
  <c r="I515" i="5"/>
  <c r="I362" i="5"/>
  <c r="I211" i="5"/>
  <c r="I59" i="5"/>
  <c r="I425" i="5"/>
  <c r="I746" i="5"/>
  <c r="I405" i="5"/>
  <c r="I633" i="5"/>
  <c r="I763" i="5"/>
  <c r="I435" i="5"/>
  <c r="I933" i="5"/>
  <c r="I61" i="5"/>
  <c r="I244" i="5"/>
  <c r="I976" i="5"/>
  <c r="I131" i="5"/>
  <c r="I682" i="5"/>
  <c r="I278" i="5"/>
  <c r="I846" i="5"/>
  <c r="I797" i="5"/>
  <c r="I391" i="5"/>
  <c r="I604" i="5"/>
  <c r="I268" i="5"/>
  <c r="I559" i="5"/>
  <c r="I970" i="5"/>
  <c r="I625" i="5"/>
  <c r="I422" i="5"/>
  <c r="I239" i="5"/>
  <c r="I699" i="5"/>
  <c r="I944" i="5"/>
  <c r="I681" i="5"/>
  <c r="I891" i="5"/>
  <c r="I78" i="5"/>
  <c r="F735" i="5"/>
  <c r="G735" i="5" s="1"/>
  <c r="H735" i="5" s="1"/>
  <c r="F586" i="5"/>
  <c r="G586" i="5" s="1"/>
  <c r="H586" i="5" s="1"/>
  <c r="F853" i="5"/>
  <c r="G853" i="5" s="1"/>
  <c r="H853" i="5" s="1"/>
  <c r="F115" i="5"/>
  <c r="G115" i="5" s="1"/>
  <c r="H115" i="5" s="1"/>
  <c r="F537" i="5"/>
  <c r="G537" i="5" s="1"/>
  <c r="H537" i="5" s="1"/>
  <c r="F235" i="5"/>
  <c r="G235" i="5" s="1"/>
  <c r="H235" i="5" s="1"/>
  <c r="F548" i="5"/>
  <c r="G548" i="5" s="1"/>
  <c r="H548" i="5" s="1"/>
  <c r="F1004" i="5"/>
  <c r="G1004" i="5" s="1"/>
  <c r="H1004" i="5" s="1"/>
  <c r="F714" i="5"/>
  <c r="G714" i="5" s="1"/>
  <c r="H714" i="5" s="1"/>
  <c r="F654" i="5"/>
  <c r="G654" i="5" s="1"/>
  <c r="H654" i="5" s="1"/>
  <c r="F163" i="5"/>
  <c r="G163" i="5" s="1"/>
  <c r="H163" i="5" s="1"/>
  <c r="F393" i="5"/>
  <c r="G393" i="5" s="1"/>
  <c r="H393" i="5" s="1"/>
  <c r="F473" i="5"/>
  <c r="G473" i="5" s="1"/>
  <c r="H473" i="5" s="1"/>
  <c r="F382" i="5"/>
  <c r="G382" i="5" s="1"/>
  <c r="H382" i="5" s="1"/>
  <c r="F878" i="5"/>
  <c r="G878" i="5" s="1"/>
  <c r="H878" i="5" s="1"/>
  <c r="F202" i="5"/>
  <c r="G202" i="5" s="1"/>
  <c r="H202" i="5" s="1"/>
  <c r="F292" i="5"/>
  <c r="G292" i="5" s="1"/>
  <c r="H292" i="5" s="1"/>
  <c r="F615" i="5"/>
  <c r="G615" i="5" s="1"/>
  <c r="H615" i="5" s="1"/>
  <c r="F154" i="5"/>
  <c r="G154" i="5" s="1"/>
  <c r="H154" i="5" s="1"/>
  <c r="F99" i="5"/>
  <c r="G99" i="5" s="1"/>
  <c r="H99" i="5" s="1"/>
  <c r="F239" i="5"/>
  <c r="G239" i="5" s="1"/>
  <c r="H239" i="5" s="1"/>
  <c r="F198" i="5"/>
  <c r="G198" i="5" s="1"/>
  <c r="H198" i="5" s="1"/>
  <c r="F754" i="5"/>
  <c r="G754" i="5" s="1"/>
  <c r="H754" i="5" s="1"/>
  <c r="F508" i="5"/>
  <c r="G508" i="5" s="1"/>
  <c r="H508" i="5" s="1"/>
  <c r="F77" i="5"/>
  <c r="G77" i="5" s="1"/>
  <c r="H77" i="5" s="1"/>
  <c r="J77" i="5" s="1"/>
  <c r="F11" i="5"/>
  <c r="G11" i="5" s="1"/>
  <c r="H11" i="5" s="1"/>
  <c r="F989" i="5"/>
  <c r="G989" i="5" s="1"/>
  <c r="H989" i="5" s="1"/>
  <c r="F270" i="5"/>
  <c r="G270" i="5" s="1"/>
  <c r="H270" i="5" s="1"/>
  <c r="F822" i="5"/>
  <c r="G822" i="5" s="1"/>
  <c r="H822" i="5" s="1"/>
  <c r="F902" i="5"/>
  <c r="G902" i="5" s="1"/>
  <c r="H902" i="5" s="1"/>
  <c r="F272" i="5"/>
  <c r="G272" i="5" s="1"/>
  <c r="H272" i="5" s="1"/>
  <c r="F351" i="5"/>
  <c r="G351" i="5" s="1"/>
  <c r="H351" i="5" s="1"/>
  <c r="F840" i="5"/>
  <c r="G840" i="5" s="1"/>
  <c r="H840" i="5" s="1"/>
  <c r="F23" i="5"/>
  <c r="G23" i="5" s="1"/>
  <c r="H23" i="5" s="1"/>
  <c r="F447" i="5"/>
  <c r="G447" i="5" s="1"/>
  <c r="H447" i="5" s="1"/>
  <c r="F816" i="5"/>
  <c r="G816" i="5" s="1"/>
  <c r="H816" i="5" s="1"/>
  <c r="F341" i="5"/>
  <c r="G341" i="5" s="1"/>
  <c r="H341" i="5" s="1"/>
  <c r="J341" i="5" s="1"/>
  <c r="F47" i="5"/>
  <c r="G47" i="5" s="1"/>
  <c r="H47" i="5" s="1"/>
  <c r="F603" i="5"/>
  <c r="G603" i="5" s="1"/>
  <c r="H603" i="5" s="1"/>
  <c r="F411" i="5"/>
  <c r="G411" i="5" s="1"/>
  <c r="H411" i="5" s="1"/>
  <c r="F303" i="5"/>
  <c r="G303" i="5" s="1"/>
  <c r="H303" i="5" s="1"/>
  <c r="F820" i="5"/>
  <c r="G820" i="5" s="1"/>
  <c r="H820" i="5" s="1"/>
  <c r="F838" i="5"/>
  <c r="G838" i="5" s="1"/>
  <c r="H838" i="5" s="1"/>
  <c r="F502" i="5"/>
  <c r="G502" i="5" s="1"/>
  <c r="H502" i="5" s="1"/>
  <c r="F744" i="5"/>
  <c r="G744" i="5" s="1"/>
  <c r="H744" i="5" s="1"/>
  <c r="F856" i="5"/>
  <c r="G856" i="5" s="1"/>
  <c r="H856" i="5" s="1"/>
  <c r="F920" i="5"/>
  <c r="G920" i="5" s="1"/>
  <c r="H920" i="5" s="1"/>
  <c r="F24" i="5"/>
  <c r="G24" i="5" s="1"/>
  <c r="H24" i="5" s="1"/>
  <c r="F135" i="5"/>
  <c r="G135" i="5" s="1"/>
  <c r="H135" i="5" s="1"/>
  <c r="F222" i="5"/>
  <c r="G222" i="5" s="1"/>
  <c r="H222" i="5" s="1"/>
  <c r="F738" i="5"/>
  <c r="G738" i="5" s="1"/>
  <c r="H738" i="5" s="1"/>
  <c r="F517" i="5"/>
  <c r="G517" i="5" s="1"/>
  <c r="H517" i="5" s="1"/>
  <c r="F276" i="5"/>
  <c r="G276" i="5" s="1"/>
  <c r="H276" i="5" s="1"/>
  <c r="F660" i="5"/>
  <c r="G660" i="5" s="1"/>
  <c r="H660" i="5" s="1"/>
  <c r="F946" i="5"/>
  <c r="G946" i="5" s="1"/>
  <c r="H946" i="5" s="1"/>
  <c r="F224" i="5"/>
  <c r="G224" i="5" s="1"/>
  <c r="H224" i="5" s="1"/>
  <c r="F668" i="5"/>
  <c r="G668" i="5" s="1"/>
  <c r="H668" i="5" s="1"/>
  <c r="F289" i="5"/>
  <c r="G289" i="5" s="1"/>
  <c r="H289" i="5" s="1"/>
  <c r="F75" i="5"/>
  <c r="G75" i="5" s="1"/>
  <c r="H75" i="5" s="1"/>
  <c r="J75" i="5" s="1"/>
  <c r="F194" i="5"/>
  <c r="G194" i="5" s="1"/>
  <c r="H194" i="5" s="1"/>
  <c r="F749" i="5"/>
  <c r="G749" i="5" s="1"/>
  <c r="H749" i="5" s="1"/>
  <c r="F854" i="5"/>
  <c r="G854" i="5" s="1"/>
  <c r="H854" i="5" s="1"/>
  <c r="F759" i="5"/>
  <c r="G759" i="5" s="1"/>
  <c r="H759" i="5" s="1"/>
  <c r="F983" i="5"/>
  <c r="G983" i="5" s="1"/>
  <c r="H983" i="5" s="1"/>
  <c r="F317" i="5"/>
  <c r="G317" i="5" s="1"/>
  <c r="H317" i="5" s="1"/>
  <c r="F215" i="5"/>
  <c r="G215" i="5" s="1"/>
  <c r="H215" i="5" s="1"/>
  <c r="F119" i="5"/>
  <c r="G119" i="5" s="1"/>
  <c r="H119" i="5" s="1"/>
  <c r="F55" i="5"/>
  <c r="G55" i="5" s="1"/>
  <c r="H55" i="5" s="1"/>
  <c r="F334" i="5"/>
  <c r="G334" i="5" s="1"/>
  <c r="H334" i="5" s="1"/>
  <c r="F728" i="5"/>
  <c r="G728" i="5" s="1"/>
  <c r="H728" i="5" s="1"/>
  <c r="F693" i="5"/>
  <c r="G693" i="5" s="1"/>
  <c r="H693" i="5" s="1"/>
  <c r="F857" i="5"/>
  <c r="G857" i="5" s="1"/>
  <c r="H857" i="5" s="1"/>
  <c r="F677" i="5"/>
  <c r="G677" i="5" s="1"/>
  <c r="H677" i="5" s="1"/>
  <c r="F501" i="5"/>
  <c r="G501" i="5" s="1"/>
  <c r="H501" i="5" s="1"/>
  <c r="F31" i="5"/>
  <c r="G31" i="5" s="1"/>
  <c r="H31" i="5" s="1"/>
  <c r="F889" i="5"/>
  <c r="G889" i="5" s="1"/>
  <c r="H889" i="5" s="1"/>
  <c r="F494" i="5"/>
  <c r="G494" i="5" s="1"/>
  <c r="H494" i="5" s="1"/>
  <c r="F363" i="5"/>
  <c r="G363" i="5" s="1"/>
  <c r="H363" i="5" s="1"/>
  <c r="F231" i="5"/>
  <c r="G231" i="5" s="1"/>
  <c r="H231" i="5" s="1"/>
  <c r="F806" i="5"/>
  <c r="G806" i="5" s="1"/>
  <c r="H806" i="5" s="1"/>
  <c r="F285" i="5"/>
  <c r="G285" i="5" s="1"/>
  <c r="H285" i="5" s="1"/>
  <c r="F39" i="5"/>
  <c r="G39" i="5" s="1"/>
  <c r="H39" i="5" s="1"/>
  <c r="F124" i="5"/>
  <c r="G124" i="5" s="1"/>
  <c r="H124" i="5" s="1"/>
  <c r="F576" i="5"/>
  <c r="G576" i="5" s="1"/>
  <c r="H576" i="5" s="1"/>
  <c r="F826" i="5"/>
  <c r="G826" i="5" s="1"/>
  <c r="H826" i="5" s="1"/>
  <c r="I265" i="5"/>
  <c r="I662" i="5"/>
  <c r="I942" i="5"/>
  <c r="I885" i="5"/>
  <c r="I709" i="5"/>
  <c r="I487" i="5"/>
  <c r="I253" i="5"/>
  <c r="I500" i="5"/>
  <c r="I372" i="5"/>
  <c r="I212" i="5"/>
  <c r="I84" i="5"/>
  <c r="I510" i="5"/>
  <c r="I238" i="5"/>
  <c r="I875" i="5"/>
  <c r="I1007" i="5"/>
  <c r="I665" i="5"/>
  <c r="I17" i="5"/>
  <c r="I403" i="5"/>
  <c r="I486" i="5"/>
  <c r="I106" i="5"/>
  <c r="I710" i="5"/>
  <c r="I880" i="5"/>
  <c r="I22" i="5"/>
  <c r="I165" i="5"/>
  <c r="I335" i="5"/>
  <c r="I478" i="5"/>
  <c r="I619" i="5"/>
  <c r="I760" i="5"/>
  <c r="I867" i="5"/>
  <c r="I974" i="5"/>
  <c r="I941" i="5"/>
  <c r="I861" i="5"/>
  <c r="I781" i="5"/>
  <c r="I685" i="5"/>
  <c r="I583" i="5"/>
  <c r="I477" i="5"/>
  <c r="I349" i="5"/>
  <c r="I242" i="5"/>
  <c r="I135" i="5"/>
  <c r="I668" i="5"/>
  <c r="I588" i="5"/>
  <c r="I508" i="5"/>
  <c r="I412" i="5"/>
  <c r="I332" i="5"/>
  <c r="I252" i="5"/>
  <c r="I156" i="5"/>
  <c r="I76" i="5"/>
  <c r="I113" i="5"/>
  <c r="I715" i="5"/>
  <c r="I919" i="5"/>
  <c r="I389" i="5"/>
  <c r="I818" i="5"/>
  <c r="I1008" i="5"/>
  <c r="I906" i="5"/>
  <c r="I935" i="5"/>
  <c r="I794" i="5"/>
  <c r="I550" i="5"/>
  <c r="I57" i="5"/>
  <c r="I740" i="5"/>
  <c r="I574" i="5"/>
  <c r="I346" i="5"/>
  <c r="I155" i="5"/>
  <c r="I618" i="5"/>
  <c r="I390" i="5"/>
  <c r="I202" i="5"/>
  <c r="I11" i="5"/>
  <c r="I708" i="5"/>
  <c r="I502" i="5"/>
  <c r="I860" i="5"/>
  <c r="I521" i="5"/>
  <c r="I402" i="5"/>
  <c r="I164" i="5"/>
  <c r="I91" i="5"/>
  <c r="I377" i="5"/>
  <c r="I570" i="5"/>
  <c r="I937" i="5"/>
  <c r="I599" i="5"/>
  <c r="I173" i="5"/>
  <c r="I408" i="5"/>
  <c r="I88" i="5"/>
  <c r="I206" i="5"/>
  <c r="I928" i="5"/>
  <c r="I762" i="5"/>
  <c r="I33" i="5"/>
  <c r="I720" i="5"/>
  <c r="I728" i="5"/>
  <c r="I1006" i="5"/>
  <c r="I837" i="5"/>
  <c r="I658" i="5"/>
  <c r="I423" i="5"/>
  <c r="I189" i="5"/>
  <c r="I628" i="5"/>
  <c r="I452" i="5"/>
  <c r="I340" i="5"/>
  <c r="I180" i="5"/>
  <c r="I52" i="5"/>
  <c r="I788" i="5"/>
  <c r="I539" i="5"/>
  <c r="I802" i="5"/>
  <c r="I922" i="5"/>
  <c r="I511" i="5"/>
  <c r="I698" i="5"/>
  <c r="I251" i="5"/>
  <c r="I373" i="5"/>
  <c r="I181" i="5"/>
  <c r="I687" i="5"/>
  <c r="I15" i="5"/>
  <c r="I51" i="5"/>
  <c r="I222" i="5"/>
  <c r="I363" i="5"/>
  <c r="I506" i="5"/>
  <c r="I675" i="5"/>
  <c r="I782" i="5"/>
  <c r="I888" i="5"/>
  <c r="I1005" i="5"/>
  <c r="I925" i="5"/>
  <c r="I845" i="5"/>
  <c r="I749" i="5"/>
  <c r="I669" i="5"/>
  <c r="I562" i="5"/>
  <c r="I434" i="5"/>
  <c r="I327" i="5"/>
  <c r="I221" i="5"/>
  <c r="I93" i="5"/>
  <c r="I652" i="5"/>
  <c r="I572" i="5"/>
  <c r="I476" i="5"/>
  <c r="I396" i="5"/>
  <c r="I316" i="5"/>
  <c r="I220" i="5"/>
  <c r="I140" i="5"/>
  <c r="I60" i="5"/>
  <c r="I358" i="5"/>
  <c r="I764" i="5"/>
  <c r="I959" i="5"/>
  <c r="I595" i="5"/>
  <c r="I855" i="5"/>
  <c r="I839" i="5"/>
  <c r="I177" i="5"/>
  <c r="I907" i="5"/>
  <c r="I759" i="5"/>
  <c r="I398" i="5"/>
  <c r="I111" i="5"/>
  <c r="I711" i="5"/>
  <c r="I497" i="5"/>
  <c r="I309" i="5"/>
  <c r="I118" i="5"/>
  <c r="I543" i="5"/>
  <c r="I353" i="5"/>
  <c r="I163" i="5"/>
  <c r="I347" i="5"/>
  <c r="I85" i="5"/>
  <c r="I774" i="5"/>
  <c r="I804" i="5"/>
  <c r="I792" i="5"/>
  <c r="I167" i="5"/>
  <c r="I826" i="5"/>
  <c r="I479" i="5"/>
  <c r="I115" i="5"/>
  <c r="J115" i="5" s="1"/>
  <c r="I766" i="5"/>
  <c r="I873" i="5"/>
  <c r="I514" i="5"/>
  <c r="I664" i="5"/>
  <c r="I344" i="5"/>
  <c r="I24" i="5"/>
  <c r="I827" i="5"/>
  <c r="I815" i="5"/>
  <c r="I639" i="5"/>
  <c r="I382" i="5"/>
  <c r="I983" i="5"/>
  <c r="I965" i="5"/>
  <c r="I789" i="5"/>
  <c r="I594" i="5"/>
  <c r="I359" i="5"/>
  <c r="I125" i="5"/>
  <c r="I580" i="5"/>
  <c r="I420" i="5"/>
  <c r="I292" i="5"/>
  <c r="I148" i="5"/>
  <c r="I863" i="5"/>
  <c r="I706" i="5"/>
  <c r="I876" i="5"/>
  <c r="I864" i="5"/>
  <c r="I283" i="5"/>
  <c r="I630" i="5"/>
  <c r="I62" i="5"/>
  <c r="I259" i="5"/>
  <c r="I395" i="5"/>
  <c r="I529" i="5"/>
  <c r="I73" i="5"/>
  <c r="I107" i="5"/>
  <c r="I250" i="5"/>
  <c r="I393" i="5"/>
  <c r="I563" i="5"/>
  <c r="I696" i="5"/>
  <c r="I803" i="5"/>
  <c r="I931" i="5"/>
  <c r="I989" i="5"/>
  <c r="I909" i="5"/>
  <c r="I813" i="5"/>
  <c r="I733" i="5"/>
  <c r="I647" i="5"/>
  <c r="I519" i="5"/>
  <c r="I413" i="5"/>
  <c r="I306" i="5"/>
  <c r="I178" i="5"/>
  <c r="I71" i="5"/>
  <c r="I636" i="5"/>
  <c r="I540" i="5"/>
  <c r="I460" i="5"/>
  <c r="I380" i="5"/>
  <c r="I284" i="5"/>
  <c r="I204" i="5"/>
  <c r="I124" i="5"/>
  <c r="I28" i="5"/>
  <c r="I462" i="5"/>
  <c r="I806" i="5"/>
  <c r="I169" i="5"/>
  <c r="I679" i="5"/>
  <c r="I895" i="5"/>
  <c r="I1002" i="5"/>
  <c r="I67" i="5"/>
  <c r="I879" i="5"/>
  <c r="I684" i="5"/>
  <c r="I323" i="5"/>
  <c r="I74" i="5"/>
  <c r="I650" i="5"/>
  <c r="I459" i="5"/>
  <c r="I270" i="5"/>
  <c r="I42" i="5"/>
  <c r="I505" i="5"/>
  <c r="I315" i="5"/>
  <c r="I89" i="5"/>
  <c r="I446" i="5"/>
  <c r="I558" i="5"/>
  <c r="I330" i="5"/>
  <c r="I955" i="5"/>
  <c r="I997" i="5"/>
  <c r="I436" i="5"/>
  <c r="I756" i="5"/>
  <c r="I138" i="5"/>
  <c r="I342" i="5"/>
  <c r="I851" i="5"/>
  <c r="I809" i="5"/>
  <c r="I343" i="5"/>
  <c r="I600" i="5"/>
  <c r="I280" i="5"/>
  <c r="I727" i="5"/>
  <c r="I980" i="5"/>
  <c r="I674" i="5"/>
  <c r="I337" i="5"/>
  <c r="I230" i="5"/>
  <c r="I426" i="5"/>
  <c r="F910" i="5"/>
  <c r="G910" i="5" s="1"/>
  <c r="H910" i="5" s="1"/>
  <c r="F988" i="5"/>
  <c r="G988" i="5" s="1"/>
  <c r="H988" i="5" s="1"/>
  <c r="F958" i="5"/>
  <c r="G958" i="5" s="1"/>
  <c r="H958" i="5" s="1"/>
  <c r="F798" i="5"/>
  <c r="G798" i="5" s="1"/>
  <c r="H798" i="5" s="1"/>
  <c r="F479" i="5"/>
  <c r="G479" i="5" s="1"/>
  <c r="H479" i="5" s="1"/>
  <c r="J479" i="5" s="1"/>
  <c r="F288" i="5"/>
  <c r="G288" i="5" s="1"/>
  <c r="H288" i="5" s="1"/>
  <c r="F58" i="5"/>
  <c r="G58" i="5" s="1"/>
  <c r="H58" i="5" s="1"/>
  <c r="F145" i="5"/>
  <c r="G145" i="5" s="1"/>
  <c r="H145" i="5" s="1"/>
  <c r="F45" i="5"/>
  <c r="G45" i="5" s="1"/>
  <c r="H45" i="5" s="1"/>
  <c r="F378" i="5"/>
  <c r="G378" i="5" s="1"/>
  <c r="H378" i="5" s="1"/>
  <c r="F491" i="5"/>
  <c r="G491" i="5" s="1"/>
  <c r="H491" i="5" s="1"/>
  <c r="F821" i="5"/>
  <c r="G821" i="5" s="1"/>
  <c r="H821" i="5" s="1"/>
  <c r="F965" i="5"/>
  <c r="G965" i="5" s="1"/>
  <c r="H965" i="5" s="1"/>
  <c r="F436" i="5"/>
  <c r="G436" i="5" s="1"/>
  <c r="H436" i="5" s="1"/>
  <c r="J436" i="5" s="1"/>
  <c r="F863" i="5"/>
  <c r="G863" i="5" s="1"/>
  <c r="H863" i="5" s="1"/>
  <c r="J863" i="5" s="1"/>
  <c r="F251" i="5"/>
  <c r="G251" i="5" s="1"/>
  <c r="H251" i="5" s="1"/>
  <c r="F211" i="5"/>
  <c r="G211" i="5" s="1"/>
  <c r="H211" i="5" s="1"/>
  <c r="F209" i="5"/>
  <c r="G209" i="5" s="1"/>
  <c r="H209" i="5" s="1"/>
  <c r="F780" i="5"/>
  <c r="G780" i="5" s="1"/>
  <c r="H780" i="5" s="1"/>
  <c r="F614" i="5"/>
  <c r="G614" i="5" s="1"/>
  <c r="H614" i="5" s="1"/>
  <c r="F366" i="5"/>
  <c r="G366" i="5" s="1"/>
  <c r="H366" i="5" s="1"/>
  <c r="F731" i="5"/>
  <c r="G731" i="5" s="1"/>
  <c r="H731" i="5" s="1"/>
  <c r="F320" i="5"/>
  <c r="G320" i="5" s="1"/>
  <c r="H320" i="5" s="1"/>
  <c r="F113" i="5"/>
  <c r="G113" i="5" s="1"/>
  <c r="H113" i="5" s="1"/>
  <c r="F327" i="5"/>
  <c r="G327" i="5" s="1"/>
  <c r="H327" i="5" s="1"/>
  <c r="J327" i="5" s="1"/>
  <c r="F892" i="5"/>
  <c r="G892" i="5" s="1"/>
  <c r="H892" i="5" s="1"/>
  <c r="F399" i="5"/>
  <c r="G399" i="5" s="1"/>
  <c r="H399" i="5" s="1"/>
  <c r="F629" i="5"/>
  <c r="G629" i="5" s="1"/>
  <c r="H629" i="5" s="1"/>
  <c r="F456" i="5"/>
  <c r="G456" i="5" s="1"/>
  <c r="H456" i="5" s="1"/>
  <c r="F581" i="5"/>
  <c r="G581" i="5" s="1"/>
  <c r="H581" i="5" s="1"/>
  <c r="F622" i="5"/>
  <c r="G622" i="5" s="1"/>
  <c r="H622" i="5" s="1"/>
  <c r="F561" i="5"/>
  <c r="G561" i="5" s="1"/>
  <c r="H561" i="5" s="1"/>
  <c r="F481" i="5"/>
  <c r="G481" i="5" s="1"/>
  <c r="H481" i="5" s="1"/>
  <c r="F96" i="5"/>
  <c r="G96" i="5" s="1"/>
  <c r="H96" i="5" s="1"/>
  <c r="F324" i="5"/>
  <c r="G324" i="5" s="1"/>
  <c r="H324" i="5" s="1"/>
  <c r="F790" i="5"/>
  <c r="G790" i="5" s="1"/>
  <c r="H790" i="5" s="1"/>
  <c r="F462" i="5"/>
  <c r="G462" i="5" s="1"/>
  <c r="H462" i="5" s="1"/>
  <c r="F703" i="5"/>
  <c r="G703" i="5" s="1"/>
  <c r="H703" i="5" s="1"/>
  <c r="F823" i="5"/>
  <c r="G823" i="5" s="1"/>
  <c r="H823" i="5" s="1"/>
  <c r="F356" i="5"/>
  <c r="G356" i="5" s="1"/>
  <c r="H356" i="5" s="1"/>
  <c r="F226" i="5"/>
  <c r="G226" i="5" s="1"/>
  <c r="H226" i="5" s="1"/>
  <c r="F621" i="5"/>
  <c r="G621" i="5" s="1"/>
  <c r="H621" i="5" s="1"/>
  <c r="F151" i="5"/>
  <c r="G151" i="5" s="1"/>
  <c r="H151" i="5" s="1"/>
  <c r="F468" i="5"/>
  <c r="G468" i="5" s="1"/>
  <c r="H468" i="5" s="1"/>
  <c r="F662" i="5"/>
  <c r="G662" i="5" s="1"/>
  <c r="H662" i="5" s="1"/>
  <c r="J662" i="5" s="1"/>
  <c r="F631" i="5"/>
  <c r="G631" i="5" s="1"/>
  <c r="H631" i="5" s="1"/>
  <c r="F597" i="5"/>
  <c r="G597" i="5" s="1"/>
  <c r="H597" i="5" s="1"/>
  <c r="F437" i="5"/>
  <c r="G437" i="5" s="1"/>
  <c r="H437" i="5" s="1"/>
  <c r="F488" i="5"/>
  <c r="G488" i="5" s="1"/>
  <c r="H488" i="5" s="1"/>
  <c r="F610" i="5"/>
  <c r="G610" i="5" s="1"/>
  <c r="H610" i="5" s="1"/>
  <c r="F709" i="5"/>
  <c r="G709" i="5" s="1"/>
  <c r="H709" i="5" s="1"/>
  <c r="F105" i="5"/>
  <c r="G105" i="5" s="1"/>
  <c r="H105" i="5" s="1"/>
  <c r="F182" i="5"/>
  <c r="G182" i="5" s="1"/>
  <c r="H182" i="5" s="1"/>
  <c r="F563" i="5"/>
  <c r="G563" i="5" s="1"/>
  <c r="H563" i="5" s="1"/>
  <c r="F376" i="5"/>
  <c r="G376" i="5" s="1"/>
  <c r="H376" i="5" s="1"/>
  <c r="F995" i="5"/>
  <c r="G995" i="5" s="1"/>
  <c r="H995" i="5" s="1"/>
  <c r="F868" i="5"/>
  <c r="G868" i="5" s="1"/>
  <c r="H868" i="5" s="1"/>
  <c r="F487" i="5"/>
  <c r="G487" i="5" s="1"/>
  <c r="H487" i="5" s="1"/>
  <c r="F196" i="5"/>
  <c r="G196" i="5" s="1"/>
  <c r="H196" i="5" s="1"/>
  <c r="F225" i="5"/>
  <c r="G225" i="5" s="1"/>
  <c r="H225" i="5" s="1"/>
  <c r="F982" i="5"/>
  <c r="G982" i="5" s="1"/>
  <c r="H982" i="5" s="1"/>
  <c r="F903" i="5"/>
  <c r="G903" i="5" s="1"/>
  <c r="H903" i="5" s="1"/>
  <c r="F426" i="5"/>
  <c r="G426" i="5" s="1"/>
  <c r="H426" i="5" s="1"/>
  <c r="F659" i="5"/>
  <c r="G659" i="5" s="1"/>
  <c r="H659" i="5" s="1"/>
  <c r="F328" i="5"/>
  <c r="G328" i="5" s="1"/>
  <c r="H328" i="5" s="1"/>
  <c r="F646" i="5"/>
  <c r="G646" i="5" s="1"/>
  <c r="H646" i="5" s="1"/>
  <c r="F913" i="5"/>
  <c r="G913" i="5" s="1"/>
  <c r="H913" i="5" s="1"/>
  <c r="J913" i="5" s="1"/>
  <c r="F687" i="5"/>
  <c r="G687" i="5" s="1"/>
  <c r="H687" i="5" s="1"/>
  <c r="F150" i="5"/>
  <c r="G150" i="5" s="1"/>
  <c r="H150" i="5" s="1"/>
  <c r="F20" i="5"/>
  <c r="G20" i="5" s="1"/>
  <c r="H20" i="5" s="1"/>
  <c r="F261" i="5"/>
  <c r="G261" i="5" s="1"/>
  <c r="H261" i="5" s="1"/>
  <c r="F379" i="5"/>
  <c r="G379" i="5" s="1"/>
  <c r="H379" i="5" s="1"/>
  <c r="F836" i="5"/>
  <c r="G836" i="5" s="1"/>
  <c r="H836" i="5" s="1"/>
  <c r="F530" i="5"/>
  <c r="G530" i="5" s="1"/>
  <c r="H530" i="5" s="1"/>
  <c r="F178" i="5"/>
  <c r="G178" i="5" s="1"/>
  <c r="H178" i="5" s="1"/>
  <c r="F628" i="5"/>
  <c r="G628" i="5" s="1"/>
  <c r="H628" i="5" s="1"/>
  <c r="F871" i="5"/>
  <c r="G871" i="5" s="1"/>
  <c r="H871" i="5" s="1"/>
  <c r="F167" i="5"/>
  <c r="G167" i="5" s="1"/>
  <c r="H167" i="5" s="1"/>
  <c r="F590" i="5"/>
  <c r="G590" i="5" s="1"/>
  <c r="H590" i="5" s="1"/>
  <c r="F318" i="5"/>
  <c r="G318" i="5" s="1"/>
  <c r="H318" i="5" s="1"/>
  <c r="F762" i="5"/>
  <c r="G762" i="5" s="1"/>
  <c r="H762" i="5" s="1"/>
  <c r="F41" i="5"/>
  <c r="G41" i="5" s="1"/>
  <c r="H41" i="5" s="1"/>
  <c r="F214" i="5"/>
  <c r="G214" i="5" s="1"/>
  <c r="H214" i="5" s="1"/>
  <c r="J214" i="5" s="1"/>
  <c r="F994" i="5"/>
  <c r="G994" i="5" s="1"/>
  <c r="H994" i="5" s="1"/>
  <c r="F976" i="5"/>
  <c r="G976" i="5" s="1"/>
  <c r="H976" i="5" s="1"/>
  <c r="F407" i="5"/>
  <c r="G407" i="5" s="1"/>
  <c r="H407" i="5" s="1"/>
  <c r="F166" i="5"/>
  <c r="G166" i="5" s="1"/>
  <c r="H166" i="5" s="1"/>
  <c r="F625" i="5"/>
  <c r="G625" i="5" s="1"/>
  <c r="H625" i="5" s="1"/>
  <c r="F66" i="5"/>
  <c r="G66" i="5" s="1"/>
  <c r="H66" i="5" s="1"/>
  <c r="F998" i="5"/>
  <c r="G998" i="5" s="1"/>
  <c r="H998" i="5" s="1"/>
  <c r="F855" i="5"/>
  <c r="G855" i="5" s="1"/>
  <c r="H855" i="5" s="1"/>
  <c r="F464" i="5"/>
  <c r="G464" i="5" s="1"/>
  <c r="H464" i="5" s="1"/>
  <c r="F952" i="5"/>
  <c r="G952" i="5" s="1"/>
  <c r="H952" i="5" s="1"/>
  <c r="F460" i="5"/>
  <c r="G460" i="5" s="1"/>
  <c r="H460" i="5" s="1"/>
  <c r="F365" i="5"/>
  <c r="G365" i="5" s="1"/>
  <c r="H365" i="5" s="1"/>
  <c r="F190" i="5"/>
  <c r="G190" i="5" s="1"/>
  <c r="H190" i="5" s="1"/>
  <c r="F929" i="5"/>
  <c r="G929" i="5" s="1"/>
  <c r="H929" i="5" s="1"/>
  <c r="F955" i="5"/>
  <c r="G955" i="5" s="1"/>
  <c r="H955" i="5" s="1"/>
  <c r="F694" i="5"/>
  <c r="G694" i="5" s="1"/>
  <c r="H694" i="5" s="1"/>
  <c r="F168" i="5"/>
  <c r="G168" i="5" s="1"/>
  <c r="H168" i="5" s="1"/>
  <c r="F15" i="5"/>
  <c r="G15" i="5" s="1"/>
  <c r="H15" i="5" s="1"/>
  <c r="F825" i="5"/>
  <c r="G825" i="5" s="1"/>
  <c r="H825" i="5" s="1"/>
  <c r="F819" i="5"/>
  <c r="G819" i="5" s="1"/>
  <c r="H819" i="5" s="1"/>
  <c r="F128" i="5"/>
  <c r="G128" i="5" s="1"/>
  <c r="H128" i="5" s="1"/>
  <c r="F114" i="5"/>
  <c r="G114" i="5" s="1"/>
  <c r="H114" i="5" s="1"/>
  <c r="F758" i="5"/>
  <c r="G758" i="5" s="1"/>
  <c r="H758" i="5" s="1"/>
  <c r="F918" i="5"/>
  <c r="G918" i="5" s="1"/>
  <c r="H918" i="5" s="1"/>
  <c r="F808" i="5"/>
  <c r="G808" i="5" s="1"/>
  <c r="H808" i="5" s="1"/>
  <c r="F414" i="5"/>
  <c r="G414" i="5" s="1"/>
  <c r="H414" i="5" s="1"/>
  <c r="F413" i="5"/>
  <c r="G413" i="5" s="1"/>
  <c r="H413" i="5" s="1"/>
  <c r="F349" i="5"/>
  <c r="G349" i="5" s="1"/>
  <c r="H349" i="5" s="1"/>
  <c r="I186" i="5"/>
  <c r="I79" i="5"/>
  <c r="I193" i="5"/>
  <c r="I307" i="5"/>
  <c r="I421" i="5"/>
  <c r="I534" i="5"/>
  <c r="I649" i="5"/>
  <c r="I739" i="5"/>
  <c r="I824" i="5"/>
  <c r="I910" i="5"/>
  <c r="I995" i="5"/>
  <c r="I957" i="5"/>
  <c r="I893" i="5"/>
  <c r="I829" i="5"/>
  <c r="I765" i="5"/>
  <c r="I701" i="5"/>
  <c r="I626" i="5"/>
  <c r="I541" i="5"/>
  <c r="I455" i="5"/>
  <c r="I370" i="5"/>
  <c r="I285" i="5"/>
  <c r="I199" i="5"/>
  <c r="I114" i="5"/>
  <c r="I29" i="5"/>
  <c r="I620" i="5"/>
  <c r="I556" i="5"/>
  <c r="I492" i="5"/>
  <c r="I428" i="5"/>
  <c r="I364" i="5"/>
  <c r="I300" i="5"/>
  <c r="I236" i="5"/>
  <c r="I172" i="5"/>
  <c r="I108" i="5"/>
  <c r="I44" i="5"/>
  <c r="I255" i="5"/>
  <c r="I661" i="5"/>
  <c r="I844" i="5"/>
  <c r="I996" i="5"/>
  <c r="I490" i="5"/>
  <c r="I780" i="5"/>
  <c r="I932" i="5"/>
  <c r="I916" i="5"/>
  <c r="I972" i="5"/>
  <c r="I964" i="5"/>
  <c r="I850" i="5"/>
  <c r="I722" i="5"/>
  <c r="I474" i="5"/>
  <c r="I170" i="5"/>
  <c r="I35" i="5"/>
  <c r="I683" i="5"/>
  <c r="I537" i="5"/>
  <c r="I383" i="5"/>
  <c r="I233" i="5"/>
  <c r="I81" i="5"/>
  <c r="I581" i="5"/>
  <c r="I430" i="5"/>
  <c r="I277" i="5"/>
  <c r="I126" i="5"/>
  <c r="I245" i="5"/>
  <c r="I651" i="5"/>
  <c r="I795" i="5"/>
  <c r="I927" i="5"/>
  <c r="I149" i="5"/>
  <c r="I378" i="5"/>
  <c r="I821" i="5"/>
  <c r="I596" i="5"/>
  <c r="I36" i="5"/>
  <c r="I742" i="5"/>
  <c r="I334" i="5"/>
  <c r="I229" i="5"/>
  <c r="I680" i="5"/>
  <c r="I1001" i="5"/>
  <c r="I745" i="5"/>
  <c r="I429" i="5"/>
  <c r="I87" i="5"/>
  <c r="I472" i="5"/>
  <c r="I216" i="5"/>
  <c r="I387" i="5"/>
  <c r="I617" i="5"/>
  <c r="I159" i="5"/>
  <c r="I379" i="5"/>
  <c r="I489" i="5"/>
  <c r="I533" i="5"/>
  <c r="I369" i="5"/>
  <c r="I672" i="5"/>
  <c r="F712" i="5"/>
  <c r="G712" i="5" s="1"/>
  <c r="H712" i="5" s="1"/>
  <c r="F554" i="5"/>
  <c r="G554" i="5" s="1"/>
  <c r="H554" i="5" s="1"/>
  <c r="F403" i="5"/>
  <c r="G403" i="5" s="1"/>
  <c r="H403" i="5" s="1"/>
  <c r="F722" i="5"/>
  <c r="G722" i="5" s="1"/>
  <c r="H722" i="5" s="1"/>
  <c r="F596" i="5"/>
  <c r="G596" i="5" s="1"/>
  <c r="H596" i="5" s="1"/>
  <c r="J596" i="5" s="1"/>
  <c r="F131" i="5"/>
  <c r="G131" i="5" s="1"/>
  <c r="H131" i="5" s="1"/>
  <c r="F144" i="5"/>
  <c r="G144" i="5" s="1"/>
  <c r="H144" i="5" s="1"/>
  <c r="F329" i="5"/>
  <c r="G329" i="5" s="1"/>
  <c r="H329" i="5" s="1"/>
  <c r="F633" i="5"/>
  <c r="G633" i="5" s="1"/>
  <c r="H633" i="5" s="1"/>
  <c r="F713" i="5"/>
  <c r="G713" i="5" s="1"/>
  <c r="H713" i="5" s="1"/>
  <c r="F636" i="5"/>
  <c r="G636" i="5" s="1"/>
  <c r="H636" i="5" s="1"/>
  <c r="F710" i="5"/>
  <c r="G710" i="5" s="1"/>
  <c r="H710" i="5" s="1"/>
  <c r="F511" i="5"/>
  <c r="G511" i="5" s="1"/>
  <c r="H511" i="5" s="1"/>
  <c r="F323" i="5"/>
  <c r="G323" i="5" s="1"/>
  <c r="H323" i="5" s="1"/>
  <c r="F85" i="5"/>
  <c r="G85" i="5" s="1"/>
  <c r="H85" i="5" s="1"/>
  <c r="F291" i="5"/>
  <c r="G291" i="5" s="1"/>
  <c r="H291" i="5" s="1"/>
  <c r="F956" i="5"/>
  <c r="G956" i="5" s="1"/>
  <c r="H956" i="5" s="1"/>
  <c r="F895" i="5"/>
  <c r="G895" i="5" s="1"/>
  <c r="H895" i="5" s="1"/>
  <c r="F670" i="5"/>
  <c r="G670" i="5" s="1"/>
  <c r="H670" i="5" s="1"/>
  <c r="F679" i="5"/>
  <c r="G679" i="5" s="1"/>
  <c r="H679" i="5" s="1"/>
  <c r="F799" i="5"/>
  <c r="G799" i="5" s="1"/>
  <c r="H799" i="5" s="1"/>
  <c r="F101" i="5"/>
  <c r="G101" i="5" s="1"/>
  <c r="H101" i="5" s="1"/>
  <c r="F885" i="5"/>
  <c r="G885" i="5" s="1"/>
  <c r="H885" i="5" s="1"/>
  <c r="F757" i="5"/>
  <c r="G757" i="5" s="1"/>
  <c r="H757" i="5" s="1"/>
  <c r="F532" i="5"/>
  <c r="G532" i="5" s="1"/>
  <c r="H532" i="5" s="1"/>
  <c r="F344" i="5"/>
  <c r="G344" i="5" s="1"/>
  <c r="H344" i="5" s="1"/>
  <c r="F828" i="5"/>
  <c r="G828" i="5" s="1"/>
  <c r="H828" i="5" s="1"/>
  <c r="F748" i="5"/>
  <c r="G748" i="5" s="1"/>
  <c r="H748" i="5" s="1"/>
  <c r="F177" i="5"/>
  <c r="G177" i="5" s="1"/>
  <c r="H177" i="5" s="1"/>
  <c r="F409" i="5"/>
  <c r="G409" i="5" s="1"/>
  <c r="H409" i="5" s="1"/>
  <c r="F729" i="5"/>
  <c r="G729" i="5" s="1"/>
  <c r="H729" i="5" s="1"/>
  <c r="F474" i="5"/>
  <c r="G474" i="5" s="1"/>
  <c r="H474" i="5" s="1"/>
  <c r="F1007" i="5"/>
  <c r="G1007" i="5" s="1"/>
  <c r="H1007" i="5" s="1"/>
  <c r="F943" i="5"/>
  <c r="G943" i="5" s="1"/>
  <c r="H943" i="5" s="1"/>
  <c r="F367" i="5"/>
  <c r="G367" i="5" s="1"/>
  <c r="H367" i="5" s="1"/>
  <c r="F750" i="5"/>
  <c r="G750" i="5" s="1"/>
  <c r="H750" i="5" s="1"/>
  <c r="F805" i="5"/>
  <c r="G805" i="5" s="1"/>
  <c r="H805" i="5" s="1"/>
  <c r="F37" i="5"/>
  <c r="G37" i="5" s="1"/>
  <c r="H37" i="5" s="1"/>
  <c r="F106" i="5"/>
  <c r="G106" i="5" s="1"/>
  <c r="H106" i="5" s="1"/>
  <c r="F391" i="5"/>
  <c r="G391" i="5" s="1"/>
  <c r="H391" i="5" s="1"/>
  <c r="F643" i="5"/>
  <c r="G643" i="5" s="1"/>
  <c r="H643" i="5" s="1"/>
  <c r="F860" i="5"/>
  <c r="G860" i="5" s="1"/>
  <c r="H860" i="5" s="1"/>
  <c r="F415" i="5"/>
  <c r="G415" i="5" s="1"/>
  <c r="H415" i="5" s="1"/>
  <c r="F880" i="5"/>
  <c r="G880" i="5" s="1"/>
  <c r="H880" i="5" s="1"/>
  <c r="F588" i="5"/>
  <c r="G588" i="5" s="1"/>
  <c r="H588" i="5" s="1"/>
  <c r="F371" i="5"/>
  <c r="G371" i="5" s="1"/>
  <c r="H371" i="5" s="1"/>
  <c r="F258" i="5"/>
  <c r="G258" i="5" s="1"/>
  <c r="H258" i="5" s="1"/>
  <c r="F645" i="5"/>
  <c r="G645" i="5" s="1"/>
  <c r="H645" i="5" s="1"/>
  <c r="F72" i="5"/>
  <c r="G72" i="5" s="1"/>
  <c r="H72" i="5" s="1"/>
  <c r="F504" i="5"/>
  <c r="G504" i="5" s="1"/>
  <c r="H504" i="5" s="1"/>
  <c r="F490" i="5"/>
  <c r="G490" i="5" s="1"/>
  <c r="H490" i="5" s="1"/>
  <c r="F719" i="5"/>
  <c r="G719" i="5" s="1"/>
  <c r="H719" i="5" s="1"/>
  <c r="F740" i="5"/>
  <c r="G740" i="5" s="1"/>
  <c r="H740" i="5" s="1"/>
  <c r="F444" i="5"/>
  <c r="G444" i="5" s="1"/>
  <c r="H444" i="5" s="1"/>
  <c r="F433" i="5"/>
  <c r="G433" i="5" s="1"/>
  <c r="H433" i="5" s="1"/>
  <c r="F257" i="5"/>
  <c r="G257" i="5" s="1"/>
  <c r="H257" i="5" s="1"/>
  <c r="F43" i="5"/>
  <c r="G43" i="5" s="1"/>
  <c r="H43" i="5" s="1"/>
  <c r="F50" i="5"/>
  <c r="G50" i="5" s="1"/>
  <c r="H50" i="5" s="1"/>
  <c r="F611" i="5"/>
  <c r="G611" i="5" s="1"/>
  <c r="H611" i="5" s="1"/>
  <c r="F310" i="5"/>
  <c r="G310" i="5" s="1"/>
  <c r="H310" i="5" s="1"/>
  <c r="F807" i="5"/>
  <c r="G807" i="5" s="1"/>
  <c r="H807" i="5" s="1"/>
  <c r="F776" i="5"/>
  <c r="G776" i="5" s="1"/>
  <c r="H776" i="5" s="1"/>
  <c r="F984" i="5"/>
  <c r="G984" i="5" s="1"/>
  <c r="H984" i="5" s="1"/>
  <c r="F560" i="5"/>
  <c r="G560" i="5" s="1"/>
  <c r="H560" i="5" s="1"/>
  <c r="F674" i="5"/>
  <c r="G674" i="5" s="1"/>
  <c r="H674" i="5" s="1"/>
  <c r="F280" i="5"/>
  <c r="G280" i="5" s="1"/>
  <c r="H280" i="5" s="1"/>
  <c r="F431" i="5"/>
  <c r="G431" i="5" s="1"/>
  <c r="H431" i="5" s="1"/>
  <c r="J431" i="5" s="1"/>
  <c r="F707" i="5"/>
  <c r="G707" i="5" s="1"/>
  <c r="H707" i="5" s="1"/>
  <c r="F986" i="5"/>
  <c r="G986" i="5" s="1"/>
  <c r="H986" i="5" s="1"/>
  <c r="F395" i="5"/>
  <c r="G395" i="5" s="1"/>
  <c r="H395" i="5" s="1"/>
  <c r="F294" i="5"/>
  <c r="G294" i="5" s="1"/>
  <c r="H294" i="5" s="1"/>
  <c r="F784" i="5"/>
  <c r="G784" i="5" s="1"/>
  <c r="H784" i="5" s="1"/>
  <c r="F661" i="5"/>
  <c r="G661" i="5" s="1"/>
  <c r="H661" i="5" s="1"/>
  <c r="F169" i="5"/>
  <c r="G169" i="5" s="1"/>
  <c r="H169" i="5" s="1"/>
  <c r="F159" i="5"/>
  <c r="G159" i="5" s="1"/>
  <c r="H159" i="5" s="1"/>
  <c r="J159" i="5" s="1"/>
  <c r="F352" i="5"/>
  <c r="G352" i="5" s="1"/>
  <c r="H352" i="5" s="1"/>
  <c r="F835" i="5"/>
  <c r="G835" i="5" s="1"/>
  <c r="H835" i="5" s="1"/>
  <c r="F800" i="5"/>
  <c r="G800" i="5" s="1"/>
  <c r="H800" i="5" s="1"/>
  <c r="F556" i="5"/>
  <c r="G556" i="5" s="1"/>
  <c r="H556" i="5" s="1"/>
  <c r="F93" i="5"/>
  <c r="G93" i="5" s="1"/>
  <c r="H93" i="5" s="1"/>
  <c r="F777" i="5"/>
  <c r="G777" i="5" s="1"/>
  <c r="H777" i="5" s="1"/>
  <c r="F770" i="5"/>
  <c r="G770" i="5" s="1"/>
  <c r="H770" i="5" s="1"/>
  <c r="F678" i="5"/>
  <c r="G678" i="5" s="1"/>
  <c r="H678" i="5" s="1"/>
  <c r="F562" i="5"/>
  <c r="G562" i="5" s="1"/>
  <c r="H562" i="5" s="1"/>
  <c r="F673" i="5"/>
  <c r="G673" i="5" s="1"/>
  <c r="H673" i="5" s="1"/>
  <c r="F241" i="5"/>
  <c r="G241" i="5" s="1"/>
  <c r="H241" i="5" s="1"/>
  <c r="F690" i="5"/>
  <c r="G690" i="5" s="1"/>
  <c r="H690" i="5" s="1"/>
  <c r="F781" i="5"/>
  <c r="G781" i="5" s="1"/>
  <c r="H781" i="5" s="1"/>
  <c r="F909" i="5"/>
  <c r="G909" i="5" s="1"/>
  <c r="H909" i="5" s="1"/>
  <c r="F966" i="5"/>
  <c r="G966" i="5" s="1"/>
  <c r="H966" i="5" s="1"/>
  <c r="F538" i="5"/>
  <c r="G538" i="5" s="1"/>
  <c r="H538" i="5" s="1"/>
  <c r="F1000" i="5"/>
  <c r="G1000" i="5" s="1"/>
  <c r="H1000" i="5" s="1"/>
  <c r="F52" i="5"/>
  <c r="G52" i="5" s="1"/>
  <c r="H52" i="5" s="1"/>
  <c r="F290" i="5"/>
  <c r="G290" i="5" s="1"/>
  <c r="H290" i="5" s="1"/>
  <c r="F653" i="5"/>
  <c r="G653" i="5" s="1"/>
  <c r="H653" i="5" s="1"/>
  <c r="F509" i="5"/>
  <c r="G509" i="5" s="1"/>
  <c r="H509" i="5" s="1"/>
  <c r="F695" i="5"/>
  <c r="G695" i="5" s="1"/>
  <c r="H695" i="5" s="1"/>
  <c r="F849" i="5"/>
  <c r="G849" i="5" s="1"/>
  <c r="H849" i="5" s="1"/>
  <c r="F111" i="5"/>
  <c r="G111" i="5" s="1"/>
  <c r="H111" i="5" s="1"/>
  <c r="F715" i="5"/>
  <c r="G715" i="5" s="1"/>
  <c r="H715" i="5" s="1"/>
  <c r="F492" i="5"/>
  <c r="G492" i="5" s="1"/>
  <c r="H492" i="5" s="1"/>
  <c r="F175" i="5"/>
  <c r="G175" i="5" s="1"/>
  <c r="H175" i="5" s="1"/>
  <c r="F315" i="5"/>
  <c r="G315" i="5" s="1"/>
  <c r="H315" i="5" s="1"/>
  <c r="F451" i="5"/>
  <c r="G451" i="5" s="1"/>
  <c r="H451" i="5" s="1"/>
  <c r="F696" i="5"/>
  <c r="G696" i="5" s="1"/>
  <c r="H696" i="5" s="1"/>
  <c r="F899" i="5"/>
  <c r="G899" i="5" s="1"/>
  <c r="H899" i="5" s="1"/>
  <c r="F788" i="5"/>
  <c r="G788" i="5" s="1"/>
  <c r="H788" i="5" s="1"/>
  <c r="F13" i="5"/>
  <c r="G13" i="5" s="1"/>
  <c r="H13" i="5" s="1"/>
  <c r="F657" i="5"/>
  <c r="G657" i="5" s="1"/>
  <c r="H657" i="5" s="1"/>
  <c r="F64" i="5"/>
  <c r="G64" i="5" s="1"/>
  <c r="H64" i="5" s="1"/>
  <c r="F187" i="5"/>
  <c r="G187" i="5" s="1"/>
  <c r="H187" i="5" s="1"/>
  <c r="F732" i="5"/>
  <c r="G732" i="5" s="1"/>
  <c r="H732" i="5" s="1"/>
  <c r="F797" i="5"/>
  <c r="G797" i="5" s="1"/>
  <c r="H797" i="5" s="1"/>
  <c r="F925" i="5"/>
  <c r="G925" i="5" s="1"/>
  <c r="H925" i="5" s="1"/>
  <c r="F346" i="5"/>
  <c r="G346" i="5" s="1"/>
  <c r="H346" i="5" s="1"/>
  <c r="F496" i="5"/>
  <c r="G496" i="5" s="1"/>
  <c r="H496" i="5" s="1"/>
  <c r="F234" i="5"/>
  <c r="G234" i="5" s="1"/>
  <c r="H234" i="5" s="1"/>
  <c r="F602" i="5"/>
  <c r="G602" i="5" s="1"/>
  <c r="H602" i="5" s="1"/>
  <c r="F384" i="5"/>
  <c r="G384" i="5" s="1"/>
  <c r="H384" i="5" s="1"/>
  <c r="F243" i="5"/>
  <c r="G243" i="5" s="1"/>
  <c r="H243" i="5" s="1"/>
  <c r="F637" i="5"/>
  <c r="G637" i="5" s="1"/>
  <c r="H637" i="5" s="1"/>
  <c r="F477" i="5"/>
  <c r="G477" i="5" s="1"/>
  <c r="H477" i="5" s="1"/>
  <c r="F301" i="5"/>
  <c r="G301" i="5" s="1"/>
  <c r="H301" i="5" s="1"/>
  <c r="F56" i="5"/>
  <c r="G56" i="5" s="1"/>
  <c r="H56" i="5" s="1"/>
  <c r="F716" i="5"/>
  <c r="G716" i="5" s="1"/>
  <c r="H716" i="5" s="1"/>
  <c r="F865" i="5"/>
  <c r="G865" i="5" s="1"/>
  <c r="H865" i="5" s="1"/>
  <c r="F993" i="5"/>
  <c r="G993" i="5" s="1"/>
  <c r="H993" i="5" s="1"/>
  <c r="F355" i="5"/>
  <c r="G355" i="5" s="1"/>
  <c r="H355" i="5" s="1"/>
  <c r="F635" i="5"/>
  <c r="G635" i="5" s="1"/>
  <c r="H635" i="5" s="1"/>
  <c r="F848" i="5"/>
  <c r="G848" i="5" s="1"/>
  <c r="H848" i="5" s="1"/>
  <c r="F29" i="5"/>
  <c r="G29" i="5" s="1"/>
  <c r="H29" i="5" s="1"/>
  <c r="J29" i="5" s="1"/>
  <c r="F293" i="5"/>
  <c r="G293" i="5" s="1"/>
  <c r="H293" i="5" s="1"/>
  <c r="F260" i="5"/>
  <c r="G260" i="5" s="1"/>
  <c r="H260" i="5" s="1"/>
  <c r="F752" i="5"/>
  <c r="G752" i="5" s="1"/>
  <c r="H752" i="5" s="1"/>
  <c r="F322" i="5"/>
  <c r="G322" i="5" s="1"/>
  <c r="H322" i="5" s="1"/>
  <c r="F137" i="5"/>
  <c r="G137" i="5" s="1"/>
  <c r="H137" i="5" s="1"/>
  <c r="F298" i="5"/>
  <c r="G298" i="5" s="1"/>
  <c r="H298" i="5" s="1"/>
  <c r="F526" i="5"/>
  <c r="G526" i="5" s="1"/>
  <c r="H526" i="5" s="1"/>
  <c r="F452" i="5"/>
  <c r="G452" i="5" s="1"/>
  <c r="H452" i="5" s="1"/>
  <c r="F595" i="5"/>
  <c r="G595" i="5" s="1"/>
  <c r="H595" i="5" s="1"/>
  <c r="F884" i="5"/>
  <c r="G884" i="5" s="1"/>
  <c r="H884" i="5" s="1"/>
  <c r="F964" i="5"/>
  <c r="G964" i="5" s="1"/>
  <c r="H964" i="5" s="1"/>
  <c r="F478" i="5"/>
  <c r="G478" i="5" s="1"/>
  <c r="H478" i="5" s="1"/>
  <c r="F380" i="5"/>
  <c r="G380" i="5" s="1"/>
  <c r="H380" i="5" s="1"/>
  <c r="F32" i="5"/>
  <c r="G32" i="5" s="1"/>
  <c r="H32" i="5" s="1"/>
  <c r="F774" i="5"/>
  <c r="G774" i="5" s="1"/>
  <c r="H774" i="5" s="1"/>
  <c r="F824" i="5"/>
  <c r="G824" i="5" s="1"/>
  <c r="H824" i="5" s="1"/>
  <c r="F354" i="5"/>
  <c r="G354" i="5" s="1"/>
  <c r="H354" i="5" s="1"/>
  <c r="F247" i="5"/>
  <c r="G247" i="5" s="1"/>
  <c r="H247" i="5" s="1"/>
  <c r="F61" i="5"/>
  <c r="G61" i="5" s="1"/>
  <c r="H61" i="5" s="1"/>
  <c r="F217" i="5"/>
  <c r="G217" i="5" s="1"/>
  <c r="H217" i="5" s="1"/>
  <c r="F62" i="5"/>
  <c r="G62" i="5" s="1"/>
  <c r="H62" i="5" s="1"/>
  <c r="F881" i="5"/>
  <c r="G881" i="5" s="1"/>
  <c r="H881" i="5" s="1"/>
  <c r="F394" i="5"/>
  <c r="G394" i="5" s="1"/>
  <c r="H394" i="5" s="1"/>
  <c r="F544" i="5"/>
  <c r="G544" i="5" s="1"/>
  <c r="H544" i="5" s="1"/>
  <c r="F778" i="5"/>
  <c r="G778" i="5" s="1"/>
  <c r="H778" i="5" s="1"/>
  <c r="F874" i="5"/>
  <c r="G874" i="5" s="1"/>
  <c r="H874" i="5" s="1"/>
  <c r="F188" i="5"/>
  <c r="G188" i="5" s="1"/>
  <c r="H188" i="5" s="1"/>
  <c r="F358" i="5"/>
  <c r="G358" i="5" s="1"/>
  <c r="H358" i="5" s="1"/>
  <c r="F664" i="5"/>
  <c r="G664" i="5" s="1"/>
  <c r="H664" i="5" s="1"/>
  <c r="F763" i="5"/>
  <c r="G763" i="5" s="1"/>
  <c r="H763" i="5" s="1"/>
  <c r="I579" i="5"/>
  <c r="I293" i="5"/>
  <c r="I606" i="5"/>
  <c r="I856" i="5"/>
  <c r="I949" i="5"/>
  <c r="I773" i="5"/>
  <c r="I573" i="5"/>
  <c r="I338" i="5"/>
  <c r="I103" i="5"/>
  <c r="I564" i="5"/>
  <c r="I404" i="5"/>
  <c r="I260" i="5"/>
  <c r="I132" i="5"/>
  <c r="I198" i="5"/>
  <c r="I939" i="5"/>
  <c r="I912" i="5"/>
  <c r="I139" i="5"/>
  <c r="I587" i="5"/>
  <c r="I754" i="5"/>
  <c r="I366" i="5"/>
  <c r="I25" i="5"/>
  <c r="I219" i="5"/>
  <c r="I351" i="5"/>
  <c r="I30" i="5"/>
  <c r="I143" i="5"/>
  <c r="I257" i="5"/>
  <c r="I371" i="5"/>
  <c r="I485" i="5"/>
  <c r="I598" i="5"/>
  <c r="I702" i="5"/>
  <c r="I787" i="5"/>
  <c r="I872" i="5"/>
  <c r="I958" i="5"/>
  <c r="I985" i="5"/>
  <c r="I921" i="5"/>
  <c r="I857" i="5"/>
  <c r="I793" i="5"/>
  <c r="I729" i="5"/>
  <c r="I663" i="5"/>
  <c r="I578" i="5"/>
  <c r="I493" i="5"/>
  <c r="I407" i="5"/>
  <c r="I322" i="5"/>
  <c r="I237" i="5"/>
  <c r="I151" i="5"/>
  <c r="I66" i="5"/>
  <c r="I648" i="5"/>
  <c r="I584" i="5"/>
  <c r="I520" i="5"/>
  <c r="I456" i="5"/>
  <c r="I392" i="5"/>
  <c r="I328" i="5"/>
  <c r="I264" i="5"/>
  <c r="I200" i="5"/>
  <c r="I136" i="5"/>
  <c r="I72" i="5"/>
  <c r="E10" i="5"/>
  <c r="I10" i="5" s="1"/>
  <c r="I483" i="5"/>
  <c r="I778" i="5"/>
  <c r="I930" i="5"/>
  <c r="I313" i="5"/>
  <c r="I692" i="5"/>
  <c r="I866" i="5"/>
  <c r="I772" i="5"/>
  <c r="I848" i="5"/>
  <c r="I27" i="5"/>
  <c r="I900" i="5"/>
  <c r="I786" i="5"/>
  <c r="I607" i="5"/>
  <c r="I303" i="5"/>
  <c r="I102" i="5"/>
  <c r="I732" i="5"/>
  <c r="I602" i="5"/>
  <c r="I451" i="5"/>
  <c r="I298" i="5"/>
  <c r="I147" i="5"/>
  <c r="I646" i="5"/>
  <c r="I495" i="5"/>
  <c r="I345" i="5"/>
  <c r="I191" i="5"/>
  <c r="I41" i="5"/>
  <c r="I473" i="5"/>
  <c r="I254" i="5"/>
  <c r="I603" i="5"/>
  <c r="I748" i="5"/>
  <c r="I842" i="5"/>
  <c r="I686" i="5"/>
  <c r="I899" i="5"/>
  <c r="I901" i="5"/>
  <c r="I725" i="5"/>
  <c r="I509" i="5"/>
  <c r="I274" i="5"/>
  <c r="I39" i="5"/>
  <c r="I516" i="5"/>
  <c r="I356" i="5"/>
  <c r="I228" i="5"/>
  <c r="I100" i="5"/>
  <c r="I614" i="5"/>
  <c r="I339" i="5"/>
  <c r="I988" i="5"/>
  <c r="I950" i="5"/>
  <c r="I361" i="5"/>
  <c r="I667" i="5"/>
  <c r="I289" i="5"/>
  <c r="I561" i="5"/>
  <c r="I69" i="5"/>
  <c r="I870" i="5"/>
  <c r="I58" i="5"/>
  <c r="I171" i="5"/>
  <c r="I286" i="5"/>
  <c r="I399" i="5"/>
  <c r="I513" i="5"/>
  <c r="I627" i="5"/>
  <c r="I723" i="5"/>
  <c r="I808" i="5"/>
  <c r="I894" i="5"/>
  <c r="I979" i="5"/>
  <c r="I969" i="5"/>
  <c r="I905" i="5"/>
  <c r="I841" i="5"/>
  <c r="I777" i="5"/>
  <c r="I713" i="5"/>
  <c r="I642" i="5"/>
  <c r="I557" i="5"/>
  <c r="I471" i="5"/>
  <c r="I386" i="5"/>
  <c r="I301" i="5"/>
  <c r="I215" i="5"/>
  <c r="I130" i="5"/>
  <c r="I45" i="5"/>
  <c r="I632" i="5"/>
  <c r="I568" i="5"/>
  <c r="I504" i="5"/>
  <c r="I440" i="5"/>
  <c r="I376" i="5"/>
  <c r="I312" i="5"/>
  <c r="I248" i="5"/>
  <c r="I184" i="5"/>
  <c r="I120" i="5"/>
  <c r="I56" i="5"/>
  <c r="I161" i="5"/>
  <c r="I586" i="5"/>
  <c r="I816" i="5"/>
  <c r="I967" i="5"/>
  <c r="I415" i="5"/>
  <c r="I743" i="5"/>
  <c r="I903" i="5"/>
  <c r="I859" i="5"/>
  <c r="I924" i="5"/>
  <c r="I986" i="5"/>
  <c r="I871" i="5"/>
  <c r="I751" i="5"/>
  <c r="I531" i="5"/>
  <c r="I227" i="5"/>
  <c r="I63" i="5"/>
  <c r="I704" i="5"/>
  <c r="I565" i="5"/>
  <c r="I411" i="5"/>
  <c r="I261" i="5"/>
  <c r="I110" i="5"/>
  <c r="I609" i="5"/>
  <c r="I458" i="5"/>
  <c r="I305" i="5"/>
  <c r="I154" i="5"/>
  <c r="I142" i="5"/>
  <c r="I575" i="5"/>
  <c r="I654" i="5"/>
  <c r="I812" i="5"/>
  <c r="I898" i="5"/>
  <c r="I994" i="5"/>
  <c r="I463" i="5"/>
  <c r="I750" i="5"/>
  <c r="I963" i="5"/>
  <c r="I869" i="5"/>
  <c r="I693" i="5"/>
  <c r="I445" i="5"/>
  <c r="I210" i="5"/>
  <c r="I644" i="5"/>
  <c r="I468" i="5"/>
  <c r="I308" i="5"/>
  <c r="I196" i="5"/>
  <c r="I68" i="5"/>
  <c r="I738" i="5"/>
  <c r="I643" i="5"/>
  <c r="I954" i="5"/>
  <c r="I836" i="5"/>
  <c r="I209" i="5"/>
  <c r="I593" i="5"/>
  <c r="I175" i="5"/>
  <c r="I447" i="5"/>
  <c r="I294" i="5"/>
  <c r="I852" i="5"/>
  <c r="I86" i="5"/>
  <c r="I201" i="5"/>
  <c r="I314" i="5"/>
  <c r="I427" i="5"/>
  <c r="I542" i="5"/>
  <c r="I655" i="5"/>
  <c r="I744" i="5"/>
  <c r="I830" i="5"/>
  <c r="I915" i="5"/>
  <c r="I1000" i="5"/>
  <c r="I953" i="5"/>
  <c r="I889" i="5"/>
  <c r="I825" i="5"/>
  <c r="I761" i="5"/>
  <c r="I697" i="5"/>
  <c r="I621" i="5"/>
  <c r="I535" i="5"/>
  <c r="I450" i="5"/>
  <c r="I365" i="5"/>
  <c r="I279" i="5"/>
  <c r="I194" i="5"/>
  <c r="I109" i="5"/>
  <c r="I23" i="5"/>
  <c r="I616" i="5"/>
  <c r="I552" i="5"/>
  <c r="I488" i="5"/>
  <c r="I424" i="5"/>
  <c r="I360" i="5"/>
  <c r="I296" i="5"/>
  <c r="I232" i="5"/>
  <c r="I168" i="5"/>
  <c r="I104" i="5"/>
  <c r="I40" i="5"/>
  <c r="I282" i="5"/>
  <c r="I678" i="5"/>
  <c r="I854" i="5"/>
  <c r="I1004" i="5"/>
  <c r="I518" i="5"/>
  <c r="I790" i="5"/>
  <c r="I940" i="5"/>
  <c r="I934" i="5"/>
  <c r="I991" i="5"/>
  <c r="I956" i="5"/>
  <c r="I843" i="5"/>
  <c r="I714" i="5"/>
  <c r="I454" i="5"/>
  <c r="I153" i="5"/>
  <c r="I26" i="5"/>
  <c r="I676" i="5"/>
  <c r="I526" i="5"/>
  <c r="I374" i="5"/>
  <c r="I223" i="5"/>
  <c r="I70" i="5"/>
  <c r="I571" i="5"/>
  <c r="I419" i="5"/>
  <c r="I267" i="5"/>
  <c r="I117" i="5"/>
  <c r="I273" i="5"/>
  <c r="I671" i="5"/>
  <c r="I832" i="5"/>
  <c r="I966" i="5"/>
  <c r="I275" i="5"/>
  <c r="D10" i="5"/>
  <c r="F10" i="5" s="1"/>
  <c r="G10" i="5" s="1"/>
  <c r="F927" i="5"/>
  <c r="G927" i="5" s="1"/>
  <c r="H927" i="5" s="1"/>
  <c r="F782" i="5"/>
  <c r="G782" i="5" s="1"/>
  <c r="H782" i="5" s="1"/>
  <c r="F612" i="5"/>
  <c r="G612" i="5" s="1"/>
  <c r="H612" i="5" s="1"/>
  <c r="F901" i="5"/>
  <c r="G901" i="5" s="1"/>
  <c r="H901" i="5" s="1"/>
  <c r="F700" i="5"/>
  <c r="G700" i="5" s="1"/>
  <c r="H700" i="5" s="1"/>
  <c r="F458" i="5"/>
  <c r="G458" i="5" s="1"/>
  <c r="H458" i="5" s="1"/>
  <c r="F313" i="5"/>
  <c r="G313" i="5" s="1"/>
  <c r="H313" i="5" s="1"/>
  <c r="F263" i="5"/>
  <c r="G263" i="5" s="1"/>
  <c r="H263" i="5" s="1"/>
  <c r="F348" i="5"/>
  <c r="G348" i="5" s="1"/>
  <c r="H348" i="5" s="1"/>
  <c r="F189" i="5"/>
  <c r="G189" i="5" s="1"/>
  <c r="H189" i="5" s="1"/>
  <c r="F844" i="5"/>
  <c r="G844" i="5" s="1"/>
  <c r="H844" i="5" s="1"/>
  <c r="F601" i="5"/>
  <c r="G601" i="5" s="1"/>
  <c r="H601" i="5" s="1"/>
  <c r="F28" i="5"/>
  <c r="G28" i="5" s="1"/>
  <c r="H28" i="5" s="1"/>
  <c r="F398" i="5"/>
  <c r="G398" i="5" s="1"/>
  <c r="H398" i="5" s="1"/>
  <c r="F734" i="5"/>
  <c r="G734" i="5" s="1"/>
  <c r="H734" i="5" s="1"/>
  <c r="F553" i="5"/>
  <c r="G553" i="5" s="1"/>
  <c r="H553" i="5" s="1"/>
  <c r="F116" i="5"/>
  <c r="G116" i="5" s="1"/>
  <c r="H116" i="5" s="1"/>
  <c r="F924" i="5"/>
  <c r="G924" i="5" s="1"/>
  <c r="H924" i="5" s="1"/>
  <c r="F847" i="5"/>
  <c r="G847" i="5" s="1"/>
  <c r="H847" i="5" s="1"/>
  <c r="F894" i="5"/>
  <c r="G894" i="5" s="1"/>
  <c r="H894" i="5" s="1"/>
  <c r="F766" i="5"/>
  <c r="G766" i="5" s="1"/>
  <c r="H766" i="5" s="1"/>
  <c r="F691" i="5"/>
  <c r="G691" i="5" s="1"/>
  <c r="H691" i="5" s="1"/>
  <c r="F26" i="5"/>
  <c r="G26" i="5" s="1"/>
  <c r="H26" i="5" s="1"/>
  <c r="F90" i="5"/>
  <c r="G90" i="5" s="1"/>
  <c r="H90" i="5" s="1"/>
  <c r="F218" i="5"/>
  <c r="G218" i="5" s="1"/>
  <c r="H218" i="5" s="1"/>
  <c r="F80" i="5"/>
  <c r="G80" i="5" s="1"/>
  <c r="H80" i="5" s="1"/>
  <c r="F540" i="5"/>
  <c r="G540" i="5" s="1"/>
  <c r="H540" i="5" s="1"/>
  <c r="F572" i="5"/>
  <c r="G572" i="5" s="1"/>
  <c r="H572" i="5" s="1"/>
  <c r="F688" i="5"/>
  <c r="G688" i="5" s="1"/>
  <c r="H688" i="5" s="1"/>
  <c r="F580" i="5"/>
  <c r="G580" i="5" s="1"/>
  <c r="H580" i="5" s="1"/>
  <c r="F147" i="5"/>
  <c r="G147" i="5" s="1"/>
  <c r="H147" i="5" s="1"/>
  <c r="F81" i="5"/>
  <c r="G81" i="5" s="1"/>
  <c r="H81" i="5" s="1"/>
  <c r="F876" i="5"/>
  <c r="G876" i="5" s="1"/>
  <c r="H876" i="5" s="1"/>
  <c r="F751" i="5"/>
  <c r="G751" i="5" s="1"/>
  <c r="H751" i="5" s="1"/>
  <c r="F558" i="5"/>
  <c r="G558" i="5" s="1"/>
  <c r="H558" i="5" s="1"/>
  <c r="F990" i="5"/>
  <c r="G990" i="5" s="1"/>
  <c r="H990" i="5" s="1"/>
  <c r="F862" i="5"/>
  <c r="G862" i="5" s="1"/>
  <c r="H862" i="5" s="1"/>
  <c r="F35" i="5"/>
  <c r="G35" i="5" s="1"/>
  <c r="H35" i="5" s="1"/>
  <c r="F489" i="5"/>
  <c r="G489" i="5" s="1"/>
  <c r="H489" i="5" s="1"/>
  <c r="F638" i="5"/>
  <c r="G638" i="5" s="1"/>
  <c r="H638" i="5" s="1"/>
  <c r="F443" i="5"/>
  <c r="G443" i="5" s="1"/>
  <c r="H443" i="5" s="1"/>
  <c r="F1006" i="5"/>
  <c r="G1006" i="5" s="1"/>
  <c r="H1006" i="5" s="1"/>
  <c r="F665" i="5"/>
  <c r="G665" i="5" s="1"/>
  <c r="H665" i="5" s="1"/>
  <c r="F812" i="5"/>
  <c r="G812" i="5" s="1"/>
  <c r="H812" i="5" s="1"/>
  <c r="F104" i="5"/>
  <c r="G104" i="5" s="1"/>
  <c r="H104" i="5" s="1"/>
  <c r="F953" i="5"/>
  <c r="G953" i="5" s="1"/>
  <c r="H953" i="5" s="1"/>
  <c r="F331" i="5"/>
  <c r="G331" i="5" s="1"/>
  <c r="H331" i="5" s="1"/>
  <c r="F205" i="5"/>
  <c r="G205" i="5" s="1"/>
  <c r="H205" i="5" s="1"/>
  <c r="F453" i="5"/>
  <c r="G453" i="5" s="1"/>
  <c r="H453" i="5" s="1"/>
  <c r="F229" i="5"/>
  <c r="G229" i="5" s="1"/>
  <c r="H229" i="5" s="1"/>
  <c r="F430" i="5"/>
  <c r="G430" i="5" s="1"/>
  <c r="H430" i="5" s="1"/>
  <c r="F648" i="5"/>
  <c r="G648" i="5" s="1"/>
  <c r="H648" i="5" s="1"/>
  <c r="F866" i="5"/>
  <c r="G866" i="5" s="1"/>
  <c r="H866" i="5" s="1"/>
  <c r="F962" i="5"/>
  <c r="G962" i="5" s="1"/>
  <c r="H962" i="5" s="1"/>
  <c r="F916" i="5"/>
  <c r="G916" i="5" s="1"/>
  <c r="H916" i="5" s="1"/>
  <c r="F980" i="5"/>
  <c r="G980" i="5" s="1"/>
  <c r="H980" i="5" s="1"/>
  <c r="F497" i="5"/>
  <c r="G497" i="5" s="1"/>
  <c r="H497" i="5" s="1"/>
  <c r="F107" i="5"/>
  <c r="G107" i="5" s="1"/>
  <c r="H107" i="5" s="1"/>
  <c r="F711" i="5"/>
  <c r="G711" i="5" s="1"/>
  <c r="H711" i="5" s="1"/>
  <c r="F973" i="5"/>
  <c r="G973" i="5" s="1"/>
  <c r="H973" i="5" s="1"/>
  <c r="F164" i="5"/>
  <c r="G164" i="5" s="1"/>
  <c r="H164" i="5" s="1"/>
  <c r="F723" i="5"/>
  <c r="G723" i="5" s="1"/>
  <c r="H723" i="5" s="1"/>
  <c r="F656" i="5"/>
  <c r="G656" i="5" s="1"/>
  <c r="H656" i="5" s="1"/>
  <c r="F743" i="5"/>
  <c r="G743" i="5" s="1"/>
  <c r="H743" i="5" s="1"/>
  <c r="F172" i="5"/>
  <c r="G172" i="5" s="1"/>
  <c r="H172" i="5" s="1"/>
  <c r="F630" i="5"/>
  <c r="G630" i="5" s="1"/>
  <c r="H630" i="5" s="1"/>
  <c r="F620" i="5"/>
  <c r="G620" i="5" s="1"/>
  <c r="H620" i="5" s="1"/>
  <c r="F503" i="5"/>
  <c r="G503" i="5" s="1"/>
  <c r="H503" i="5" s="1"/>
  <c r="F493" i="5"/>
  <c r="G493" i="5" s="1"/>
  <c r="H493" i="5" s="1"/>
  <c r="F429" i="5"/>
  <c r="G429" i="5" s="1"/>
  <c r="H429" i="5" s="1"/>
  <c r="F121" i="5"/>
  <c r="G121" i="5" s="1"/>
  <c r="H121" i="5" s="1"/>
  <c r="F486" i="5"/>
  <c r="G486" i="5" s="1"/>
  <c r="H486" i="5" s="1"/>
  <c r="F634" i="5"/>
  <c r="G634" i="5" s="1"/>
  <c r="H634" i="5" s="1"/>
  <c r="F794" i="5"/>
  <c r="G794" i="5" s="1"/>
  <c r="H794" i="5" s="1"/>
  <c r="F922" i="5"/>
  <c r="G922" i="5" s="1"/>
  <c r="H922" i="5" s="1"/>
  <c r="F747" i="5"/>
  <c r="G747" i="5" s="1"/>
  <c r="H747" i="5" s="1"/>
  <c r="F1003" i="5"/>
  <c r="G1003" i="5" s="1"/>
  <c r="H1003" i="5" s="1"/>
  <c r="F736" i="5"/>
  <c r="G736" i="5" s="1"/>
  <c r="H736" i="5" s="1"/>
  <c r="F300" i="5"/>
  <c r="G300" i="5" s="1"/>
  <c r="H300" i="5" s="1"/>
  <c r="F591" i="5"/>
  <c r="G591" i="5" s="1"/>
  <c r="H591" i="5" s="1"/>
  <c r="F834" i="5"/>
  <c r="G834" i="5" s="1"/>
  <c r="H834" i="5" s="1"/>
  <c r="F408" i="5"/>
  <c r="G408" i="5" s="1"/>
  <c r="H408" i="5" s="1"/>
  <c r="F616" i="5"/>
  <c r="G616" i="5" s="1"/>
  <c r="H616" i="5" s="1"/>
  <c r="F286" i="5"/>
  <c r="G286" i="5" s="1"/>
  <c r="H286" i="5" s="1"/>
  <c r="F428" i="5"/>
  <c r="G428" i="5" s="1"/>
  <c r="H428" i="5" s="1"/>
  <c r="F421" i="5"/>
  <c r="G421" i="5" s="1"/>
  <c r="H421" i="5" s="1"/>
  <c r="F309" i="5"/>
  <c r="G309" i="5" s="1"/>
  <c r="H309" i="5" s="1"/>
  <c r="F207" i="5"/>
  <c r="G207" i="5" s="1"/>
  <c r="H207" i="5" s="1"/>
  <c r="F95" i="5"/>
  <c r="G95" i="5" s="1"/>
  <c r="H95" i="5" s="1"/>
  <c r="F134" i="5"/>
  <c r="G134" i="5" s="1"/>
  <c r="H134" i="5" s="1"/>
  <c r="F985" i="5"/>
  <c r="G985" i="5" s="1"/>
  <c r="H985" i="5" s="1"/>
  <c r="F650" i="5"/>
  <c r="G650" i="5" s="1"/>
  <c r="H650" i="5" s="1"/>
  <c r="F771" i="5"/>
  <c r="G771" i="5" s="1"/>
  <c r="H771" i="5" s="1"/>
  <c r="F651" i="5"/>
  <c r="G651" i="5" s="1"/>
  <c r="H651" i="5" s="1"/>
  <c r="F804" i="5"/>
  <c r="G804" i="5" s="1"/>
  <c r="H804" i="5" s="1"/>
  <c r="F996" i="5"/>
  <c r="G996" i="5" s="1"/>
  <c r="H996" i="5" s="1"/>
  <c r="F506" i="5"/>
  <c r="G506" i="5" s="1"/>
  <c r="H506" i="5" s="1"/>
  <c r="F155" i="5"/>
  <c r="G155" i="5" s="1"/>
  <c r="H155" i="5" s="1"/>
  <c r="F27" i="5"/>
  <c r="G27" i="5" s="1"/>
  <c r="H27" i="5" s="1"/>
  <c r="F515" i="5"/>
  <c r="G515" i="5" s="1"/>
  <c r="H515" i="5" s="1"/>
  <c r="F639" i="5"/>
  <c r="G639" i="5" s="1"/>
  <c r="H639" i="5" s="1"/>
  <c r="F870" i="5"/>
  <c r="G870" i="5" s="1"/>
  <c r="H870" i="5" s="1"/>
  <c r="F424" i="5"/>
  <c r="G424" i="5" s="1"/>
  <c r="H424" i="5" s="1"/>
  <c r="F682" i="5"/>
  <c r="G682" i="5" s="1"/>
  <c r="H682" i="5" s="1"/>
  <c r="F238" i="5"/>
  <c r="G238" i="5" s="1"/>
  <c r="H238" i="5" s="1"/>
  <c r="F388" i="5"/>
  <c r="G388" i="5" s="1"/>
  <c r="H388" i="5" s="1"/>
  <c r="F936" i="5"/>
  <c r="G936" i="5" s="1"/>
  <c r="H936" i="5" s="1"/>
  <c r="F271" i="5"/>
  <c r="G271" i="5" s="1"/>
  <c r="H271" i="5" s="1"/>
  <c r="F396" i="5"/>
  <c r="G396" i="5" s="1"/>
  <c r="H396" i="5" s="1"/>
  <c r="F311" i="5"/>
  <c r="G311" i="5" s="1"/>
  <c r="H311" i="5" s="1"/>
  <c r="F89" i="5"/>
  <c r="G89" i="5" s="1"/>
  <c r="H89" i="5" s="1"/>
  <c r="F120" i="5"/>
  <c r="G120" i="5" s="1"/>
  <c r="H120" i="5" s="1"/>
  <c r="F110" i="5"/>
  <c r="G110" i="5" s="1"/>
  <c r="H110" i="5" s="1"/>
  <c r="F46" i="5"/>
  <c r="G46" i="5" s="1"/>
  <c r="H46" i="5" s="1"/>
  <c r="F372" i="5"/>
  <c r="G372" i="5" s="1"/>
  <c r="H372" i="5" s="1"/>
  <c r="F240" i="5"/>
  <c r="G240" i="5" s="1"/>
  <c r="H240" i="5" s="1"/>
  <c r="F746" i="5"/>
  <c r="G746" i="5" s="1"/>
  <c r="H746" i="5" s="1"/>
  <c r="F810" i="5"/>
  <c r="G810" i="5" s="1"/>
  <c r="H810" i="5" s="1"/>
  <c r="F938" i="5"/>
  <c r="G938" i="5" s="1"/>
  <c r="H938" i="5" s="1"/>
  <c r="F891" i="5"/>
  <c r="G891" i="5" s="1"/>
  <c r="H891" i="5" s="1"/>
  <c r="F944" i="5"/>
  <c r="G944" i="5" s="1"/>
  <c r="H944" i="5" s="1"/>
  <c r="F675" i="5"/>
  <c r="G675" i="5" s="1"/>
  <c r="H675" i="5" s="1"/>
  <c r="F446" i="5"/>
  <c r="G446" i="5" s="1"/>
  <c r="H446" i="5" s="1"/>
  <c r="F427" i="5"/>
  <c r="G427" i="5" s="1"/>
  <c r="H427" i="5" s="1"/>
  <c r="F514" i="5"/>
  <c r="G514" i="5" s="1"/>
  <c r="H514" i="5" s="1"/>
  <c r="F279" i="5"/>
  <c r="G279" i="5" s="1"/>
  <c r="H279" i="5" s="1"/>
  <c r="F725" i="5"/>
  <c r="G725" i="5" s="1"/>
  <c r="H725" i="5" s="1"/>
  <c r="F389" i="5"/>
  <c r="G389" i="5" s="1"/>
  <c r="H389" i="5" s="1"/>
  <c r="F277" i="5"/>
  <c r="G277" i="5" s="1"/>
  <c r="H277" i="5" s="1"/>
  <c r="F118" i="5"/>
  <c r="G118" i="5" s="1"/>
  <c r="H118" i="5" s="1"/>
  <c r="F727" i="5"/>
  <c r="G727" i="5" s="1"/>
  <c r="H727" i="5" s="1"/>
  <c r="F1001" i="5"/>
  <c r="G1001" i="5" s="1"/>
  <c r="H1001" i="5" s="1"/>
  <c r="F698" i="5"/>
  <c r="G698" i="5" s="1"/>
  <c r="H698" i="5" s="1"/>
  <c r="F266" i="5"/>
  <c r="G266" i="5" s="1"/>
  <c r="H266" i="5" s="1"/>
  <c r="F416" i="5"/>
  <c r="G416" i="5" s="1"/>
  <c r="H416" i="5" s="1"/>
  <c r="F566" i="5"/>
  <c r="G566" i="5" s="1"/>
  <c r="H566" i="5" s="1"/>
  <c r="F295" i="5"/>
  <c r="G295" i="5" s="1"/>
  <c r="H295" i="5" s="1"/>
  <c r="F721" i="5"/>
  <c r="G721" i="5" s="1"/>
  <c r="H721" i="5" s="1"/>
  <c r="F593" i="5"/>
  <c r="G593" i="5" s="1"/>
  <c r="H593" i="5" s="1"/>
  <c r="F401" i="5"/>
  <c r="G401" i="5" s="1"/>
  <c r="H401" i="5" s="1"/>
  <c r="F337" i="5"/>
  <c r="G337" i="5" s="1"/>
  <c r="H337" i="5" s="1"/>
  <c r="F193" i="5"/>
  <c r="G193" i="5" s="1"/>
  <c r="H193" i="5" s="1"/>
  <c r="F139" i="5"/>
  <c r="G139" i="5" s="1"/>
  <c r="H139" i="5" s="1"/>
  <c r="F667" i="5"/>
  <c r="G667" i="5" s="1"/>
  <c r="H667" i="5" s="1"/>
  <c r="F570" i="5"/>
  <c r="G570" i="5" s="1"/>
  <c r="H570" i="5" s="1"/>
  <c r="F950" i="5"/>
  <c r="G950" i="5" s="1"/>
  <c r="H950" i="5" s="1"/>
  <c r="F600" i="5"/>
  <c r="G600" i="5" s="1"/>
  <c r="H600" i="5" s="1"/>
  <c r="F574" i="5"/>
  <c r="G574" i="5" s="1"/>
  <c r="H574" i="5" s="1"/>
  <c r="F578" i="5"/>
  <c r="G578" i="5" s="1"/>
  <c r="H578" i="5" s="1"/>
  <c r="F546" i="5"/>
  <c r="G546" i="5" s="1"/>
  <c r="H546" i="5" s="1"/>
  <c r="F525" i="5"/>
  <c r="G525" i="5" s="1"/>
  <c r="H525" i="5" s="1"/>
  <c r="F461" i="5"/>
  <c r="G461" i="5" s="1"/>
  <c r="H461" i="5" s="1"/>
  <c r="F333" i="5"/>
  <c r="G333" i="5" s="1"/>
  <c r="H333" i="5" s="1"/>
  <c r="F158" i="5"/>
  <c r="G158" i="5" s="1"/>
  <c r="H158" i="5" s="1"/>
  <c r="F94" i="5"/>
  <c r="G94" i="5" s="1"/>
  <c r="H94" i="5" s="1"/>
  <c r="F30" i="5"/>
  <c r="G30" i="5" s="1"/>
  <c r="H30" i="5" s="1"/>
  <c r="F259" i="5"/>
  <c r="G259" i="5" s="1"/>
  <c r="H259" i="5" s="1"/>
  <c r="F817" i="5"/>
  <c r="G817" i="5" s="1"/>
  <c r="H817" i="5" s="1"/>
  <c r="F1009" i="5"/>
  <c r="G1009" i="5" s="1"/>
  <c r="H1009" i="5" s="1"/>
  <c r="F472" i="5"/>
  <c r="G472" i="5" s="1"/>
  <c r="H472" i="5" s="1"/>
  <c r="F587" i="5"/>
  <c r="G587" i="5" s="1"/>
  <c r="H587" i="5" s="1"/>
  <c r="F992" i="5"/>
  <c r="G992" i="5" s="1"/>
  <c r="H992" i="5" s="1"/>
  <c r="F157" i="5"/>
  <c r="G157" i="5" s="1"/>
  <c r="H157" i="5" s="1"/>
  <c r="F86" i="5"/>
  <c r="G86" i="5" s="1"/>
  <c r="H86" i="5" s="1"/>
  <c r="F761" i="5"/>
  <c r="G761" i="5" s="1"/>
  <c r="H761" i="5" s="1"/>
  <c r="F132" i="5"/>
  <c r="G132" i="5" s="1"/>
  <c r="H132" i="5" s="1"/>
  <c r="F454" i="5"/>
  <c r="G454" i="5" s="1"/>
  <c r="H454" i="5" s="1"/>
  <c r="F772" i="5"/>
  <c r="G772" i="5" s="1"/>
  <c r="H772" i="5" s="1"/>
  <c r="F359" i="5"/>
  <c r="G359" i="5" s="1"/>
  <c r="H359" i="5" s="1"/>
  <c r="F274" i="5"/>
  <c r="G274" i="5" s="1"/>
  <c r="H274" i="5" s="1"/>
  <c r="F141" i="5"/>
  <c r="G141" i="5" s="1"/>
  <c r="H141" i="5" s="1"/>
  <c r="F577" i="5"/>
  <c r="G577" i="5" s="1"/>
  <c r="H577" i="5" s="1"/>
  <c r="F449" i="5"/>
  <c r="G449" i="5" s="1"/>
  <c r="H449" i="5" s="1"/>
  <c r="F321" i="5"/>
  <c r="G321" i="5" s="1"/>
  <c r="H321" i="5" s="1"/>
  <c r="F33" i="5"/>
  <c r="G33" i="5" s="1"/>
  <c r="H33" i="5" s="1"/>
  <c r="F287" i="5"/>
  <c r="G287" i="5" s="1"/>
  <c r="H287" i="5" s="1"/>
  <c r="F438" i="5"/>
  <c r="G438" i="5" s="1"/>
  <c r="H438" i="5" s="1"/>
  <c r="F308" i="5"/>
  <c r="G308" i="5" s="1"/>
  <c r="H308" i="5" s="1"/>
  <c r="F791" i="5"/>
  <c r="G791" i="5" s="1"/>
  <c r="H791" i="5" s="1"/>
  <c r="F60" i="5"/>
  <c r="G60" i="5" s="1"/>
  <c r="H60" i="5" s="1"/>
  <c r="F704" i="5"/>
  <c r="G704" i="5" s="1"/>
  <c r="H704" i="5" s="1"/>
  <c r="F642" i="5"/>
  <c r="G642" i="5" s="1"/>
  <c r="H642" i="5" s="1"/>
  <c r="F524" i="5"/>
  <c r="G524" i="5" s="1"/>
  <c r="H524" i="5" s="1"/>
  <c r="F206" i="5"/>
  <c r="G206" i="5" s="1"/>
  <c r="H206" i="5" s="1"/>
  <c r="F76" i="5"/>
  <c r="G76" i="5" s="1"/>
  <c r="H76" i="5" s="1"/>
  <c r="F987" i="5"/>
  <c r="G987" i="5" s="1"/>
  <c r="H987" i="5" s="1"/>
  <c r="J572" i="5" l="1"/>
  <c r="J871" i="5"/>
  <c r="J62" i="5"/>
  <c r="J880" i="5"/>
  <c r="J157" i="5"/>
  <c r="J525" i="5"/>
  <c r="J217" i="5"/>
  <c r="J188" i="5"/>
  <c r="J253" i="5"/>
  <c r="J735" i="5"/>
  <c r="J776" i="5"/>
  <c r="J791" i="5"/>
  <c r="J453" i="5"/>
  <c r="J889" i="5"/>
  <c r="J857" i="5"/>
  <c r="J807" i="5"/>
  <c r="J929" i="5"/>
  <c r="J31" i="5"/>
  <c r="J920" i="5"/>
  <c r="J886" i="5"/>
  <c r="J660" i="5"/>
  <c r="J94" i="5"/>
  <c r="J938" i="5"/>
  <c r="J384" i="5"/>
  <c r="J373" i="5"/>
  <c r="J685" i="5"/>
  <c r="J682" i="5"/>
  <c r="J591" i="5"/>
  <c r="J503" i="5"/>
  <c r="J990" i="5"/>
  <c r="J553" i="5"/>
  <c r="J816" i="5"/>
  <c r="J351" i="5"/>
  <c r="J271" i="5"/>
  <c r="J411" i="5"/>
  <c r="J353" i="5"/>
  <c r="J566" i="5"/>
  <c r="J721" i="5"/>
  <c r="J1004" i="5"/>
  <c r="J194" i="5"/>
  <c r="J264" i="5"/>
  <c r="J37" i="5"/>
  <c r="J302" i="5"/>
  <c r="J767" i="5"/>
  <c r="J467" i="5"/>
  <c r="J38" i="5"/>
  <c r="J161" i="5"/>
  <c r="J892" i="5"/>
  <c r="J55" i="5"/>
  <c r="J143" i="5"/>
  <c r="J720" i="5"/>
  <c r="J796" i="5"/>
  <c r="J116" i="5"/>
  <c r="J716" i="5"/>
  <c r="J799" i="5"/>
  <c r="J831" i="5"/>
  <c r="J482" i="5"/>
  <c r="J182" i="5"/>
  <c r="J33" i="5"/>
  <c r="J1009" i="5"/>
  <c r="J416" i="5"/>
  <c r="J727" i="5"/>
  <c r="J936" i="5"/>
  <c r="J922" i="5"/>
  <c r="J711" i="5"/>
  <c r="J665" i="5"/>
  <c r="J734" i="5"/>
  <c r="J842" i="5"/>
  <c r="J495" i="5"/>
  <c r="J692" i="5"/>
  <c r="J611" i="5"/>
  <c r="J433" i="5"/>
  <c r="J367" i="5"/>
  <c r="J670" i="5"/>
  <c r="J170" i="5"/>
  <c r="J599" i="5"/>
  <c r="J235" i="5"/>
  <c r="J297" i="5"/>
  <c r="J519" i="5"/>
  <c r="J30" i="5"/>
  <c r="J427" i="5"/>
  <c r="J996" i="5"/>
  <c r="J812" i="5"/>
  <c r="J81" i="5"/>
  <c r="J894" i="5"/>
  <c r="J508" i="5"/>
  <c r="J272" i="5"/>
  <c r="J548" i="5"/>
  <c r="J129" i="5"/>
  <c r="J666" i="5"/>
  <c r="J202" i="5"/>
  <c r="J772" i="5"/>
  <c r="J502" i="5"/>
  <c r="J208" i="5"/>
  <c r="J810" i="5"/>
  <c r="J46" i="5"/>
  <c r="J40" i="5"/>
  <c r="J25" i="5"/>
  <c r="J579" i="5"/>
  <c r="J64" i="5"/>
  <c r="J290" i="5"/>
  <c r="J241" i="5"/>
  <c r="J943" i="5"/>
  <c r="J409" i="5"/>
  <c r="J87" i="5"/>
  <c r="J36" i="5"/>
  <c r="J972" i="5"/>
  <c r="J758" i="5"/>
  <c r="J631" i="5"/>
  <c r="J864" i="5"/>
  <c r="J959" i="5"/>
  <c r="J669" i="5"/>
  <c r="J942" i="5"/>
  <c r="J99" i="5"/>
  <c r="J197" i="5"/>
  <c r="J480" i="5"/>
  <c r="J969" i="5"/>
  <c r="J944" i="5"/>
  <c r="J95" i="5"/>
  <c r="J834" i="5"/>
  <c r="J348" i="5"/>
  <c r="J700" i="5"/>
  <c r="J852" i="5"/>
  <c r="J312" i="5"/>
  <c r="J763" i="5"/>
  <c r="J657" i="5"/>
  <c r="J695" i="5"/>
  <c r="J387" i="5"/>
  <c r="J150" i="5"/>
  <c r="J868" i="5"/>
  <c r="J423" i="5"/>
  <c r="J212" i="5"/>
  <c r="J853" i="5"/>
  <c r="J53" i="5"/>
  <c r="J370" i="5"/>
  <c r="J287" i="5"/>
  <c r="J401" i="5"/>
  <c r="J515" i="5"/>
  <c r="J973" i="5"/>
  <c r="J263" i="5"/>
  <c r="J365" i="5"/>
  <c r="J305" i="5"/>
  <c r="J261" i="5"/>
  <c r="J376" i="5"/>
  <c r="J399" i="5"/>
  <c r="J254" i="5"/>
  <c r="J900" i="5"/>
  <c r="J921" i="5"/>
  <c r="J939" i="5"/>
  <c r="J354" i="5"/>
  <c r="J595" i="5"/>
  <c r="J355" i="5"/>
  <c r="J13" i="5"/>
  <c r="J562" i="5"/>
  <c r="J93" i="5"/>
  <c r="J310" i="5"/>
  <c r="J186" i="5"/>
  <c r="J464" i="5"/>
  <c r="J625" i="5"/>
  <c r="J105" i="5"/>
  <c r="J798" i="5"/>
  <c r="J306" i="5"/>
  <c r="J434" i="5"/>
  <c r="J400" i="5"/>
  <c r="J249" i="5"/>
  <c r="J203" i="5"/>
  <c r="J48" i="5"/>
  <c r="J441" i="5"/>
  <c r="J999" i="5"/>
  <c r="J383" i="5"/>
  <c r="J651" i="5"/>
  <c r="J542" i="5"/>
  <c r="J963" i="5"/>
  <c r="J898" i="5"/>
  <c r="J531" i="5"/>
  <c r="J598" i="5"/>
  <c r="J554" i="5"/>
  <c r="J459" i="5"/>
  <c r="J803" i="5"/>
  <c r="J500" i="5"/>
  <c r="J268" i="5"/>
  <c r="J406" i="5"/>
  <c r="J443" i="5"/>
  <c r="J237" i="5"/>
  <c r="J126" i="5"/>
  <c r="J534" i="5"/>
  <c r="J79" i="5"/>
  <c r="J530" i="5"/>
  <c r="J610" i="5"/>
  <c r="J96" i="5"/>
  <c r="J731" i="5"/>
  <c r="J851" i="5"/>
  <c r="J140" i="5"/>
  <c r="J221" i="5"/>
  <c r="J618" i="5"/>
  <c r="J412" i="5"/>
  <c r="J179" i="5"/>
  <c r="J23" i="5"/>
  <c r="J654" i="5"/>
  <c r="J63" i="5"/>
  <c r="J632" i="5"/>
  <c r="J686" i="5"/>
  <c r="J345" i="5"/>
  <c r="J392" i="5"/>
  <c r="J745" i="5"/>
  <c r="J108" i="5"/>
  <c r="J364" i="5"/>
  <c r="J377" i="5"/>
  <c r="J592" i="5"/>
  <c r="J185" i="5"/>
  <c r="J975" i="5"/>
  <c r="J613" i="5"/>
  <c r="J192" i="5"/>
  <c r="J57" i="5"/>
  <c r="J299" i="5"/>
  <c r="J21" i="5"/>
  <c r="J897" i="5"/>
  <c r="J507" i="5"/>
  <c r="J446" i="5"/>
  <c r="J804" i="5"/>
  <c r="J309" i="5"/>
  <c r="J612" i="5"/>
  <c r="J282" i="5"/>
  <c r="J488" i="5"/>
  <c r="J109" i="5"/>
  <c r="J836" i="5"/>
  <c r="J869" i="5"/>
  <c r="J575" i="5"/>
  <c r="J45" i="5"/>
  <c r="J456" i="5"/>
  <c r="J66" i="5"/>
  <c r="J478" i="5"/>
  <c r="J653" i="5"/>
  <c r="J403" i="5"/>
  <c r="J701" i="5"/>
  <c r="J128" i="5"/>
  <c r="J190" i="5"/>
  <c r="J687" i="5"/>
  <c r="J138" i="5"/>
  <c r="J931" i="5"/>
  <c r="J91" i="5"/>
  <c r="J501" i="5"/>
  <c r="J246" i="5"/>
  <c r="J522" i="5"/>
  <c r="J195" i="5"/>
  <c r="J600" i="5"/>
  <c r="J155" i="5"/>
  <c r="J398" i="5"/>
  <c r="J676" i="5"/>
  <c r="J535" i="5"/>
  <c r="J130" i="5"/>
  <c r="J979" i="5"/>
  <c r="J171" i="5"/>
  <c r="J169" i="5"/>
  <c r="J765" i="5"/>
  <c r="J178" i="5"/>
  <c r="J597" i="5"/>
  <c r="J324" i="5"/>
  <c r="J320" i="5"/>
  <c r="J330" i="5"/>
  <c r="J789" i="5"/>
  <c r="J332" i="5"/>
  <c r="J779" i="5"/>
  <c r="J775" i="5"/>
  <c r="J547" i="5"/>
  <c r="J141" i="5"/>
  <c r="J424" i="5"/>
  <c r="J359" i="5"/>
  <c r="J698" i="5"/>
  <c r="J514" i="5"/>
  <c r="J1003" i="5"/>
  <c r="J876" i="5"/>
  <c r="J154" i="5"/>
  <c r="J603" i="5"/>
  <c r="J328" i="5"/>
  <c r="J366" i="5"/>
  <c r="J635" i="5"/>
  <c r="J674" i="5"/>
  <c r="J43" i="5"/>
  <c r="J633" i="5"/>
  <c r="J712" i="5"/>
  <c r="J460" i="5"/>
  <c r="J487" i="5"/>
  <c r="J563" i="5"/>
  <c r="J879" i="5"/>
  <c r="J125" i="5"/>
  <c r="J815" i="5"/>
  <c r="J347" i="5"/>
  <c r="J402" i="5"/>
  <c r="J935" i="5"/>
  <c r="J278" i="5"/>
  <c r="J92" i="5"/>
  <c r="J917" i="5"/>
  <c r="J928" i="5"/>
  <c r="J941" i="5"/>
  <c r="J207" i="5"/>
  <c r="J360" i="5"/>
  <c r="J912" i="5"/>
  <c r="J226" i="5"/>
  <c r="J517" i="5"/>
  <c r="J536" i="5"/>
  <c r="J948" i="5"/>
  <c r="J524" i="5"/>
  <c r="J313" i="5"/>
  <c r="J374" i="5"/>
  <c r="J932" i="5"/>
  <c r="J316" i="5"/>
  <c r="J335" i="5"/>
  <c r="J699" i="5"/>
  <c r="J59" i="5"/>
  <c r="J811" i="5"/>
  <c r="J98" i="5"/>
  <c r="J971" i="5"/>
  <c r="J103" i="5"/>
  <c r="J139" i="5"/>
  <c r="J987" i="5"/>
  <c r="J546" i="5"/>
  <c r="J118" i="5"/>
  <c r="J134" i="5"/>
  <c r="J408" i="5"/>
  <c r="J107" i="5"/>
  <c r="J1006" i="5"/>
  <c r="J189" i="5"/>
  <c r="J273" i="5"/>
  <c r="J386" i="5"/>
  <c r="J483" i="5"/>
  <c r="J407" i="5"/>
  <c r="J564" i="5"/>
  <c r="J111" i="5"/>
  <c r="J690" i="5"/>
  <c r="J828" i="5"/>
  <c r="J144" i="5"/>
  <c r="J918" i="5"/>
  <c r="J230" i="5"/>
  <c r="J284" i="5"/>
  <c r="J559" i="5"/>
  <c r="J911" i="5"/>
  <c r="J465" i="5"/>
  <c r="J769" i="5"/>
  <c r="J11" i="5"/>
  <c r="J521" i="5"/>
  <c r="J475" i="5"/>
  <c r="J904" i="5"/>
  <c r="H10" i="5"/>
  <c r="J10" i="5" s="1"/>
  <c r="J961" i="5"/>
  <c r="J512" i="5"/>
  <c r="J165" i="5"/>
  <c r="J974" i="5"/>
  <c r="J764" i="5"/>
  <c r="J626" i="5"/>
  <c r="J730" i="5"/>
  <c r="J321" i="5"/>
  <c r="J736" i="5"/>
  <c r="J60" i="5"/>
  <c r="J574" i="5"/>
  <c r="J667" i="5"/>
  <c r="J120" i="5"/>
  <c r="J648" i="5"/>
  <c r="J267" i="5"/>
  <c r="J854" i="5"/>
  <c r="J215" i="5"/>
  <c r="J841" i="5"/>
  <c r="J58" i="5"/>
  <c r="J289" i="5"/>
  <c r="J228" i="5"/>
  <c r="J338" i="5"/>
  <c r="J856" i="5"/>
  <c r="J52" i="5"/>
  <c r="J829" i="5"/>
  <c r="J628" i="5"/>
  <c r="J659" i="5"/>
  <c r="J225" i="5"/>
  <c r="J437" i="5"/>
  <c r="J113" i="5"/>
  <c r="J145" i="5"/>
  <c r="J733" i="5"/>
  <c r="J873" i="5"/>
  <c r="J181" i="5"/>
  <c r="J550" i="5"/>
  <c r="J163" i="5"/>
  <c r="J78" i="5"/>
  <c r="J262" i="5"/>
  <c r="J623" i="5"/>
  <c r="J432" i="5"/>
  <c r="J375" i="5"/>
  <c r="J977" i="5"/>
  <c r="J156" i="5"/>
  <c r="J567" i="5"/>
  <c r="J146" i="5"/>
  <c r="J640" i="5"/>
  <c r="J216" i="5"/>
  <c r="J250" i="5"/>
  <c r="J442" i="5"/>
  <c r="J642" i="5"/>
  <c r="J675" i="5"/>
  <c r="J870" i="5"/>
  <c r="J953" i="5"/>
  <c r="J580" i="5"/>
  <c r="J275" i="5"/>
  <c r="J991" i="5"/>
  <c r="J201" i="5"/>
  <c r="J586" i="5"/>
  <c r="J184" i="5"/>
  <c r="J198" i="5"/>
  <c r="J993" i="5"/>
  <c r="J315" i="5"/>
  <c r="J984" i="5"/>
  <c r="J258" i="5"/>
  <c r="J106" i="5"/>
  <c r="J885" i="5"/>
  <c r="J85" i="5"/>
  <c r="J636" i="5"/>
  <c r="J307" i="5"/>
  <c r="J413" i="5"/>
  <c r="J167" i="5"/>
  <c r="J703" i="5"/>
  <c r="J792" i="5"/>
  <c r="J802" i="5"/>
  <c r="J494" i="5"/>
  <c r="J677" i="5"/>
  <c r="J317" i="5"/>
  <c r="J840" i="5"/>
  <c r="J422" i="5"/>
  <c r="J362" i="5"/>
  <c r="J914" i="5"/>
  <c r="J755" i="5"/>
  <c r="J12" i="5"/>
  <c r="J608" i="5"/>
  <c r="J890" i="5"/>
  <c r="J18" i="5"/>
  <c r="J801" i="5"/>
  <c r="J484" i="5"/>
  <c r="J672" i="5"/>
  <c r="J405" i="5"/>
  <c r="J311" i="5"/>
  <c r="J794" i="5"/>
  <c r="J396" i="5"/>
  <c r="J639" i="5"/>
  <c r="J164" i="5"/>
  <c r="J866" i="5"/>
  <c r="J766" i="5"/>
  <c r="J296" i="5"/>
  <c r="J915" i="5"/>
  <c r="J196" i="5"/>
  <c r="J210" i="5"/>
  <c r="J565" i="5"/>
  <c r="J471" i="5"/>
  <c r="J627" i="5"/>
  <c r="J39" i="5"/>
  <c r="J607" i="5"/>
  <c r="J151" i="5"/>
  <c r="J958" i="5"/>
  <c r="J865" i="5"/>
  <c r="J477" i="5"/>
  <c r="J925" i="5"/>
  <c r="J770" i="5"/>
  <c r="J800" i="5"/>
  <c r="J395" i="5"/>
  <c r="J344" i="5"/>
  <c r="J895" i="5"/>
  <c r="J131" i="5"/>
  <c r="J533" i="5"/>
  <c r="J649" i="5"/>
  <c r="J42" i="5"/>
  <c r="J74" i="5"/>
  <c r="J73" i="5"/>
  <c r="J888" i="5"/>
  <c r="J718" i="5"/>
  <c r="J814" i="5"/>
  <c r="J624" i="5"/>
  <c r="J385" i="5"/>
  <c r="J569" i="5"/>
  <c r="J476" i="5"/>
  <c r="J82" i="5"/>
  <c r="J224" i="5"/>
  <c r="J34" i="5"/>
  <c r="J705" i="5"/>
  <c r="J817" i="5"/>
  <c r="J158" i="5"/>
  <c r="J279" i="5"/>
  <c r="J388" i="5"/>
  <c r="J429" i="5"/>
  <c r="J229" i="5"/>
  <c r="J751" i="5"/>
  <c r="J518" i="5"/>
  <c r="J447" i="5"/>
  <c r="J68" i="5"/>
  <c r="J69" i="5"/>
  <c r="J556" i="5"/>
  <c r="J20" i="5"/>
  <c r="J71" i="5"/>
  <c r="J148" i="5"/>
  <c r="J1005" i="5"/>
  <c r="J276" i="5"/>
  <c r="J822" i="5"/>
  <c r="J439" i="5"/>
  <c r="J818" i="5"/>
  <c r="J926" i="5"/>
  <c r="J22" i="5"/>
  <c r="J908" i="5"/>
  <c r="J583" i="5"/>
  <c r="J269" i="5"/>
  <c r="J1008" i="5"/>
  <c r="J875" i="5"/>
  <c r="J960" i="5"/>
  <c r="J760" i="5"/>
  <c r="J619" i="5"/>
  <c r="J937" i="5"/>
  <c r="J594" i="5"/>
  <c r="J308" i="5"/>
  <c r="J274" i="5"/>
  <c r="J704" i="5"/>
  <c r="J438" i="5"/>
  <c r="J578" i="5"/>
  <c r="J110" i="5"/>
  <c r="J104" i="5"/>
  <c r="J927" i="5"/>
  <c r="J100" i="5"/>
  <c r="J394" i="5"/>
  <c r="J61" i="5"/>
  <c r="J774" i="5"/>
  <c r="J50" i="5"/>
  <c r="J444" i="5"/>
  <c r="J860" i="5"/>
  <c r="J323" i="5"/>
  <c r="J255" i="5"/>
  <c r="J462" i="5"/>
  <c r="J481" i="5"/>
  <c r="J919" i="5"/>
  <c r="J641" i="5"/>
  <c r="J51" i="5"/>
  <c r="J390" i="5"/>
  <c r="J88" i="5"/>
  <c r="J615" i="5"/>
  <c r="J173" i="5"/>
  <c r="J585" i="5"/>
  <c r="J252" i="5"/>
  <c r="J593" i="5"/>
  <c r="J372" i="5"/>
  <c r="J89" i="5"/>
  <c r="J616" i="5"/>
  <c r="J300" i="5"/>
  <c r="J916" i="5"/>
  <c r="J331" i="5"/>
  <c r="J489" i="5"/>
  <c r="J147" i="5"/>
  <c r="J540" i="5"/>
  <c r="J697" i="5"/>
  <c r="J738" i="5"/>
  <c r="J693" i="5"/>
  <c r="J663" i="5"/>
  <c r="J754" i="5"/>
  <c r="J606" i="5"/>
  <c r="J137" i="5"/>
  <c r="J645" i="5"/>
  <c r="J391" i="5"/>
  <c r="J722" i="5"/>
  <c r="J622" i="5"/>
  <c r="J684" i="5"/>
  <c r="J97" i="5"/>
  <c r="J183" i="5"/>
  <c r="J17" i="5"/>
  <c r="J951" i="5"/>
  <c r="J861" i="5"/>
  <c r="J160" i="5"/>
  <c r="J133" i="5"/>
  <c r="J65" i="5"/>
  <c r="J582" i="5"/>
  <c r="J571" i="5"/>
  <c r="J516" i="5"/>
  <c r="J219" i="5"/>
  <c r="J742" i="5"/>
  <c r="J739" i="5"/>
  <c r="J435" i="5"/>
  <c r="J259" i="5"/>
  <c r="J570" i="5"/>
  <c r="J506" i="5"/>
  <c r="J428" i="5"/>
  <c r="J172" i="5"/>
  <c r="J862" i="5"/>
  <c r="J688" i="5"/>
  <c r="J28" i="5"/>
  <c r="J70" i="5"/>
  <c r="J714" i="5"/>
  <c r="J552" i="5"/>
  <c r="J825" i="5"/>
  <c r="J954" i="5"/>
  <c r="J142" i="5"/>
  <c r="J609" i="5"/>
  <c r="J248" i="5"/>
  <c r="J41" i="5"/>
  <c r="J646" i="5"/>
  <c r="J520" i="5"/>
  <c r="J793" i="5"/>
  <c r="J949" i="5"/>
  <c r="J964" i="5"/>
  <c r="J752" i="5"/>
  <c r="J849" i="5"/>
  <c r="J280" i="5"/>
  <c r="J101" i="5"/>
  <c r="J617" i="5"/>
  <c r="J149" i="5"/>
  <c r="J245" i="5"/>
  <c r="J537" i="5"/>
  <c r="J236" i="5"/>
  <c r="J455" i="5"/>
  <c r="J414" i="5"/>
  <c r="J15" i="5"/>
  <c r="J976" i="5"/>
  <c r="J762" i="5"/>
  <c r="J965" i="5"/>
  <c r="J647" i="5"/>
  <c r="J827" i="5"/>
  <c r="J539" i="5"/>
  <c r="J576" i="5"/>
  <c r="J604" i="5"/>
  <c r="J244" i="5"/>
  <c r="J368" i="5"/>
  <c r="J470" i="5"/>
  <c r="J397" i="5"/>
  <c r="J319" i="5"/>
  <c r="J440" i="5"/>
  <c r="J200" i="5"/>
  <c r="J505" i="5"/>
  <c r="J304" i="5"/>
  <c r="J746" i="5"/>
  <c r="J577" i="5"/>
  <c r="J472" i="5"/>
  <c r="J1001" i="5"/>
  <c r="J389" i="5"/>
  <c r="J650" i="5"/>
  <c r="J286" i="5"/>
  <c r="J486" i="5"/>
  <c r="J743" i="5"/>
  <c r="J205" i="5"/>
  <c r="J638" i="5"/>
  <c r="J90" i="5"/>
  <c r="J601" i="5"/>
  <c r="J832" i="5"/>
  <c r="J223" i="5"/>
  <c r="J843" i="5"/>
  <c r="J940" i="5"/>
  <c r="J621" i="5"/>
  <c r="J830" i="5"/>
  <c r="J445" i="5"/>
  <c r="J513" i="5"/>
  <c r="J988" i="5"/>
  <c r="J191" i="5"/>
  <c r="J584" i="5"/>
  <c r="J874" i="5"/>
  <c r="J696" i="5"/>
  <c r="J909" i="5"/>
  <c r="J673" i="5"/>
  <c r="J661" i="5"/>
  <c r="J740" i="5"/>
  <c r="J1007" i="5"/>
  <c r="J177" i="5"/>
  <c r="J541" i="5"/>
  <c r="J318" i="5"/>
  <c r="J629" i="5"/>
  <c r="J251" i="5"/>
  <c r="J343" i="5"/>
  <c r="J1002" i="5"/>
  <c r="J204" i="5"/>
  <c r="J529" i="5"/>
  <c r="J706" i="5"/>
  <c r="J420" i="5"/>
  <c r="J652" i="5"/>
  <c r="J845" i="5"/>
  <c r="J658" i="5"/>
  <c r="J867" i="5"/>
  <c r="J265" i="5"/>
  <c r="J231" i="5"/>
  <c r="J838" i="5"/>
  <c r="J970" i="5"/>
  <c r="J162" i="5"/>
  <c r="J555" i="5"/>
  <c r="J753" i="5"/>
  <c r="J702" i="5"/>
  <c r="J76" i="5"/>
  <c r="J333" i="5"/>
  <c r="J337" i="5"/>
  <c r="J121" i="5"/>
  <c r="J656" i="5"/>
  <c r="J430" i="5"/>
  <c r="J558" i="5"/>
  <c r="J847" i="5"/>
  <c r="J314" i="5"/>
  <c r="J209" i="5"/>
  <c r="J903" i="5"/>
  <c r="J905" i="5"/>
  <c r="J102" i="5"/>
  <c r="J136" i="5"/>
  <c r="J787" i="5"/>
  <c r="J404" i="5"/>
  <c r="J664" i="5"/>
  <c r="J380" i="5"/>
  <c r="J352" i="5"/>
  <c r="J707" i="5"/>
  <c r="J560" i="5"/>
  <c r="J679" i="5"/>
  <c r="J291" i="5"/>
  <c r="J329" i="5"/>
  <c r="J819" i="5"/>
  <c r="J491" i="5"/>
  <c r="J813" i="5"/>
  <c r="J907" i="5"/>
  <c r="J820" i="5"/>
  <c r="J47" i="5"/>
  <c r="J933" i="5"/>
  <c r="J498" i="5"/>
  <c r="J833" i="5"/>
  <c r="J281" i="5"/>
  <c r="J256" i="5"/>
  <c r="J741" i="5"/>
  <c r="J887" i="5"/>
  <c r="J523" i="5"/>
  <c r="J466" i="5"/>
  <c r="J668" i="5"/>
  <c r="J239" i="5"/>
  <c r="J381" i="5"/>
  <c r="J906" i="5"/>
  <c r="J117" i="5"/>
  <c r="J934" i="5"/>
  <c r="J680" i="5"/>
  <c r="J878" i="5"/>
  <c r="J122" i="5"/>
  <c r="J220" i="5"/>
  <c r="J708" i="5"/>
  <c r="J717" i="5"/>
  <c r="J528" i="5"/>
  <c r="J589" i="5"/>
  <c r="J527" i="5"/>
  <c r="J213" i="5"/>
  <c r="J123" i="5"/>
  <c r="J127" i="5"/>
  <c r="J326" i="5"/>
  <c r="J947" i="5"/>
  <c r="J357" i="5"/>
  <c r="J180" i="5"/>
  <c r="J981" i="5"/>
  <c r="J783" i="5"/>
  <c r="J350" i="5"/>
  <c r="J510" i="5"/>
  <c r="J67" i="5"/>
  <c r="J858" i="5"/>
  <c r="J417" i="5"/>
  <c r="J242" i="5"/>
  <c r="J902" i="5"/>
  <c r="J336" i="5"/>
  <c r="J132" i="5"/>
  <c r="J992" i="5"/>
  <c r="J950" i="5"/>
  <c r="J193" i="5"/>
  <c r="J266" i="5"/>
  <c r="J630" i="5"/>
  <c r="J962" i="5"/>
  <c r="J80" i="5"/>
  <c r="J691" i="5"/>
  <c r="J924" i="5"/>
  <c r="J782" i="5"/>
  <c r="J859" i="5"/>
  <c r="J967" i="5"/>
  <c r="J568" i="5"/>
  <c r="J557" i="5"/>
  <c r="J786" i="5"/>
  <c r="J930" i="5"/>
  <c r="J872" i="5"/>
  <c r="J485" i="5"/>
  <c r="J881" i="5"/>
  <c r="J247" i="5"/>
  <c r="J32" i="5"/>
  <c r="J884" i="5"/>
  <c r="J637" i="5"/>
  <c r="J234" i="5"/>
  <c r="J797" i="5"/>
  <c r="J492" i="5"/>
  <c r="J835" i="5"/>
  <c r="J588" i="5"/>
  <c r="J805" i="5"/>
  <c r="J532" i="5"/>
  <c r="J511" i="5"/>
  <c r="J683" i="5"/>
  <c r="J44" i="5"/>
  <c r="J199" i="5"/>
  <c r="J349" i="5"/>
  <c r="J694" i="5"/>
  <c r="J855" i="5"/>
  <c r="J166" i="5"/>
  <c r="J590" i="5"/>
  <c r="J426" i="5"/>
  <c r="J709" i="5"/>
  <c r="J823" i="5"/>
  <c r="J809" i="5"/>
  <c r="J756" i="5"/>
  <c r="J283" i="5"/>
  <c r="J543" i="5"/>
  <c r="J837" i="5"/>
  <c r="J681" i="5"/>
  <c r="J846" i="5"/>
  <c r="J945" i="5"/>
  <c r="J152" i="5"/>
  <c r="J877" i="5"/>
  <c r="J896" i="5"/>
  <c r="J724" i="5"/>
  <c r="J174" i="5"/>
  <c r="J325" i="5"/>
  <c r="J882" i="5"/>
  <c r="J978" i="5"/>
  <c r="J448" i="5"/>
  <c r="J449" i="5"/>
  <c r="J295" i="5"/>
  <c r="J238" i="5"/>
  <c r="J771" i="5"/>
  <c r="J634" i="5"/>
  <c r="J493" i="5"/>
  <c r="J497" i="5"/>
  <c r="J218" i="5"/>
  <c r="J671" i="5"/>
  <c r="J419" i="5"/>
  <c r="J153" i="5"/>
  <c r="J744" i="5"/>
  <c r="J463" i="5"/>
  <c r="J339" i="5"/>
  <c r="J573" i="5"/>
  <c r="J243" i="5"/>
  <c r="J496" i="5"/>
  <c r="J715" i="5"/>
  <c r="J781" i="5"/>
  <c r="J784" i="5"/>
  <c r="J719" i="5"/>
  <c r="J474" i="5"/>
  <c r="J757" i="5"/>
  <c r="J710" i="5"/>
  <c r="J334" i="5"/>
  <c r="J795" i="5"/>
  <c r="J233" i="5"/>
  <c r="J850" i="5"/>
  <c r="J285" i="5"/>
  <c r="J893" i="5"/>
  <c r="J955" i="5"/>
  <c r="J998" i="5"/>
  <c r="J288" i="5"/>
  <c r="J84" i="5"/>
  <c r="J119" i="5"/>
  <c r="J946" i="5"/>
  <c r="J737" i="5"/>
  <c r="J689" i="5"/>
  <c r="J410" i="5"/>
  <c r="J54" i="5"/>
  <c r="J726" i="5"/>
  <c r="J83" i="5"/>
  <c r="J206" i="5"/>
  <c r="J86" i="5"/>
  <c r="J461" i="5"/>
  <c r="J891" i="5"/>
  <c r="J240" i="5"/>
  <c r="J747" i="5"/>
  <c r="J980" i="5"/>
  <c r="J901" i="5"/>
  <c r="J232" i="5"/>
  <c r="J450" i="5"/>
  <c r="J655" i="5"/>
  <c r="J644" i="5"/>
  <c r="J994" i="5"/>
  <c r="J227" i="5"/>
  <c r="J361" i="5"/>
  <c r="J614" i="5"/>
  <c r="J473" i="5"/>
  <c r="J303" i="5"/>
  <c r="J773" i="5"/>
  <c r="J358" i="5"/>
  <c r="J544" i="5"/>
  <c r="J452" i="5"/>
  <c r="J346" i="5"/>
  <c r="J187" i="5"/>
  <c r="J788" i="5"/>
  <c r="J538" i="5"/>
  <c r="J490" i="5"/>
  <c r="J369" i="5"/>
  <c r="J957" i="5"/>
  <c r="J952" i="5"/>
  <c r="J982" i="5"/>
  <c r="J211" i="5"/>
  <c r="J342" i="5"/>
  <c r="J997" i="5"/>
  <c r="J839" i="5"/>
  <c r="J340" i="5"/>
  <c r="J457" i="5"/>
  <c r="J768" i="5"/>
  <c r="J49" i="5"/>
  <c r="J551" i="5"/>
  <c r="J549" i="5"/>
  <c r="J923" i="5"/>
  <c r="J499" i="5"/>
  <c r="J16" i="5"/>
  <c r="J19" i="5"/>
  <c r="J176" i="5"/>
  <c r="J968" i="5"/>
  <c r="J785" i="5"/>
  <c r="J112" i="5"/>
  <c r="J469" i="5"/>
  <c r="J425" i="5"/>
  <c r="J605" i="5"/>
  <c r="J883" i="5"/>
  <c r="J418" i="5"/>
  <c r="J545" i="5"/>
  <c r="J14" i="5"/>
  <c r="J363" i="5"/>
  <c r="J728" i="5"/>
  <c r="J222" i="5"/>
  <c r="J382" i="5"/>
  <c r="J995" i="5"/>
  <c r="J826" i="5"/>
  <c r="J749" i="5"/>
  <c r="J135" i="5"/>
  <c r="J292" i="5"/>
  <c r="J806" i="5"/>
  <c r="J983" i="5"/>
  <c r="J24" i="5"/>
  <c r="J270" i="5"/>
  <c r="J393" i="5"/>
  <c r="J124" i="5"/>
  <c r="J759" i="5"/>
  <c r="J989" i="5"/>
  <c r="J379" i="5"/>
  <c r="J821" i="5"/>
  <c r="J454" i="5"/>
  <c r="J725" i="5"/>
  <c r="J27" i="5"/>
  <c r="J985" i="5"/>
  <c r="J620" i="5"/>
  <c r="J26" i="5"/>
  <c r="J844" i="5"/>
  <c r="J561" i="5"/>
  <c r="J824" i="5"/>
  <c r="J780" i="5"/>
  <c r="J421" i="5"/>
  <c r="J723" i="5"/>
  <c r="J35" i="5"/>
  <c r="J458" i="5"/>
  <c r="J581" i="5"/>
  <c r="J378" i="5"/>
  <c r="J761" i="5"/>
  <c r="J587" i="5"/>
  <c r="J277" i="5"/>
  <c r="J790" i="5"/>
  <c r="J168" i="5"/>
  <c r="J468" i="5"/>
  <c r="J808" i="5"/>
  <c r="J356" i="5"/>
  <c r="J114" i="5"/>
  <c r="J910" i="5"/>
  <c r="J778" i="5"/>
  <c r="J293" i="5"/>
  <c r="J56" i="5"/>
  <c r="J732" i="5"/>
  <c r="J451" i="5"/>
  <c r="J509" i="5"/>
  <c r="J1000" i="5"/>
  <c r="J257" i="5"/>
  <c r="J750" i="5"/>
  <c r="J748" i="5"/>
  <c r="J322" i="5"/>
  <c r="J301" i="5"/>
  <c r="J678" i="5"/>
  <c r="J294" i="5"/>
  <c r="J415" i="5"/>
  <c r="J729" i="5"/>
  <c r="J526" i="5"/>
  <c r="J848" i="5"/>
  <c r="J602" i="5"/>
  <c r="J899" i="5"/>
  <c r="J175" i="5"/>
  <c r="J966" i="5"/>
  <c r="J504" i="5"/>
  <c r="J371" i="5"/>
  <c r="J713" i="5"/>
  <c r="J298" i="5"/>
  <c r="J260" i="5"/>
  <c r="J777" i="5"/>
  <c r="J986" i="5"/>
  <c r="J72" i="5"/>
  <c r="J643" i="5"/>
  <c r="J956" i="5"/>
  <c r="R10" i="5" l="1"/>
  <c r="S10" i="5"/>
  <c r="T10" i="5"/>
  <c r="V10" i="5"/>
  <c r="W10" i="5"/>
  <c r="U10" i="5"/>
  <c r="F3" i="5"/>
  <c r="F4" i="5" s="1"/>
  <c r="F5" i="5" s="1"/>
  <c r="X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<sst xmlns="http://schemas.openxmlformats.org/spreadsheetml/2006/main" count="4098" uniqueCount="70">
  <si>
    <t>Policy_ID</t>
  </si>
  <si>
    <t>District</t>
  </si>
  <si>
    <t>Flood_Zone</t>
  </si>
  <si>
    <t>Construction_Class</t>
  </si>
  <si>
    <t>Year_Built</t>
  </si>
  <si>
    <t>Occupancy_Type</t>
  </si>
  <si>
    <t>Number_of_Stories</t>
  </si>
  <si>
    <t>Plinth_Height_ft</t>
  </si>
  <si>
    <t>Total_Insured_Value_TIV (INR)</t>
  </si>
  <si>
    <t>Kolkata</t>
  </si>
  <si>
    <t>Hooghly</t>
  </si>
  <si>
    <t>Jalpaiguri</t>
  </si>
  <si>
    <t>Paschim Medinipur</t>
  </si>
  <si>
    <t>Malda</t>
  </si>
  <si>
    <t>South 24 Parganas</t>
  </si>
  <si>
    <t>Event_ID</t>
  </si>
  <si>
    <t>Event_Type</t>
  </si>
  <si>
    <t>Return_Period_Years</t>
  </si>
  <si>
    <t>Annual_Probability</t>
  </si>
  <si>
    <t>Max_Water_Depth_ft</t>
  </si>
  <si>
    <t>FL_001</t>
  </si>
  <si>
    <t>Coastal Cyclone Surge</t>
  </si>
  <si>
    <t>FL_002</t>
  </si>
  <si>
    <t>Severe Coastal Surge</t>
  </si>
  <si>
    <t>FL_003</t>
  </si>
  <si>
    <t>Major Riverine Overflow</t>
  </si>
  <si>
    <t>FL_004</t>
  </si>
  <si>
    <t>Seasonal Riverine</t>
  </si>
  <si>
    <t>FL_005</t>
  </si>
  <si>
    <t>Flash Flood (Hill Runoff)</t>
  </si>
  <si>
    <t>FL_006</t>
  </si>
  <si>
    <t>Severe Urban Waterlogging</t>
  </si>
  <si>
    <t>FL_007</t>
  </si>
  <si>
    <t>Dam Discharge (DVC)</t>
  </si>
  <si>
    <t>FL_008</t>
  </si>
  <si>
    <t>Cyclonic Inland Rainfall</t>
  </si>
  <si>
    <t>0 ft</t>
  </si>
  <si>
    <t>1 ft</t>
  </si>
  <si>
    <t>2 ft</t>
  </si>
  <si>
    <t>3 ft</t>
  </si>
  <si>
    <t>5 ft</t>
  </si>
  <si>
    <t>8 ft</t>
  </si>
  <si>
    <t>10 ft</t>
  </si>
  <si>
    <t>Select Event ID</t>
  </si>
  <si>
    <t>Hazard District</t>
  </si>
  <si>
    <t>Max Water Depth (ft)</t>
  </si>
  <si>
    <t>TIV</t>
  </si>
  <si>
    <t>Effective_Depth_ft</t>
  </si>
  <si>
    <t>Damage_Ratio</t>
  </si>
  <si>
    <t>Ground_Up_Loss</t>
  </si>
  <si>
    <t>Deductible_INR</t>
  </si>
  <si>
    <t>Gross_Loss</t>
  </si>
  <si>
    <t xml:space="preserve">Deductible Percentage </t>
  </si>
  <si>
    <t>XoL Retention (Insurer Pays First) :</t>
  </si>
  <si>
    <t>XoL Limit (Reinsurer Pays Next) :</t>
  </si>
  <si>
    <t>Total Portfolio Gross Loss:</t>
  </si>
  <si>
    <t>Reinsurance Recovery :</t>
  </si>
  <si>
    <t>Net Retained Loss :</t>
  </si>
  <si>
    <t>Net Retained Loss</t>
  </si>
  <si>
    <t>Event_ ID</t>
  </si>
  <si>
    <t>Rank</t>
  </si>
  <si>
    <t>Exceedance Probability</t>
  </si>
  <si>
    <t>Adobe / Light Timber</t>
  </si>
  <si>
    <t>Unreinforced Masonry</t>
  </si>
  <si>
    <t>Reinforced Concrete</t>
  </si>
  <si>
    <t>High Risk</t>
  </si>
  <si>
    <t>Industrial</t>
  </si>
  <si>
    <t>Moderate Risk</t>
  </si>
  <si>
    <t>Commercial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</si>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</sst>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0\ &quot;ft&quot;"/>
    <numFmt numFmtId="166" formatCode="&quot;₹&quot;\ 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Portfolio</a:t>
            </a:r>
            <a:r>
              <a:rPr lang="en-IN" b="1" baseline="0"/>
              <a:t> Gross Loss by Disaster Scenario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839005408929317"/>
          <c:y val="0.13258266309204647"/>
          <c:w val="0.78121753538893035"/>
          <c:h val="0.703008451021370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Simulation!$R$9</c:f>
              <c:strCache>
                <c:ptCount val="1"/>
                <c:pt idx="0">
                  <c:v>South 24 Parganas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Simulation!$R$10:$R$18</c15:sqref>
                  </c15:fullRef>
                </c:ext>
              </c:extLst>
              <c:f>Simulation!$R$11:$R$18</c:f>
              <c:numCache>
                <c:formatCode>General</c:formatCode>
                <c:ptCount val="8"/>
                <c:pt idx="0">
                  <c:v>1318578253.2499998</c:v>
                </c:pt>
                <c:pt idx="1">
                  <c:v>486787573.99999988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9-47EC-A782-B8695F38ED1E}"/>
            </c:ext>
          </c:extLst>
        </c:ser>
        <c:ser>
          <c:idx val="1"/>
          <c:order val="1"/>
          <c:tx>
            <c:strRef>
              <c:f>Simulation!$S$9</c:f>
              <c:strCache>
                <c:ptCount val="1"/>
                <c:pt idx="0">
                  <c:v>Malda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Simulation!$S$10:$S$18</c15:sqref>
                  </c15:fullRef>
                </c:ext>
              </c:extLst>
              <c:f>Simulation!$S$11:$S$18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952869803.4000001</c:v>
                </c:pt>
                <c:pt idx="3">
                  <c:v>186143163.49999997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9-47EC-A782-B8695F38ED1E}"/>
            </c:ext>
          </c:extLst>
        </c:ser>
        <c:ser>
          <c:idx val="2"/>
          <c:order val="2"/>
          <c:tx>
            <c:strRef>
              <c:f>Simulation!$T$9</c:f>
              <c:strCache>
                <c:ptCount val="1"/>
                <c:pt idx="0">
                  <c:v>Jalpaiguri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Simulation!$T$10:$T$18</c15:sqref>
                  </c15:fullRef>
                </c:ext>
              </c:extLst>
              <c:f>Simulation!$T$11:$T$18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392639297.9000001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9-47EC-A782-B8695F38ED1E}"/>
            </c:ext>
          </c:extLst>
        </c:ser>
        <c:ser>
          <c:idx val="3"/>
          <c:order val="3"/>
          <c:tx>
            <c:strRef>
              <c:f>Simulation!$U$9</c:f>
              <c:strCache>
                <c:ptCount val="1"/>
                <c:pt idx="0">
                  <c:v>Kolkata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Simulation!$U$10:$U$18</c15:sqref>
                  </c15:fullRef>
                </c:ext>
              </c:extLst>
              <c:f>Simulation!$U$11:$U$18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135211445.75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9-47EC-A782-B8695F38ED1E}"/>
            </c:ext>
          </c:extLst>
        </c:ser>
        <c:ser>
          <c:idx val="4"/>
          <c:order val="4"/>
          <c:tx>
            <c:strRef>
              <c:f>Simulation!$V$9</c:f>
              <c:strCache>
                <c:ptCount val="1"/>
                <c:pt idx="0">
                  <c:v>Hooghly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Simulation!$V$10:$V$18</c15:sqref>
                  </c15:fullRef>
                </c:ext>
              </c:extLst>
              <c:f>Simulation!$V$11:$V$18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608017423.50000024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9-47EC-A782-B8695F38ED1E}"/>
            </c:ext>
          </c:extLst>
        </c:ser>
        <c:ser>
          <c:idx val="5"/>
          <c:order val="5"/>
          <c:tx>
            <c:strRef>
              <c:f>Simulation!$W$9</c:f>
              <c:strCache>
                <c:ptCount val="1"/>
                <c:pt idx="0">
                  <c:v>Paschim Medinipur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Simulation!$Q$10:$Q$18</c15:sqref>
                  </c15:fullRef>
                </c:ext>
              </c:extLst>
              <c:f>Simulation!$Q$11:$Q$18</c:f>
              <c:strCache>
                <c:ptCount val="8"/>
                <c:pt idx="0">
                  <c:v>FL_001</c:v>
                </c:pt>
                <c:pt idx="1">
                  <c:v>FL_002</c:v>
                </c:pt>
                <c:pt idx="2">
                  <c:v>FL_003</c:v>
                </c:pt>
                <c:pt idx="3">
                  <c:v>FL_004</c:v>
                </c:pt>
                <c:pt idx="4">
                  <c:v>FL_005</c:v>
                </c:pt>
                <c:pt idx="5">
                  <c:v>FL_006</c:v>
                </c:pt>
                <c:pt idx="6">
                  <c:v>FL_007</c:v>
                </c:pt>
                <c:pt idx="7">
                  <c:v>FL_008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Simulation!$W$10:$W$18</c15:sqref>
                  </c15:fullRef>
                </c:ext>
              </c:extLst>
              <c:f>Simulation!$W$11:$W$18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332234421.59999996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39-47EC-A782-B8695F38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286176"/>
        <c:axId val="1092998384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Simulation!$X$9</c15:sqref>
                        </c15:formulaRef>
                      </c:ext>
                    </c:extLst>
                    <c:strCache>
                      <c:ptCount val="1"/>
                      <c:pt idx="0">
                        <c:v>Net Retained Loss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Simulation!$Q$10:$Q$18</c15:sqref>
                        </c15:fullRef>
                        <c15:formulaRef>
                          <c15:sqref>Simulation!$Q$11:$Q$18</c15:sqref>
                        </c15:formulaRef>
                      </c:ext>
                    </c:extLst>
                    <c:strCache>
                      <c:ptCount val="8"/>
                      <c:pt idx="0">
                        <c:v>FL_001</c:v>
                      </c:pt>
                      <c:pt idx="1">
                        <c:v>FL_002</c:v>
                      </c:pt>
                      <c:pt idx="2">
                        <c:v>FL_003</c:v>
                      </c:pt>
                      <c:pt idx="3">
                        <c:v>FL_004</c:v>
                      </c:pt>
                      <c:pt idx="4">
                        <c:v>FL_005</c:v>
                      </c:pt>
                      <c:pt idx="5">
                        <c:v>FL_006</c:v>
                      </c:pt>
                      <c:pt idx="6">
                        <c:v>FL_007</c:v>
                      </c:pt>
                      <c:pt idx="7">
                        <c:v>FL_008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Simulation!$X$10:$X$18</c15:sqref>
                        </c15:fullRef>
                        <c15:formulaRef>
                          <c15:sqref>Simulation!$X$11:$X$18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1118578253.2499998</c:v>
                      </c:pt>
                      <c:pt idx="1">
                        <c:v>286787573.99999988</c:v>
                      </c:pt>
                      <c:pt idx="2">
                        <c:v>752869803.4000001</c:v>
                      </c:pt>
                      <c:pt idx="3">
                        <c:v>50000000</c:v>
                      </c:pt>
                      <c:pt idx="4">
                        <c:v>192639297.9000001</c:v>
                      </c:pt>
                      <c:pt idx="5">
                        <c:v>50000000</c:v>
                      </c:pt>
                      <c:pt idx="6">
                        <c:v>408017423.50000024</c:v>
                      </c:pt>
                      <c:pt idx="7">
                        <c:v>132234421.59999996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939-47EC-A782-B8695F38ED1E}"/>
                  </c:ext>
                </c:extLst>
              </c15:ser>
            </c15:filteredBarSeries>
          </c:ext>
        </c:extLst>
      </c:barChart>
      <c:catAx>
        <c:axId val="75286176"/>
        <c:scaling>
          <c:orientation val="minMax"/>
        </c:scaling>
        <c:delete val="0"/>
        <c:axPos val="b"/>
        <c:numFmt formatCode="&quot;₹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98384"/>
        <c:crosses val="autoZero"/>
        <c:auto val="1"/>
        <c:lblAlgn val="ctr"/>
        <c:lblOffset val="100"/>
        <c:noMultiLvlLbl val="0"/>
      </c:catAx>
      <c:valAx>
        <c:axId val="1092998384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617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5380883017048488E-2"/>
                <c:y val="0.3615277983013517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Exceedance Probability (EP Curve)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Simulation!$AC$9</c:f>
              <c:strCache>
                <c:ptCount val="1"/>
                <c:pt idx="0">
                  <c:v>Exceedance Probability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Simulation!$AB$10:$AB$17</c:f>
              <c:numCache>
                <c:formatCode>General</c:formatCode>
                <c:ptCount val="8"/>
                <c:pt idx="0">
                  <c:v>1118578253.2499998</c:v>
                </c:pt>
                <c:pt idx="1">
                  <c:v>752869803.4000001</c:v>
                </c:pt>
                <c:pt idx="2">
                  <c:v>408017423.50000024</c:v>
                </c:pt>
                <c:pt idx="3">
                  <c:v>286787573.99999988</c:v>
                </c:pt>
                <c:pt idx="4">
                  <c:v>192639297.9000001</c:v>
                </c:pt>
                <c:pt idx="5">
                  <c:v>132234421.59999996</c:v>
                </c:pt>
                <c:pt idx="6">
                  <c:v>50000000</c:v>
                </c:pt>
                <c:pt idx="7">
                  <c:v>50000000</c:v>
                </c:pt>
              </c:numCache>
            </c:numRef>
          </c:xVal>
          <c:yVal>
            <c:numRef>
              <c:f>Simulation!$AC$10:$AC$17</c:f>
              <c:numCache>
                <c:formatCode>0%</c:formatCode>
                <c:ptCount val="8"/>
                <c:pt idx="0">
                  <c:v>0.1111111111111111</c:v>
                </c:pt>
                <c:pt idx="1">
                  <c:v>0.22222222222222221</c:v>
                </c:pt>
                <c:pt idx="2">
                  <c:v>0.33333333333333331</c:v>
                </c:pt>
                <c:pt idx="3">
                  <c:v>0.44444444444444442</c:v>
                </c:pt>
                <c:pt idx="4">
                  <c:v>0.55555555555555558</c:v>
                </c:pt>
                <c:pt idx="5">
                  <c:v>0.66666666666666663</c:v>
                </c:pt>
                <c:pt idx="6">
                  <c:v>0.77777777777777779</c:v>
                </c:pt>
                <c:pt idx="7">
                  <c:v>0.88888888888888884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0-46F4-90CD-8DDF9CFC5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289263"/>
        <c:axId val="902978863"/>
      </c:scatterChart>
      <c:valAx>
        <c:axId val="890289263"/>
        <c:scaling>
          <c:orientation val="minMax"/>
        </c:scaling>
        <c:delete val="0"/>
        <c:axPos val="b"/>
        <c:numFmt formatCode="&quot;₹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978863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0.45952211932057724"/>
                <c:y val="0.89256926217556143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N" b="1"/>
                    <a:t>Loss (in Millions </a:t>
                  </a:r>
                  <a:r>
                    <a:rPr lang="en-IN" sz="1000" b="1" i="0" u="none" strike="noStrike" baseline="0"/>
                    <a:t>₹)</a:t>
                  </a:r>
                  <a:endParaRPr lang="en-IN" b="1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9029788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89263"/>
        <c:crosses val="autoZero"/>
        <c:crossBetween val="midCat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3</xdr:row>
      <xdr:rowOff>63500</xdr:rowOff>
    </xdr:from>
    <xdr:to>
      <xdr:col>14</xdr:col>
      <xdr:colOff>558800</xdr:colOff>
      <xdr:row>15</xdr:row>
      <xdr:rowOff>88900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7FAAC54D-9546-5679-4BB3-E9EB41F4C185}"/>
            </a:ext>
          </a:extLst>
        </xdr:cNvPr>
        <xdr:cNvSpPr/>
      </xdr:nvSpPr>
      <xdr:spPr>
        <a:xfrm>
          <a:off x="13195300" y="596900"/>
          <a:ext cx="3492500" cy="2159000"/>
        </a:xfrm>
        <a:prstGeom prst="cloudCallou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396240</xdr:colOff>
      <xdr:row>5</xdr:row>
      <xdr:rowOff>129540</xdr:rowOff>
    </xdr:from>
    <xdr:to>
      <xdr:col>14</xdr:col>
      <xdr:colOff>76200</xdr:colOff>
      <xdr:row>11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709A41-3D5A-05C1-700A-4D18E3196EE7}"/>
            </a:ext>
          </a:extLst>
        </xdr:cNvPr>
        <xdr:cNvSpPr txBox="1"/>
      </xdr:nvSpPr>
      <xdr:spPr>
        <a:xfrm>
          <a:off x="13477240" y="1018540"/>
          <a:ext cx="2727960" cy="1102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</a:t>
          </a:r>
          <a:r>
            <a:rPr lang="en-IN" sz="1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: </a:t>
          </a:r>
        </a:p>
        <a:p>
          <a:pPr algn="ctr"/>
          <a:r>
            <a:rPr lang="en-IN" sz="11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Synthetic Data generated using Dynamic Arrays (SEQUENCE, CHOOSE, NORM.INV) in the Data_Prep tab, hardcoded here for model stability</a:t>
          </a:r>
        </a:p>
        <a:p>
          <a:pPr algn="ctr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438149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98DAD-E907-46F8-9C68-9B7934EAB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1</xdr:row>
      <xdr:rowOff>0</xdr:rowOff>
    </xdr:from>
    <xdr:to>
      <xdr:col>23</xdr:col>
      <xdr:colOff>19050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3E47D-4132-428B-A252-E8109D760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FA47C-7F53-411B-A4FA-10A325825214}" name="Exposure_Data" displayName="Exposure_Data" ref="A1:I1001" totalsRowShown="0" headerRowDxfId="37" dataDxfId="35" headerRowBorderDxfId="36" tableBorderDxfId="34" totalsRowBorderDxfId="33">
  <autoFilter ref="A1:I1001" xr:uid="{54DFA47C-7F53-411B-A4FA-10A325825214}"/>
  <sortState xmlns:xlrd2="http://schemas.microsoft.com/office/spreadsheetml/2017/richdata2" ref="A2:I1001">
    <sortCondition ref="A1:A1001"/>
  </sortState>
  <tableColumns count="9">
    <tableColumn id="1" xr3:uid="{105972C1-F2CB-4617-AD66-0A044ABB564F}" name="Policy_ID" dataDxfId="32"/>
    <tableColumn id="2" xr3:uid="{51F7CB7A-90E7-4436-9A38-0EA23EEF1456}" name="District" dataDxfId="31"/>
    <tableColumn id="3" xr3:uid="{DDDA99E9-E1B4-40A8-B06B-E6A689267B5F}" name="Flood_Zone" dataDxfId="30"/>
    <tableColumn id="4" xr3:uid="{D952E99F-DD0A-4BEF-8CD4-069DFB5E4F39}" name="Occupancy_Type" dataDxfId="29"/>
    <tableColumn id="5" xr3:uid="{A3D43FC8-68CA-4E51-92D6-3B9820E62A29}" name="Construction_Class" dataDxfId="28"/>
    <tableColumn id="6" xr3:uid="{0419785B-9B61-4BB8-B17E-4AFEC5FAB7B8}" name="Year_Built" dataDxfId="27"/>
    <tableColumn id="7" xr3:uid="{DE63D083-DD59-4079-9DC5-6FB58BA80399}" name="Number_of_Stories" dataDxfId="26"/>
    <tableColumn id="8" xr3:uid="{75F3F83E-E056-4390-9F4E-B968799F7770}" name="Plinth_Height_ft" dataDxfId="25"/>
    <tableColumn id="9" xr3:uid="{B12F5092-4062-4916-9414-CD8A2192538B}" name="Total_Insured_Value_TIV (INR)" dataDxfId="2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6785BD-F4B2-4336-818C-29D7AAA025F6}" name="tbl_Hazard" displayName="tbl_Hazard" ref="A1:F9" totalsRowShown="0" headerRowDxfId="23" dataDxfId="21" headerRowBorderDxfId="22" tableBorderDxfId="20" totalsRowBorderDxfId="19">
  <autoFilter ref="A1:F9" xr:uid="{C26785BD-F4B2-4336-818C-29D7AAA025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4171AC7-E4BC-4AC5-B864-B051649728F0}" name="Event_ID" dataDxfId="18"/>
    <tableColumn id="2" xr3:uid="{0E877499-8C62-440C-B0D7-B20F9848D8A7}" name="District" dataDxfId="17"/>
    <tableColumn id="3" xr3:uid="{C9EA91DE-9185-418D-9156-D5ECD6329D96}" name="Event_Type" dataDxfId="16"/>
    <tableColumn id="4" xr3:uid="{EBF51FE5-C654-4D69-9A56-8925175E5AB3}" name="Return_Period_Years" dataDxfId="15"/>
    <tableColumn id="5" xr3:uid="{69C43678-B025-449E-9F60-6D23AE6A4843}" name="Annual_Probability" dataDxfId="14">
      <calculatedColumnFormula>1/D2</calculatedColumnFormula>
    </tableColumn>
    <tableColumn id="6" xr3:uid="{21102E4D-201E-4867-B5E4-9D106085FB57}" name="Max_Water_Depth_ft" dataDxfId="1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45444D-B73A-4371-B891-DF6B94FA93FD}" name="tbl_Vulnerability" displayName="tbl_Vulnerability" ref="A1:H4" totalsRowShown="0" headerRowDxfId="12" dataDxfId="10" headerRowBorderDxfId="11" tableBorderDxfId="9" totalsRowBorderDxfId="8">
  <autoFilter ref="A1:H4" xr:uid="{0245444D-B73A-4371-B891-DF6B94FA9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C1687C2-9348-4726-8E88-BCCFF8B7E233}" name="Construction_Class" dataDxfId="7"/>
    <tableColumn id="2" xr3:uid="{0E9F0690-AAE0-4E74-A3A1-1065E0C512F3}" name="0 ft" dataDxfId="6"/>
    <tableColumn id="3" xr3:uid="{57AF2B89-8563-4D01-B200-65A1EB4B9751}" name="1 ft" dataDxfId="5"/>
    <tableColumn id="4" xr3:uid="{682069E1-74A6-44A8-9638-842915AD7A09}" name="2 ft" dataDxfId="4"/>
    <tableColumn id="5" xr3:uid="{DED5DFF7-6621-42EC-8384-270004F1BA77}" name="3 ft" dataDxfId="3"/>
    <tableColumn id="6" xr3:uid="{D931F789-E65D-471E-9365-D27CEE5B5276}" name="5 ft" dataDxfId="2"/>
    <tableColumn id="7" xr3:uid="{437B15DB-3842-401E-BA32-B086A744C9F4}" name="8 ft" dataDxfId="1"/>
    <tableColumn id="8" xr3:uid="{1216C221-51A4-4FA7-A373-1020173F630D}" name="10 f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E1EA-A410-4CF3-97E9-9FC91F813B89}">
  <dimension ref="A1:I1001"/>
  <sheetViews>
    <sheetView showGridLines="0" workbookViewId="0">
      <selection activeCell="E2" sqref="E2"/>
    </sheetView>
  </sheetViews>
  <sheetFormatPr defaultRowHeight="14.4"/>
  <cols>
    <col min="2" max="2" width="16.44140625" bestFit="1" customWidth="1"/>
    <col min="3" max="3" width="12.33203125" bestFit="1" customWidth="1"/>
    <col min="4" max="4" width="14.6640625" bestFit="1" customWidth="1"/>
    <col min="5" max="5" width="20.6640625" bestFit="1" customWidth="1"/>
    <col min="6" max="6" width="9" bestFit="1" customWidth="1"/>
    <col min="7" max="7" width="16.33203125" bestFit="1" customWidth="1"/>
    <col min="8" max="8" width="16.33203125" customWidth="1"/>
    <col min="9" max="9" width="24.88671875" bestFit="1" customWidth="1"/>
    <col min="12" max="12" width="10.44140625" bestFit="1" customWidth="1"/>
  </cols>
  <sheetData>
    <row r="1" spans="1:9">
      <c r="A1" s="10" t="s">
        <v>0</v>
      </c>
      <c r="B1" s="10" t="s">
        <v>1</v>
      </c>
      <c r="C1" s="10" t="s">
        <v>2</v>
      </c>
      <c r="D1" s="10" t="s">
        <v>5</v>
      </c>
      <c r="E1" s="10" t="s">
        <v>3</v>
      </c>
      <c r="F1" s="10" t="s">
        <v>4</v>
      </c>
      <c r="G1" s="10" t="s">
        <v>6</v>
      </c>
      <c r="H1" s="10" t="s">
        <v>7</v>
      </c>
      <c r="I1" s="10" t="s">
        <v>8</v>
      </c>
    </row>
    <row r="2" spans="1:9">
      <c r="A2" s="1" cm="1">
        <f t="array" ref="A2:A1001">_xlfn.SEQUENCE(1000, 1, 10000001, 1)</f>
        <v>10000001</v>
      </c>
      <c r="B2" s="3" t="str">
        <f ca="1">CHOOSE(RANDBETWEEN(1, 6),"South 24 Parganas", "Malda", "Jalpaiguri","Kolkata","Hooghly","Paschim Medinipur")</f>
        <v>South 24 Parganas</v>
      </c>
      <c r="C2" s="3" t="str">
        <f ca="1">IF(OR(B2 = "South 24 Parganas", B2 = "Malda", B2 = "Jalpaiguri"), "High Risk", "Moderate Risk")</f>
        <v>High Risk</v>
      </c>
      <c r="D2" s="3" t="str">
        <f ca="1">CHOOSE(RANDBETWEEN(1, 3), "Residential","Commercial","Industrial")</f>
        <v>Commercial</v>
      </c>
      <c r="E2" s="3" t="str" cm="1">
        <f t="array" aca="1" ref="E2" ca="1">_xlfn.IFS(D2="Industrial", "Reinforced Concrete", D2 = "Commercial", CHOOSE(RANDBETWEEN(1, 2), "Reinforced Concrete", "Unreinforced Masonry"), D2 = "Residential", CHOOSE(RANDBETWEEN(1, 3), "Reinforced Concrete", "Unreinforced Masonry", "Adobe / Light Timber"))</f>
        <v>Unreinforced Masonry</v>
      </c>
      <c r="F2" s="3">
        <f ca="1">RANDBETWEEN(1980, 2024)</f>
        <v>1991</v>
      </c>
      <c r="G2" s="3">
        <f ca="1">IF(E2 = "Adobe / Light Timber", 1, RANDBETWEEN(1, 5))</f>
        <v>5</v>
      </c>
      <c r="H2" s="2">
        <f ca="1">IF(E2="Reinforced Concrete",RANDBETWEEN(3, 5),RANDBETWEEN(0,2))</f>
        <v>0</v>
      </c>
      <c r="I2" s="4">
        <f ca="1">MAX(200000, _xlfn.IFS(D2 = "Industrial", ROUND(_xlfn.NORM.INV(RAND(), 50000000, 10000000), 0), D2 = "Commercial",ROUND(_xlfn.NORM.INV(RAND(), 15000000, 5000000), 0),E2 = "Adobe / Light Timber", ROUND(_xlfn.NORM.INV(RAND(), 500000, 100000), 0),TRUE, ROUND(_xlfn.NORM.INV(RAND(), 4000000, 1500000), 0)))</f>
        <v>19578705</v>
      </c>
    </row>
    <row r="3" spans="1:9">
      <c r="A3" s="1">
        <v>10000002</v>
      </c>
      <c r="B3" s="3" t="str">
        <f t="shared" ref="B3:B66" ca="1" si="0">CHOOSE(RANDBETWEEN(1, 6),"South 24 Parganas", "Malda", "Jalpaiguri","Kolkata","Hooghly","Paschim Medinipur")</f>
        <v>South 24 Parganas</v>
      </c>
      <c r="C3" s="3" t="str">
        <f t="shared" ref="C3:C66" ca="1" si="1">IF(OR(B3 = "South 24 Parganas", B3 = "Malda", B3 = "Jalpaiguri"), "High Risk", "Moderate Risk")</f>
        <v>High Risk</v>
      </c>
      <c r="D3" s="3" t="str">
        <f t="shared" ref="D3:D66" ca="1" si="2">CHOOSE(RANDBETWEEN(1, 3), "Residential","Commercial","Industrial")</f>
        <v>Industrial</v>
      </c>
      <c r="E3" s="3" t="str" cm="1">
        <f t="array" aca="1" ref="E3" ca="1">_xlfn.IFS(D3="Industrial", "Reinforced Concrete", D3 = "Commercial", CHOOSE(RANDBETWEEN(1, 2), "Reinforced Concrete", "Unreinforced Masonry"), D3 = "Residential", CHOOSE(RANDBETWEEN(1, 3), "Reinforced Concrete", "Unreinforced Masonry", "Adobe / Light Timber"))</f>
        <v>Reinforced Concrete</v>
      </c>
      <c r="F3" s="3">
        <f t="shared" ref="F3:F66" ca="1" si="3">RANDBETWEEN(1980, 2024)</f>
        <v>2000</v>
      </c>
      <c r="G3" s="3">
        <f t="shared" ref="G3:G66" ca="1" si="4">IF(E3 = "Adobe / Light Timber", 1, RANDBETWEEN(1, 5))</f>
        <v>4</v>
      </c>
      <c r="H3" s="2">
        <f t="shared" ref="H3:H66" ca="1" si="5">IF(E3="Reinforced Concrete",RANDBETWEEN(3, 5),RANDBETWEEN(0,2))</f>
        <v>5</v>
      </c>
      <c r="I3" s="4">
        <f t="shared" ref="I3:I66" ca="1" si="6">MAX(200000, _xlfn.IFS(D3 = "Industrial", ROUND(_xlfn.NORM.INV(RAND(), 50000000, 10000000), 0), D3 = "Commercial",ROUND(_xlfn.NORM.INV(RAND(), 15000000, 5000000), 0),E3 = "Adobe / Light Timber", ROUND(_xlfn.NORM.INV(RAND(), 500000, 100000), 0),TRUE, ROUND(_xlfn.NORM.INV(RAND(), 4000000, 1500000), 0)))</f>
        <v>61701916</v>
      </c>
    </row>
    <row r="4" spans="1:9">
      <c r="A4" s="1">
        <v>10000003</v>
      </c>
      <c r="B4" s="3" t="str">
        <f t="shared" ca="1" si="0"/>
        <v>Paschim Medinipur</v>
      </c>
      <c r="C4" s="3" t="str">
        <f t="shared" ca="1" si="1"/>
        <v>Moderate Risk</v>
      </c>
      <c r="D4" s="3" t="str">
        <f t="shared" ca="1" si="2"/>
        <v>Commercial</v>
      </c>
      <c r="E4" s="3" t="str" cm="1">
        <f t="array" aca="1" ref="E4" ca="1">_xlfn.IFS(D4="Industrial", "Reinforced Concrete", D4 = "Commercial", CHOOSE(RANDBETWEEN(1, 2), "Reinforced Concrete", "Unreinforced Masonry"), D4 = "Residential", CHOOSE(RANDBETWEEN(1, 3), "Reinforced Concrete", "Unreinforced Masonry", "Adobe / Light Timber"))</f>
        <v>Reinforced Concrete</v>
      </c>
      <c r="F4" s="3">
        <f t="shared" ca="1" si="3"/>
        <v>2010</v>
      </c>
      <c r="G4" s="3">
        <f t="shared" ca="1" si="4"/>
        <v>1</v>
      </c>
      <c r="H4" s="2">
        <f t="shared" ca="1" si="5"/>
        <v>3</v>
      </c>
      <c r="I4" s="4">
        <f t="shared" ca="1" si="6"/>
        <v>15956730</v>
      </c>
    </row>
    <row r="5" spans="1:9">
      <c r="A5" s="1">
        <v>10000004</v>
      </c>
      <c r="B5" s="3" t="str">
        <f t="shared" ca="1" si="0"/>
        <v>Jalpaiguri</v>
      </c>
      <c r="C5" s="3" t="str">
        <f t="shared" ca="1" si="1"/>
        <v>High Risk</v>
      </c>
      <c r="D5" s="3" t="str">
        <f t="shared" ca="1" si="2"/>
        <v>Residential</v>
      </c>
      <c r="E5" s="3" t="str" cm="1">
        <f t="array" aca="1" ref="E5" ca="1">_xlfn.IFS(D5="Industrial", "Reinforced Concrete", D5 = "Commercial", CHOOSE(RANDBETWEEN(1, 2), "Reinforced Concrete", "Unreinforced Masonry"), D5 = "Residential", CHOOSE(RANDBETWEEN(1, 3), "Reinforced Concrete", "Unreinforced Masonry", "Adobe / Light Timber"))</f>
        <v>Unreinforced Masonry</v>
      </c>
      <c r="F5" s="3">
        <f t="shared" ca="1" si="3"/>
        <v>2021</v>
      </c>
      <c r="G5" s="3">
        <f t="shared" ca="1" si="4"/>
        <v>4</v>
      </c>
      <c r="H5" s="2">
        <f t="shared" ca="1" si="5"/>
        <v>2</v>
      </c>
      <c r="I5" s="4">
        <f t="shared" ca="1" si="6"/>
        <v>5415356</v>
      </c>
    </row>
    <row r="6" spans="1:9">
      <c r="A6" s="1">
        <v>10000005</v>
      </c>
      <c r="B6" s="3" t="str">
        <f t="shared" ca="1" si="0"/>
        <v>Hooghly</v>
      </c>
      <c r="C6" s="3" t="str">
        <f t="shared" ca="1" si="1"/>
        <v>Moderate Risk</v>
      </c>
      <c r="D6" s="3" t="str">
        <f t="shared" ca="1" si="2"/>
        <v>Industrial</v>
      </c>
      <c r="E6" s="3" t="str" cm="1">
        <f t="array" aca="1" ref="E6" ca="1">_xlfn.IFS(D6="Industrial", "Reinforced Concrete", D6 = "Commercial", CHOOSE(RANDBETWEEN(1, 2), "Reinforced Concrete", "Unreinforced Masonry"), D6 = "Residential", CHOOSE(RANDBETWEEN(1, 3), "Reinforced Concrete", "Unreinforced Masonry", "Adobe / Light Timber"))</f>
        <v>Reinforced Concrete</v>
      </c>
      <c r="F6" s="3">
        <f t="shared" ca="1" si="3"/>
        <v>1998</v>
      </c>
      <c r="G6" s="3">
        <f t="shared" ca="1" si="4"/>
        <v>1</v>
      </c>
      <c r="H6" s="2">
        <f t="shared" ca="1" si="5"/>
        <v>5</v>
      </c>
      <c r="I6" s="4">
        <f t="shared" ca="1" si="6"/>
        <v>60002222</v>
      </c>
    </row>
    <row r="7" spans="1:9">
      <c r="A7" s="1">
        <v>10000006</v>
      </c>
      <c r="B7" s="3" t="str">
        <f t="shared" ca="1" si="0"/>
        <v>Hooghly</v>
      </c>
      <c r="C7" s="3" t="str">
        <f t="shared" ca="1" si="1"/>
        <v>Moderate Risk</v>
      </c>
      <c r="D7" s="3" t="str">
        <f t="shared" ca="1" si="2"/>
        <v>Industrial</v>
      </c>
      <c r="E7" s="3" t="str" cm="1">
        <f t="array" aca="1" ref="E7" ca="1">_xlfn.IFS(D7="Industrial", "Reinforced Concrete", D7 = "Commercial", CHOOSE(RANDBETWEEN(1, 2), "Reinforced Concrete", "Unreinforced Masonry"), D7 = "Residential", CHOOSE(RANDBETWEEN(1, 3), "Reinforced Concrete", "Unreinforced Masonry", "Adobe / Light Timber"))</f>
        <v>Reinforced Concrete</v>
      </c>
      <c r="F7" s="3">
        <f t="shared" ca="1" si="3"/>
        <v>1983</v>
      </c>
      <c r="G7" s="3">
        <f t="shared" ca="1" si="4"/>
        <v>4</v>
      </c>
      <c r="H7" s="2">
        <f t="shared" ca="1" si="5"/>
        <v>5</v>
      </c>
      <c r="I7" s="4">
        <f t="shared" ca="1" si="6"/>
        <v>54813863</v>
      </c>
    </row>
    <row r="8" spans="1:9">
      <c r="A8" s="1">
        <v>10000007</v>
      </c>
      <c r="B8" s="3" t="str">
        <f t="shared" ca="1" si="0"/>
        <v>Jalpaiguri</v>
      </c>
      <c r="C8" s="3" t="str">
        <f t="shared" ca="1" si="1"/>
        <v>High Risk</v>
      </c>
      <c r="D8" s="3" t="str">
        <f t="shared" ca="1" si="2"/>
        <v>Industrial</v>
      </c>
      <c r="E8" s="3" t="str" cm="1">
        <f t="array" aca="1" ref="E8" ca="1">_xlfn.IFS(D8="Industrial", "Reinforced Concrete", D8 = "Commercial", CHOOSE(RANDBETWEEN(1, 2), "Reinforced Concrete", "Unreinforced Masonry"), D8 = "Residential", CHOOSE(RANDBETWEEN(1, 3), "Reinforced Concrete", "Unreinforced Masonry", "Adobe / Light Timber"))</f>
        <v>Reinforced Concrete</v>
      </c>
      <c r="F8" s="3">
        <f t="shared" ca="1" si="3"/>
        <v>1990</v>
      </c>
      <c r="G8" s="3">
        <f t="shared" ca="1" si="4"/>
        <v>2</v>
      </c>
      <c r="H8" s="2">
        <f t="shared" ca="1" si="5"/>
        <v>4</v>
      </c>
      <c r="I8" s="4">
        <f t="shared" ca="1" si="6"/>
        <v>78745668</v>
      </c>
    </row>
    <row r="9" spans="1:9">
      <c r="A9" s="1">
        <v>10000008</v>
      </c>
      <c r="B9" s="3" t="str">
        <f t="shared" ca="1" si="0"/>
        <v>Paschim Medinipur</v>
      </c>
      <c r="C9" s="3" t="str">
        <f t="shared" ca="1" si="1"/>
        <v>Moderate Risk</v>
      </c>
      <c r="D9" s="3" t="str">
        <f t="shared" ca="1" si="2"/>
        <v>Commercial</v>
      </c>
      <c r="E9" s="3" t="str" cm="1">
        <f t="array" aca="1" ref="E9" ca="1">_xlfn.IFS(D9="Industrial", "Reinforced Concrete", D9 = "Commercial", CHOOSE(RANDBETWEEN(1, 2), "Reinforced Concrete", "Unreinforced Masonry"), D9 = "Residential", CHOOSE(RANDBETWEEN(1, 3), "Reinforced Concrete", "Unreinforced Masonry", "Adobe / Light Timber"))</f>
        <v>Reinforced Concrete</v>
      </c>
      <c r="F9" s="3">
        <f t="shared" ca="1" si="3"/>
        <v>2021</v>
      </c>
      <c r="G9" s="3">
        <f t="shared" ca="1" si="4"/>
        <v>1</v>
      </c>
      <c r="H9" s="2">
        <f t="shared" ca="1" si="5"/>
        <v>4</v>
      </c>
      <c r="I9" s="4">
        <f t="shared" ca="1" si="6"/>
        <v>20093587</v>
      </c>
    </row>
    <row r="10" spans="1:9">
      <c r="A10" s="1">
        <v>10000009</v>
      </c>
      <c r="B10" s="3" t="str">
        <f t="shared" ca="1" si="0"/>
        <v>Paschim Medinipur</v>
      </c>
      <c r="C10" s="3" t="str">
        <f t="shared" ca="1" si="1"/>
        <v>Moderate Risk</v>
      </c>
      <c r="D10" s="3" t="str">
        <f t="shared" ca="1" si="2"/>
        <v>Residential</v>
      </c>
      <c r="E10" s="3" t="str" cm="1">
        <f t="array" aca="1" ref="E10" ca="1">_xlfn.IFS(D10="Industrial", "Reinforced Concrete", D10 = "Commercial", CHOOSE(RANDBETWEEN(1, 2), "Reinforced Concrete", "Unreinforced Masonry"), D10 = "Residential", CHOOSE(RANDBETWEEN(1, 3), "Reinforced Concrete", "Unreinforced Masonry", "Adobe / Light Timber"))</f>
        <v>Unreinforced Masonry</v>
      </c>
      <c r="F10" s="3">
        <f t="shared" ca="1" si="3"/>
        <v>2023</v>
      </c>
      <c r="G10" s="3">
        <f t="shared" ca="1" si="4"/>
        <v>1</v>
      </c>
      <c r="H10" s="2">
        <f t="shared" ca="1" si="5"/>
        <v>0</v>
      </c>
      <c r="I10" s="4">
        <f t="shared" ca="1" si="6"/>
        <v>2018123</v>
      </c>
    </row>
    <row r="11" spans="1:9">
      <c r="A11" s="1">
        <v>10000010</v>
      </c>
      <c r="B11" s="3" t="str">
        <f t="shared" ca="1" si="0"/>
        <v>Kolkata</v>
      </c>
      <c r="C11" s="3" t="str">
        <f t="shared" ca="1" si="1"/>
        <v>Moderate Risk</v>
      </c>
      <c r="D11" s="3" t="str">
        <f t="shared" ca="1" si="2"/>
        <v>Commercial</v>
      </c>
      <c r="E11" s="3" t="str" cm="1">
        <f t="array" aca="1" ref="E11" ca="1">_xlfn.IFS(D11="Industrial", "Reinforced Concrete", D11 = "Commercial", CHOOSE(RANDBETWEEN(1, 2), "Reinforced Concrete", "Unreinforced Masonry"), D11 = "Residential", CHOOSE(RANDBETWEEN(1, 3), "Reinforced Concrete", "Unreinforced Masonry", "Adobe / Light Timber"))</f>
        <v>Unreinforced Masonry</v>
      </c>
      <c r="F11" s="3">
        <f t="shared" ca="1" si="3"/>
        <v>2022</v>
      </c>
      <c r="G11" s="3">
        <f t="shared" ca="1" si="4"/>
        <v>3</v>
      </c>
      <c r="H11" s="2">
        <f t="shared" ca="1" si="5"/>
        <v>2</v>
      </c>
      <c r="I11" s="4">
        <f t="shared" ca="1" si="6"/>
        <v>9429760</v>
      </c>
    </row>
    <row r="12" spans="1:9">
      <c r="A12" s="1">
        <v>10000011</v>
      </c>
      <c r="B12" s="3" t="str">
        <f t="shared" ca="1" si="0"/>
        <v>South 24 Parganas</v>
      </c>
      <c r="C12" s="3" t="str">
        <f t="shared" ca="1" si="1"/>
        <v>High Risk</v>
      </c>
      <c r="D12" s="3" t="str">
        <f t="shared" ca="1" si="2"/>
        <v>Commercial</v>
      </c>
      <c r="E12" s="3" t="str" cm="1">
        <f t="array" aca="1" ref="E12" ca="1">_xlfn.IFS(D12="Industrial", "Reinforced Concrete", D12 = "Commercial", CHOOSE(RANDBETWEEN(1, 2), "Reinforced Concrete", "Unreinforced Masonry"), D12 = "Residential", CHOOSE(RANDBETWEEN(1, 3), "Reinforced Concrete", "Unreinforced Masonry", "Adobe / Light Timber"))</f>
        <v>Unreinforced Masonry</v>
      </c>
      <c r="F12" s="3">
        <f t="shared" ca="1" si="3"/>
        <v>2011</v>
      </c>
      <c r="G12" s="3">
        <f t="shared" ca="1" si="4"/>
        <v>3</v>
      </c>
      <c r="H12" s="2">
        <f t="shared" ca="1" si="5"/>
        <v>1</v>
      </c>
      <c r="I12" s="4">
        <f t="shared" ca="1" si="6"/>
        <v>16122044</v>
      </c>
    </row>
    <row r="13" spans="1:9">
      <c r="A13" s="1">
        <v>10000012</v>
      </c>
      <c r="B13" s="3" t="str">
        <f t="shared" ca="1" si="0"/>
        <v>Malda</v>
      </c>
      <c r="C13" s="3" t="str">
        <f t="shared" ca="1" si="1"/>
        <v>High Risk</v>
      </c>
      <c r="D13" s="3" t="str">
        <f t="shared" ca="1" si="2"/>
        <v>Residential</v>
      </c>
      <c r="E13" s="3" t="str" cm="1">
        <f t="array" aca="1" ref="E13" ca="1">_xlfn.IFS(D13="Industrial", "Reinforced Concrete", D13 = "Commercial", CHOOSE(RANDBETWEEN(1, 2), "Reinforced Concrete", "Unreinforced Masonry"), D13 = "Residential", CHOOSE(RANDBETWEEN(1, 3), "Reinforced Concrete", "Unreinforced Masonry", "Adobe / Light Timber"))</f>
        <v>Adobe / Light Timber</v>
      </c>
      <c r="F13" s="3">
        <f t="shared" ca="1" si="3"/>
        <v>1982</v>
      </c>
      <c r="G13" s="3">
        <f t="shared" ca="1" si="4"/>
        <v>1</v>
      </c>
      <c r="H13" s="2">
        <f t="shared" ca="1" si="5"/>
        <v>1</v>
      </c>
      <c r="I13" s="4">
        <f t="shared" ca="1" si="6"/>
        <v>407361</v>
      </c>
    </row>
    <row r="14" spans="1:9">
      <c r="A14" s="1">
        <v>10000013</v>
      </c>
      <c r="B14" s="3" t="str">
        <f t="shared" ca="1" si="0"/>
        <v>Paschim Medinipur</v>
      </c>
      <c r="C14" s="3" t="str">
        <f t="shared" ca="1" si="1"/>
        <v>Moderate Risk</v>
      </c>
      <c r="D14" s="3" t="str">
        <f t="shared" ca="1" si="2"/>
        <v>Commercial</v>
      </c>
      <c r="E14" s="3" t="str" cm="1">
        <f t="array" aca="1" ref="E14" ca="1">_xlfn.IFS(D14="Industrial", "Reinforced Concrete", D14 = "Commercial", CHOOSE(RANDBETWEEN(1, 2), "Reinforced Concrete", "Unreinforced Masonry"), D14 = "Residential", CHOOSE(RANDBETWEEN(1, 3), "Reinforced Concrete", "Unreinforced Masonry", "Adobe / Light Timber"))</f>
        <v>Unreinforced Masonry</v>
      </c>
      <c r="F14" s="3">
        <f t="shared" ca="1" si="3"/>
        <v>1996</v>
      </c>
      <c r="G14" s="3">
        <f t="shared" ca="1" si="4"/>
        <v>5</v>
      </c>
      <c r="H14" s="2">
        <f t="shared" ca="1" si="5"/>
        <v>2</v>
      </c>
      <c r="I14" s="4">
        <f t="shared" ca="1" si="6"/>
        <v>15853722</v>
      </c>
    </row>
    <row r="15" spans="1:9">
      <c r="A15" s="1">
        <v>10000014</v>
      </c>
      <c r="B15" s="3" t="str">
        <f t="shared" ca="1" si="0"/>
        <v>Paschim Medinipur</v>
      </c>
      <c r="C15" s="3" t="str">
        <f t="shared" ca="1" si="1"/>
        <v>Moderate Risk</v>
      </c>
      <c r="D15" s="3" t="str">
        <f t="shared" ca="1" si="2"/>
        <v>Residential</v>
      </c>
      <c r="E15" s="3" t="str" cm="1">
        <f t="array" aca="1" ref="E15" ca="1">_xlfn.IFS(D15="Industrial", "Reinforced Concrete", D15 = "Commercial", CHOOSE(RANDBETWEEN(1, 2), "Reinforced Concrete", "Unreinforced Masonry"), D15 = "Residential", CHOOSE(RANDBETWEEN(1, 3), "Reinforced Concrete", "Unreinforced Masonry", "Adobe / Light Timber"))</f>
        <v>Unreinforced Masonry</v>
      </c>
      <c r="F15" s="3">
        <f t="shared" ca="1" si="3"/>
        <v>1985</v>
      </c>
      <c r="G15" s="3">
        <f t="shared" ca="1" si="4"/>
        <v>1</v>
      </c>
      <c r="H15" s="2">
        <f t="shared" ca="1" si="5"/>
        <v>1</v>
      </c>
      <c r="I15" s="4">
        <f t="shared" ca="1" si="6"/>
        <v>2906328</v>
      </c>
    </row>
    <row r="16" spans="1:9">
      <c r="A16" s="1">
        <v>10000015</v>
      </c>
      <c r="B16" s="3" t="str">
        <f t="shared" ca="1" si="0"/>
        <v>Paschim Medinipur</v>
      </c>
      <c r="C16" s="3" t="str">
        <f t="shared" ca="1" si="1"/>
        <v>Moderate Risk</v>
      </c>
      <c r="D16" s="3" t="str">
        <f t="shared" ca="1" si="2"/>
        <v>Residential</v>
      </c>
      <c r="E16" s="3" t="str" cm="1">
        <f t="array" aca="1" ref="E16" ca="1">_xlfn.IFS(D16="Industrial", "Reinforced Concrete", D16 = "Commercial", CHOOSE(RANDBETWEEN(1, 2), "Reinforced Concrete", "Unreinforced Masonry"), D16 = "Residential", CHOOSE(RANDBETWEEN(1, 3), "Reinforced Concrete", "Unreinforced Masonry", "Adobe / Light Timber"))</f>
        <v>Unreinforced Masonry</v>
      </c>
      <c r="F16" s="3">
        <f t="shared" ca="1" si="3"/>
        <v>2024</v>
      </c>
      <c r="G16" s="3">
        <f t="shared" ca="1" si="4"/>
        <v>1</v>
      </c>
      <c r="H16" s="2">
        <f t="shared" ca="1" si="5"/>
        <v>1</v>
      </c>
      <c r="I16" s="4">
        <f t="shared" ca="1" si="6"/>
        <v>2748320</v>
      </c>
    </row>
    <row r="17" spans="1:9">
      <c r="A17" s="1">
        <v>10000016</v>
      </c>
      <c r="B17" s="3" t="str">
        <f t="shared" ca="1" si="0"/>
        <v>Malda</v>
      </c>
      <c r="C17" s="3" t="str">
        <f t="shared" ca="1" si="1"/>
        <v>High Risk</v>
      </c>
      <c r="D17" s="3" t="str">
        <f t="shared" ca="1" si="2"/>
        <v>Industrial</v>
      </c>
      <c r="E17" s="3" t="str" cm="1">
        <f t="array" aca="1" ref="E17" ca="1">_xlfn.IFS(D17="Industrial", "Reinforced Concrete", D17 = "Commercial", CHOOSE(RANDBETWEEN(1, 2), "Reinforced Concrete", "Unreinforced Masonry"), D17 = "Residential", CHOOSE(RANDBETWEEN(1, 3), "Reinforced Concrete", "Unreinforced Masonry", "Adobe / Light Timber"))</f>
        <v>Reinforced Concrete</v>
      </c>
      <c r="F17" s="3">
        <f t="shared" ca="1" si="3"/>
        <v>1996</v>
      </c>
      <c r="G17" s="3">
        <f t="shared" ca="1" si="4"/>
        <v>4</v>
      </c>
      <c r="H17" s="2">
        <f t="shared" ca="1" si="5"/>
        <v>4</v>
      </c>
      <c r="I17" s="4">
        <f t="shared" ca="1" si="6"/>
        <v>44771502</v>
      </c>
    </row>
    <row r="18" spans="1:9">
      <c r="A18" s="1">
        <v>10000017</v>
      </c>
      <c r="B18" s="3" t="str">
        <f t="shared" ca="1" si="0"/>
        <v>Jalpaiguri</v>
      </c>
      <c r="C18" s="3" t="str">
        <f t="shared" ca="1" si="1"/>
        <v>High Risk</v>
      </c>
      <c r="D18" s="3" t="str">
        <f t="shared" ca="1" si="2"/>
        <v>Industrial</v>
      </c>
      <c r="E18" s="3" t="str" cm="1">
        <f t="array" aca="1" ref="E18" ca="1">_xlfn.IFS(D18="Industrial", "Reinforced Concrete", D18 = "Commercial", CHOOSE(RANDBETWEEN(1, 2), "Reinforced Concrete", "Unreinforced Masonry"), D18 = "Residential", CHOOSE(RANDBETWEEN(1, 3), "Reinforced Concrete", "Unreinforced Masonry", "Adobe / Light Timber"))</f>
        <v>Reinforced Concrete</v>
      </c>
      <c r="F18" s="3">
        <f t="shared" ca="1" si="3"/>
        <v>2005</v>
      </c>
      <c r="G18" s="3">
        <f t="shared" ca="1" si="4"/>
        <v>4</v>
      </c>
      <c r="H18" s="2">
        <f t="shared" ca="1" si="5"/>
        <v>3</v>
      </c>
      <c r="I18" s="4">
        <f t="shared" ca="1" si="6"/>
        <v>57738826</v>
      </c>
    </row>
    <row r="19" spans="1:9">
      <c r="A19" s="1">
        <v>10000018</v>
      </c>
      <c r="B19" s="3" t="str">
        <f t="shared" ca="1" si="0"/>
        <v>Jalpaiguri</v>
      </c>
      <c r="C19" s="3" t="str">
        <f t="shared" ca="1" si="1"/>
        <v>High Risk</v>
      </c>
      <c r="D19" s="3" t="str">
        <f t="shared" ca="1" si="2"/>
        <v>Industrial</v>
      </c>
      <c r="E19" s="3" t="str" cm="1">
        <f t="array" aca="1" ref="E19" ca="1">_xlfn.IFS(D19="Industrial", "Reinforced Concrete", D19 = "Commercial", CHOOSE(RANDBETWEEN(1, 2), "Reinforced Concrete", "Unreinforced Masonry"), D19 = "Residential", CHOOSE(RANDBETWEEN(1, 3), "Reinforced Concrete", "Unreinforced Masonry", "Adobe / Light Timber"))</f>
        <v>Reinforced Concrete</v>
      </c>
      <c r="F19" s="3">
        <f t="shared" ca="1" si="3"/>
        <v>1986</v>
      </c>
      <c r="G19" s="3">
        <f t="shared" ca="1" si="4"/>
        <v>5</v>
      </c>
      <c r="H19" s="2">
        <f t="shared" ca="1" si="5"/>
        <v>4</v>
      </c>
      <c r="I19" s="4">
        <f t="shared" ca="1" si="6"/>
        <v>56983416</v>
      </c>
    </row>
    <row r="20" spans="1:9">
      <c r="A20" s="1">
        <v>10000019</v>
      </c>
      <c r="B20" s="3" t="str">
        <f t="shared" ca="1" si="0"/>
        <v>Kolkata</v>
      </c>
      <c r="C20" s="3" t="str">
        <f t="shared" ca="1" si="1"/>
        <v>Moderate Risk</v>
      </c>
      <c r="D20" s="3" t="str">
        <f t="shared" ca="1" si="2"/>
        <v>Industrial</v>
      </c>
      <c r="E20" s="3" t="str" cm="1">
        <f t="array" aca="1" ref="E20" ca="1">_xlfn.IFS(D20="Industrial", "Reinforced Concrete", D20 = "Commercial", CHOOSE(RANDBETWEEN(1, 2), "Reinforced Concrete", "Unreinforced Masonry"), D20 = "Residential", CHOOSE(RANDBETWEEN(1, 3), "Reinforced Concrete", "Unreinforced Masonry", "Adobe / Light Timber"))</f>
        <v>Reinforced Concrete</v>
      </c>
      <c r="F20" s="3">
        <f t="shared" ca="1" si="3"/>
        <v>2017</v>
      </c>
      <c r="G20" s="3">
        <f t="shared" ca="1" si="4"/>
        <v>1</v>
      </c>
      <c r="H20" s="2">
        <f t="shared" ca="1" si="5"/>
        <v>3</v>
      </c>
      <c r="I20" s="4">
        <f t="shared" ca="1" si="6"/>
        <v>41063938</v>
      </c>
    </row>
    <row r="21" spans="1:9">
      <c r="A21" s="1">
        <v>10000020</v>
      </c>
      <c r="B21" s="3" t="str">
        <f t="shared" ca="1" si="0"/>
        <v>Kolkata</v>
      </c>
      <c r="C21" s="3" t="str">
        <f t="shared" ca="1" si="1"/>
        <v>Moderate Risk</v>
      </c>
      <c r="D21" s="3" t="str">
        <f t="shared" ca="1" si="2"/>
        <v>Commercial</v>
      </c>
      <c r="E21" s="3" t="str" cm="1">
        <f t="array" aca="1" ref="E21" ca="1">_xlfn.IFS(D21="Industrial", "Reinforced Concrete", D21 = "Commercial", CHOOSE(RANDBETWEEN(1, 2), "Reinforced Concrete", "Unreinforced Masonry"), D21 = "Residential", CHOOSE(RANDBETWEEN(1, 3), "Reinforced Concrete", "Unreinforced Masonry", "Adobe / Light Timber"))</f>
        <v>Unreinforced Masonry</v>
      </c>
      <c r="F21" s="3">
        <f t="shared" ca="1" si="3"/>
        <v>2020</v>
      </c>
      <c r="G21" s="3">
        <f t="shared" ca="1" si="4"/>
        <v>4</v>
      </c>
      <c r="H21" s="2">
        <f t="shared" ca="1" si="5"/>
        <v>2</v>
      </c>
      <c r="I21" s="4">
        <f t="shared" ca="1" si="6"/>
        <v>15268886</v>
      </c>
    </row>
    <row r="22" spans="1:9">
      <c r="A22" s="1">
        <v>10000021</v>
      </c>
      <c r="B22" s="3" t="str">
        <f t="shared" ca="1" si="0"/>
        <v>Paschim Medinipur</v>
      </c>
      <c r="C22" s="3" t="str">
        <f t="shared" ca="1" si="1"/>
        <v>Moderate Risk</v>
      </c>
      <c r="D22" s="3" t="str">
        <f t="shared" ca="1" si="2"/>
        <v>Commercial</v>
      </c>
      <c r="E22" s="3" t="str" cm="1">
        <f t="array" aca="1" ref="E22" ca="1">_xlfn.IFS(D22="Industrial", "Reinforced Concrete", D22 = "Commercial", CHOOSE(RANDBETWEEN(1, 2), "Reinforced Concrete", "Unreinforced Masonry"), D22 = "Residential", CHOOSE(RANDBETWEEN(1, 3), "Reinforced Concrete", "Unreinforced Masonry", "Adobe / Light Timber"))</f>
        <v>Unreinforced Masonry</v>
      </c>
      <c r="F22" s="3">
        <f t="shared" ca="1" si="3"/>
        <v>2011</v>
      </c>
      <c r="G22" s="3">
        <f t="shared" ca="1" si="4"/>
        <v>5</v>
      </c>
      <c r="H22" s="2">
        <f t="shared" ca="1" si="5"/>
        <v>1</v>
      </c>
      <c r="I22" s="4">
        <f t="shared" ca="1" si="6"/>
        <v>15683031</v>
      </c>
    </row>
    <row r="23" spans="1:9">
      <c r="A23" s="1">
        <v>10000022</v>
      </c>
      <c r="B23" s="3" t="str">
        <f t="shared" ca="1" si="0"/>
        <v>Hooghly</v>
      </c>
      <c r="C23" s="3" t="str">
        <f t="shared" ca="1" si="1"/>
        <v>Moderate Risk</v>
      </c>
      <c r="D23" s="3" t="str">
        <f t="shared" ca="1" si="2"/>
        <v>Commercial</v>
      </c>
      <c r="E23" s="3" t="str" cm="1">
        <f t="array" aca="1" ref="E23" ca="1">_xlfn.IFS(D23="Industrial", "Reinforced Concrete", D23 = "Commercial", CHOOSE(RANDBETWEEN(1, 2), "Reinforced Concrete", "Unreinforced Masonry"), D23 = "Residential", CHOOSE(RANDBETWEEN(1, 3), "Reinforced Concrete", "Unreinforced Masonry", "Adobe / Light Timber"))</f>
        <v>Unreinforced Masonry</v>
      </c>
      <c r="F23" s="3">
        <f t="shared" ca="1" si="3"/>
        <v>1992</v>
      </c>
      <c r="G23" s="3">
        <f t="shared" ca="1" si="4"/>
        <v>1</v>
      </c>
      <c r="H23" s="2">
        <f t="shared" ca="1" si="5"/>
        <v>0</v>
      </c>
      <c r="I23" s="4">
        <f t="shared" ca="1" si="6"/>
        <v>15365676</v>
      </c>
    </row>
    <row r="24" spans="1:9">
      <c r="A24" s="1">
        <v>10000023</v>
      </c>
      <c r="B24" s="3" t="str">
        <f t="shared" ca="1" si="0"/>
        <v>South 24 Parganas</v>
      </c>
      <c r="C24" s="3" t="str">
        <f t="shared" ca="1" si="1"/>
        <v>High Risk</v>
      </c>
      <c r="D24" s="3" t="str">
        <f t="shared" ca="1" si="2"/>
        <v>Commercial</v>
      </c>
      <c r="E24" s="3" t="str" cm="1">
        <f t="array" aca="1" ref="E24" ca="1">_xlfn.IFS(D24="Industrial", "Reinforced Concrete", D24 = "Commercial", CHOOSE(RANDBETWEEN(1, 2), "Reinforced Concrete", "Unreinforced Masonry"), D24 = "Residential", CHOOSE(RANDBETWEEN(1, 3), "Reinforced Concrete", "Unreinforced Masonry", "Adobe / Light Timber"))</f>
        <v>Unreinforced Masonry</v>
      </c>
      <c r="F24" s="3">
        <f t="shared" ca="1" si="3"/>
        <v>2000</v>
      </c>
      <c r="G24" s="3">
        <f t="shared" ca="1" si="4"/>
        <v>4</v>
      </c>
      <c r="H24" s="2">
        <f t="shared" ca="1" si="5"/>
        <v>2</v>
      </c>
      <c r="I24" s="4">
        <f t="shared" ca="1" si="6"/>
        <v>17828044</v>
      </c>
    </row>
    <row r="25" spans="1:9">
      <c r="A25" s="1">
        <v>10000024</v>
      </c>
      <c r="B25" s="3" t="str">
        <f t="shared" ca="1" si="0"/>
        <v>Malda</v>
      </c>
      <c r="C25" s="3" t="str">
        <f t="shared" ca="1" si="1"/>
        <v>High Risk</v>
      </c>
      <c r="D25" s="3" t="str">
        <f t="shared" ca="1" si="2"/>
        <v>Commercial</v>
      </c>
      <c r="E25" s="3" t="str" cm="1">
        <f t="array" aca="1" ref="E25" ca="1">_xlfn.IFS(D25="Industrial", "Reinforced Concrete", D25 = "Commercial", CHOOSE(RANDBETWEEN(1, 2), "Reinforced Concrete", "Unreinforced Masonry"), D25 = "Residential", CHOOSE(RANDBETWEEN(1, 3), "Reinforced Concrete", "Unreinforced Masonry", "Adobe / Light Timber"))</f>
        <v>Unreinforced Masonry</v>
      </c>
      <c r="F25" s="3">
        <f t="shared" ca="1" si="3"/>
        <v>1981</v>
      </c>
      <c r="G25" s="3">
        <f t="shared" ca="1" si="4"/>
        <v>1</v>
      </c>
      <c r="H25" s="2">
        <f t="shared" ca="1" si="5"/>
        <v>0</v>
      </c>
      <c r="I25" s="4">
        <f t="shared" ca="1" si="6"/>
        <v>20121336</v>
      </c>
    </row>
    <row r="26" spans="1:9">
      <c r="A26" s="1">
        <v>10000025</v>
      </c>
      <c r="B26" s="3" t="str">
        <f t="shared" ca="1" si="0"/>
        <v>South 24 Parganas</v>
      </c>
      <c r="C26" s="3" t="str">
        <f t="shared" ca="1" si="1"/>
        <v>High Risk</v>
      </c>
      <c r="D26" s="3" t="str">
        <f t="shared" ca="1" si="2"/>
        <v>Industrial</v>
      </c>
      <c r="E26" s="3" t="str" cm="1">
        <f t="array" aca="1" ref="E26" ca="1">_xlfn.IFS(D26="Industrial", "Reinforced Concrete", D26 = "Commercial", CHOOSE(RANDBETWEEN(1, 2), "Reinforced Concrete", "Unreinforced Masonry"), D26 = "Residential", CHOOSE(RANDBETWEEN(1, 3), "Reinforced Concrete", "Unreinforced Masonry", "Adobe / Light Timber"))</f>
        <v>Reinforced Concrete</v>
      </c>
      <c r="F26" s="3">
        <f t="shared" ca="1" si="3"/>
        <v>1983</v>
      </c>
      <c r="G26" s="3">
        <f t="shared" ca="1" si="4"/>
        <v>5</v>
      </c>
      <c r="H26" s="2">
        <f t="shared" ca="1" si="5"/>
        <v>4</v>
      </c>
      <c r="I26" s="4">
        <f t="shared" ca="1" si="6"/>
        <v>63113906</v>
      </c>
    </row>
    <row r="27" spans="1:9">
      <c r="A27" s="1">
        <v>10000026</v>
      </c>
      <c r="B27" s="3" t="str">
        <f t="shared" ca="1" si="0"/>
        <v>Hooghly</v>
      </c>
      <c r="C27" s="3" t="str">
        <f t="shared" ca="1" si="1"/>
        <v>Moderate Risk</v>
      </c>
      <c r="D27" s="3" t="str">
        <f t="shared" ca="1" si="2"/>
        <v>Industrial</v>
      </c>
      <c r="E27" s="3" t="str" cm="1">
        <f t="array" aca="1" ref="E27" ca="1">_xlfn.IFS(D27="Industrial", "Reinforced Concrete", D27 = "Commercial", CHOOSE(RANDBETWEEN(1, 2), "Reinforced Concrete", "Unreinforced Masonry"), D27 = "Residential", CHOOSE(RANDBETWEEN(1, 3), "Reinforced Concrete", "Unreinforced Masonry", "Adobe / Light Timber"))</f>
        <v>Reinforced Concrete</v>
      </c>
      <c r="F27" s="3">
        <f t="shared" ca="1" si="3"/>
        <v>2005</v>
      </c>
      <c r="G27" s="3">
        <f t="shared" ca="1" si="4"/>
        <v>3</v>
      </c>
      <c r="H27" s="2">
        <f t="shared" ca="1" si="5"/>
        <v>5</v>
      </c>
      <c r="I27" s="4">
        <f t="shared" ca="1" si="6"/>
        <v>59851224</v>
      </c>
    </row>
    <row r="28" spans="1:9">
      <c r="A28" s="1">
        <v>10000027</v>
      </c>
      <c r="B28" s="3" t="str">
        <f t="shared" ca="1" si="0"/>
        <v>Hooghly</v>
      </c>
      <c r="C28" s="3" t="str">
        <f t="shared" ca="1" si="1"/>
        <v>Moderate Risk</v>
      </c>
      <c r="D28" s="3" t="str">
        <f t="shared" ca="1" si="2"/>
        <v>Residential</v>
      </c>
      <c r="E28" s="3" t="str" cm="1">
        <f t="array" aca="1" ref="E28" ca="1">_xlfn.IFS(D28="Industrial", "Reinforced Concrete", D28 = "Commercial", CHOOSE(RANDBETWEEN(1, 2), "Reinforced Concrete", "Unreinforced Masonry"), D28 = "Residential", CHOOSE(RANDBETWEEN(1, 3), "Reinforced Concrete", "Unreinforced Masonry", "Adobe / Light Timber"))</f>
        <v>Reinforced Concrete</v>
      </c>
      <c r="F28" s="3">
        <f t="shared" ca="1" si="3"/>
        <v>1989</v>
      </c>
      <c r="G28" s="3">
        <f t="shared" ca="1" si="4"/>
        <v>3</v>
      </c>
      <c r="H28" s="2">
        <f t="shared" ca="1" si="5"/>
        <v>4</v>
      </c>
      <c r="I28" s="4">
        <f t="shared" ca="1" si="6"/>
        <v>3839885</v>
      </c>
    </row>
    <row r="29" spans="1:9">
      <c r="A29" s="1">
        <v>10000028</v>
      </c>
      <c r="B29" s="3" t="str">
        <f t="shared" ca="1" si="0"/>
        <v>Jalpaiguri</v>
      </c>
      <c r="C29" s="3" t="str">
        <f t="shared" ca="1" si="1"/>
        <v>High Risk</v>
      </c>
      <c r="D29" s="3" t="str">
        <f t="shared" ca="1" si="2"/>
        <v>Residential</v>
      </c>
      <c r="E29" s="3" t="str" cm="1">
        <f t="array" aca="1" ref="E29" ca="1">_xlfn.IFS(D29="Industrial", "Reinforced Concrete", D29 = "Commercial", CHOOSE(RANDBETWEEN(1, 2), "Reinforced Concrete", "Unreinforced Masonry"), D29 = "Residential", CHOOSE(RANDBETWEEN(1, 3), "Reinforced Concrete", "Unreinforced Masonry", "Adobe / Light Timber"))</f>
        <v>Reinforced Concrete</v>
      </c>
      <c r="F29" s="3">
        <f t="shared" ca="1" si="3"/>
        <v>2016</v>
      </c>
      <c r="G29" s="3">
        <f t="shared" ca="1" si="4"/>
        <v>1</v>
      </c>
      <c r="H29" s="2">
        <f t="shared" ca="1" si="5"/>
        <v>5</v>
      </c>
      <c r="I29" s="4">
        <f t="shared" ca="1" si="6"/>
        <v>4591318</v>
      </c>
    </row>
    <row r="30" spans="1:9">
      <c r="A30" s="1">
        <v>10000029</v>
      </c>
      <c r="B30" s="3" t="str">
        <f t="shared" ca="1" si="0"/>
        <v>Jalpaiguri</v>
      </c>
      <c r="C30" s="3" t="str">
        <f t="shared" ca="1" si="1"/>
        <v>High Risk</v>
      </c>
      <c r="D30" s="3" t="str">
        <f t="shared" ca="1" si="2"/>
        <v>Commercial</v>
      </c>
      <c r="E30" s="3" t="str" cm="1">
        <f t="array" aca="1" ref="E30" ca="1">_xlfn.IFS(D30="Industrial", "Reinforced Concrete", D30 = "Commercial", CHOOSE(RANDBETWEEN(1, 2), "Reinforced Concrete", "Unreinforced Masonry"), D30 = "Residential", CHOOSE(RANDBETWEEN(1, 3), "Reinforced Concrete", "Unreinforced Masonry", "Adobe / Light Timber"))</f>
        <v>Reinforced Concrete</v>
      </c>
      <c r="F30" s="3">
        <f t="shared" ca="1" si="3"/>
        <v>1983</v>
      </c>
      <c r="G30" s="3">
        <f t="shared" ca="1" si="4"/>
        <v>4</v>
      </c>
      <c r="H30" s="2">
        <f t="shared" ca="1" si="5"/>
        <v>4</v>
      </c>
      <c r="I30" s="4">
        <f t="shared" ca="1" si="6"/>
        <v>22098226</v>
      </c>
    </row>
    <row r="31" spans="1:9">
      <c r="A31" s="1">
        <v>10000030</v>
      </c>
      <c r="B31" s="3" t="str">
        <f t="shared" ca="1" si="0"/>
        <v>Paschim Medinipur</v>
      </c>
      <c r="C31" s="3" t="str">
        <f t="shared" ca="1" si="1"/>
        <v>Moderate Risk</v>
      </c>
      <c r="D31" s="3" t="str">
        <f t="shared" ca="1" si="2"/>
        <v>Commercial</v>
      </c>
      <c r="E31" s="3" t="str" cm="1">
        <f t="array" aca="1" ref="E31" ca="1">_xlfn.IFS(D31="Industrial", "Reinforced Concrete", D31 = "Commercial", CHOOSE(RANDBETWEEN(1, 2), "Reinforced Concrete", "Unreinforced Masonry"), D31 = "Residential", CHOOSE(RANDBETWEEN(1, 3), "Reinforced Concrete", "Unreinforced Masonry", "Adobe / Light Timber"))</f>
        <v>Unreinforced Masonry</v>
      </c>
      <c r="F31" s="3">
        <f t="shared" ca="1" si="3"/>
        <v>2009</v>
      </c>
      <c r="G31" s="3">
        <f t="shared" ca="1" si="4"/>
        <v>5</v>
      </c>
      <c r="H31" s="2">
        <f t="shared" ca="1" si="5"/>
        <v>2</v>
      </c>
      <c r="I31" s="4">
        <f t="shared" ca="1" si="6"/>
        <v>15610233</v>
      </c>
    </row>
    <row r="32" spans="1:9">
      <c r="A32" s="1">
        <v>10000031</v>
      </c>
      <c r="B32" s="3" t="str">
        <f t="shared" ca="1" si="0"/>
        <v>Paschim Medinipur</v>
      </c>
      <c r="C32" s="3" t="str">
        <f t="shared" ca="1" si="1"/>
        <v>Moderate Risk</v>
      </c>
      <c r="D32" s="3" t="str">
        <f t="shared" ca="1" si="2"/>
        <v>Commercial</v>
      </c>
      <c r="E32" s="3" t="str" cm="1">
        <f t="array" aca="1" ref="E32" ca="1">_xlfn.IFS(D32="Industrial", "Reinforced Concrete", D32 = "Commercial", CHOOSE(RANDBETWEEN(1, 2), "Reinforced Concrete", "Unreinforced Masonry"), D32 = "Residential", CHOOSE(RANDBETWEEN(1, 3), "Reinforced Concrete", "Unreinforced Masonry", "Adobe / Light Timber"))</f>
        <v>Unreinforced Masonry</v>
      </c>
      <c r="F32" s="3">
        <f t="shared" ca="1" si="3"/>
        <v>2022</v>
      </c>
      <c r="G32" s="3">
        <f t="shared" ca="1" si="4"/>
        <v>3</v>
      </c>
      <c r="H32" s="2">
        <f t="shared" ca="1" si="5"/>
        <v>1</v>
      </c>
      <c r="I32" s="4">
        <f t="shared" ca="1" si="6"/>
        <v>19467625</v>
      </c>
    </row>
    <row r="33" spans="1:9">
      <c r="A33" s="1">
        <v>10000032</v>
      </c>
      <c r="B33" s="3" t="str">
        <f t="shared" ca="1" si="0"/>
        <v>Paschim Medinipur</v>
      </c>
      <c r="C33" s="3" t="str">
        <f t="shared" ca="1" si="1"/>
        <v>Moderate Risk</v>
      </c>
      <c r="D33" s="3" t="str">
        <f t="shared" ca="1" si="2"/>
        <v>Industrial</v>
      </c>
      <c r="E33" s="3" t="str" cm="1">
        <f t="array" aca="1" ref="E33" ca="1">_xlfn.IFS(D33="Industrial", "Reinforced Concrete", D33 = "Commercial", CHOOSE(RANDBETWEEN(1, 2), "Reinforced Concrete", "Unreinforced Masonry"), D33 = "Residential", CHOOSE(RANDBETWEEN(1, 3), "Reinforced Concrete", "Unreinforced Masonry", "Adobe / Light Timber"))</f>
        <v>Reinforced Concrete</v>
      </c>
      <c r="F33" s="3">
        <f t="shared" ca="1" si="3"/>
        <v>1986</v>
      </c>
      <c r="G33" s="3">
        <f t="shared" ca="1" si="4"/>
        <v>5</v>
      </c>
      <c r="H33" s="2">
        <f t="shared" ca="1" si="5"/>
        <v>4</v>
      </c>
      <c r="I33" s="4">
        <f t="shared" ca="1" si="6"/>
        <v>50000332</v>
      </c>
    </row>
    <row r="34" spans="1:9">
      <c r="A34" s="1">
        <v>10000033</v>
      </c>
      <c r="B34" s="3" t="str">
        <f t="shared" ca="1" si="0"/>
        <v>Kolkata</v>
      </c>
      <c r="C34" s="3" t="str">
        <f t="shared" ca="1" si="1"/>
        <v>Moderate Risk</v>
      </c>
      <c r="D34" s="3" t="str">
        <f t="shared" ca="1" si="2"/>
        <v>Residential</v>
      </c>
      <c r="E34" s="3" t="str" cm="1">
        <f t="array" aca="1" ref="E34" ca="1">_xlfn.IFS(D34="Industrial", "Reinforced Concrete", D34 = "Commercial", CHOOSE(RANDBETWEEN(1, 2), "Reinforced Concrete", "Unreinforced Masonry"), D34 = "Residential", CHOOSE(RANDBETWEEN(1, 3), "Reinforced Concrete", "Unreinforced Masonry", "Adobe / Light Timber"))</f>
        <v>Adobe / Light Timber</v>
      </c>
      <c r="F34" s="3">
        <f t="shared" ca="1" si="3"/>
        <v>1983</v>
      </c>
      <c r="G34" s="3">
        <f t="shared" ca="1" si="4"/>
        <v>1</v>
      </c>
      <c r="H34" s="2">
        <f t="shared" ca="1" si="5"/>
        <v>0</v>
      </c>
      <c r="I34" s="4">
        <f t="shared" ca="1" si="6"/>
        <v>654344</v>
      </c>
    </row>
    <row r="35" spans="1:9">
      <c r="A35" s="1">
        <v>10000034</v>
      </c>
      <c r="B35" s="3" t="str">
        <f t="shared" ca="1" si="0"/>
        <v>South 24 Parganas</v>
      </c>
      <c r="C35" s="3" t="str">
        <f t="shared" ca="1" si="1"/>
        <v>High Risk</v>
      </c>
      <c r="D35" s="3" t="str">
        <f t="shared" ca="1" si="2"/>
        <v>Industrial</v>
      </c>
      <c r="E35" s="3" t="str" cm="1">
        <f t="array" aca="1" ref="E35" ca="1">_xlfn.IFS(D35="Industrial", "Reinforced Concrete", D35 = "Commercial", CHOOSE(RANDBETWEEN(1, 2), "Reinforced Concrete", "Unreinforced Masonry"), D35 = "Residential", CHOOSE(RANDBETWEEN(1, 3), "Reinforced Concrete", "Unreinforced Masonry", "Adobe / Light Timber"))</f>
        <v>Reinforced Concrete</v>
      </c>
      <c r="F35" s="3">
        <f t="shared" ca="1" si="3"/>
        <v>1993</v>
      </c>
      <c r="G35" s="3">
        <f t="shared" ca="1" si="4"/>
        <v>2</v>
      </c>
      <c r="H35" s="2">
        <f t="shared" ca="1" si="5"/>
        <v>5</v>
      </c>
      <c r="I35" s="4">
        <f t="shared" ca="1" si="6"/>
        <v>37887486</v>
      </c>
    </row>
    <row r="36" spans="1:9">
      <c r="A36" s="1">
        <v>10000035</v>
      </c>
      <c r="B36" s="3" t="str">
        <f t="shared" ca="1" si="0"/>
        <v>Paschim Medinipur</v>
      </c>
      <c r="C36" s="3" t="str">
        <f t="shared" ca="1" si="1"/>
        <v>Moderate Risk</v>
      </c>
      <c r="D36" s="3" t="str">
        <f t="shared" ca="1" si="2"/>
        <v>Industrial</v>
      </c>
      <c r="E36" s="3" t="str" cm="1">
        <f t="array" aca="1" ref="E36" ca="1">_xlfn.IFS(D36="Industrial", "Reinforced Concrete", D36 = "Commercial", CHOOSE(RANDBETWEEN(1, 2), "Reinforced Concrete", "Unreinforced Masonry"), D36 = "Residential", CHOOSE(RANDBETWEEN(1, 3), "Reinforced Concrete", "Unreinforced Masonry", "Adobe / Light Timber"))</f>
        <v>Reinforced Concrete</v>
      </c>
      <c r="F36" s="3">
        <f t="shared" ca="1" si="3"/>
        <v>2001</v>
      </c>
      <c r="G36" s="3">
        <f t="shared" ca="1" si="4"/>
        <v>2</v>
      </c>
      <c r="H36" s="2">
        <f t="shared" ca="1" si="5"/>
        <v>5</v>
      </c>
      <c r="I36" s="4">
        <f t="shared" ca="1" si="6"/>
        <v>50587382</v>
      </c>
    </row>
    <row r="37" spans="1:9">
      <c r="A37" s="1">
        <v>10000036</v>
      </c>
      <c r="B37" s="3" t="str">
        <f t="shared" ca="1" si="0"/>
        <v>Malda</v>
      </c>
      <c r="C37" s="3" t="str">
        <f t="shared" ca="1" si="1"/>
        <v>High Risk</v>
      </c>
      <c r="D37" s="3" t="str">
        <f t="shared" ca="1" si="2"/>
        <v>Industrial</v>
      </c>
      <c r="E37" s="3" t="str" cm="1">
        <f t="array" aca="1" ref="E37" ca="1">_xlfn.IFS(D37="Industrial", "Reinforced Concrete", D37 = "Commercial", CHOOSE(RANDBETWEEN(1, 2), "Reinforced Concrete", "Unreinforced Masonry"), D37 = "Residential", CHOOSE(RANDBETWEEN(1, 3), "Reinforced Concrete", "Unreinforced Masonry", "Adobe / Light Timber"))</f>
        <v>Reinforced Concrete</v>
      </c>
      <c r="F37" s="3">
        <f t="shared" ca="1" si="3"/>
        <v>2015</v>
      </c>
      <c r="G37" s="3">
        <f t="shared" ca="1" si="4"/>
        <v>3</v>
      </c>
      <c r="H37" s="2">
        <f t="shared" ca="1" si="5"/>
        <v>5</v>
      </c>
      <c r="I37" s="4">
        <f t="shared" ca="1" si="6"/>
        <v>47886446</v>
      </c>
    </row>
    <row r="38" spans="1:9">
      <c r="A38" s="1">
        <v>10000037</v>
      </c>
      <c r="B38" s="3" t="str">
        <f t="shared" ca="1" si="0"/>
        <v>Hooghly</v>
      </c>
      <c r="C38" s="3" t="str">
        <f t="shared" ca="1" si="1"/>
        <v>Moderate Risk</v>
      </c>
      <c r="D38" s="3" t="str">
        <f t="shared" ca="1" si="2"/>
        <v>Commercial</v>
      </c>
      <c r="E38" s="3" t="str" cm="1">
        <f t="array" aca="1" ref="E38" ca="1">_xlfn.IFS(D38="Industrial", "Reinforced Concrete", D38 = "Commercial", CHOOSE(RANDBETWEEN(1, 2), "Reinforced Concrete", "Unreinforced Masonry"), D38 = "Residential", CHOOSE(RANDBETWEEN(1, 3), "Reinforced Concrete", "Unreinforced Masonry", "Adobe / Light Timber"))</f>
        <v>Reinforced Concrete</v>
      </c>
      <c r="F38" s="3">
        <f t="shared" ca="1" si="3"/>
        <v>1992</v>
      </c>
      <c r="G38" s="3">
        <f t="shared" ca="1" si="4"/>
        <v>2</v>
      </c>
      <c r="H38" s="2">
        <f t="shared" ca="1" si="5"/>
        <v>3</v>
      </c>
      <c r="I38" s="4">
        <f t="shared" ca="1" si="6"/>
        <v>11341857</v>
      </c>
    </row>
    <row r="39" spans="1:9">
      <c r="A39" s="1">
        <v>10000038</v>
      </c>
      <c r="B39" s="3" t="str">
        <f t="shared" ca="1" si="0"/>
        <v>Malda</v>
      </c>
      <c r="C39" s="3" t="str">
        <f t="shared" ca="1" si="1"/>
        <v>High Risk</v>
      </c>
      <c r="D39" s="3" t="str">
        <f t="shared" ca="1" si="2"/>
        <v>Commercial</v>
      </c>
      <c r="E39" s="3" t="str" cm="1">
        <f t="array" aca="1" ref="E39" ca="1">_xlfn.IFS(D39="Industrial", "Reinforced Concrete", D39 = "Commercial", CHOOSE(RANDBETWEEN(1, 2), "Reinforced Concrete", "Unreinforced Masonry"), D39 = "Residential", CHOOSE(RANDBETWEEN(1, 3), "Reinforced Concrete", "Unreinforced Masonry", "Adobe / Light Timber"))</f>
        <v>Unreinforced Masonry</v>
      </c>
      <c r="F39" s="3">
        <f t="shared" ca="1" si="3"/>
        <v>2003</v>
      </c>
      <c r="G39" s="3">
        <f t="shared" ca="1" si="4"/>
        <v>3</v>
      </c>
      <c r="H39" s="2">
        <f t="shared" ca="1" si="5"/>
        <v>1</v>
      </c>
      <c r="I39" s="4">
        <f t="shared" ca="1" si="6"/>
        <v>15589413</v>
      </c>
    </row>
    <row r="40" spans="1:9">
      <c r="A40" s="1">
        <v>10000039</v>
      </c>
      <c r="B40" s="3" t="str">
        <f t="shared" ca="1" si="0"/>
        <v>Kolkata</v>
      </c>
      <c r="C40" s="3" t="str">
        <f t="shared" ca="1" si="1"/>
        <v>Moderate Risk</v>
      </c>
      <c r="D40" s="3" t="str">
        <f t="shared" ca="1" si="2"/>
        <v>Industrial</v>
      </c>
      <c r="E40" s="3" t="str" cm="1">
        <f t="array" aca="1" ref="E40" ca="1">_xlfn.IFS(D40="Industrial", "Reinforced Concrete", D40 = "Commercial", CHOOSE(RANDBETWEEN(1, 2), "Reinforced Concrete", "Unreinforced Masonry"), D40 = "Residential", CHOOSE(RANDBETWEEN(1, 3), "Reinforced Concrete", "Unreinforced Masonry", "Adobe / Light Timber"))</f>
        <v>Reinforced Concrete</v>
      </c>
      <c r="F40" s="3">
        <f t="shared" ca="1" si="3"/>
        <v>1980</v>
      </c>
      <c r="G40" s="3">
        <f t="shared" ca="1" si="4"/>
        <v>2</v>
      </c>
      <c r="H40" s="2">
        <f t="shared" ca="1" si="5"/>
        <v>4</v>
      </c>
      <c r="I40" s="4">
        <f t="shared" ca="1" si="6"/>
        <v>55127065</v>
      </c>
    </row>
    <row r="41" spans="1:9">
      <c r="A41" s="1">
        <v>10000040</v>
      </c>
      <c r="B41" s="3" t="str">
        <f t="shared" ca="1" si="0"/>
        <v>Paschim Medinipur</v>
      </c>
      <c r="C41" s="3" t="str">
        <f t="shared" ca="1" si="1"/>
        <v>Moderate Risk</v>
      </c>
      <c r="D41" s="3" t="str">
        <f t="shared" ca="1" si="2"/>
        <v>Residential</v>
      </c>
      <c r="E41" s="3" t="str" cm="1">
        <f t="array" aca="1" ref="E41" ca="1">_xlfn.IFS(D41="Industrial", "Reinforced Concrete", D41 = "Commercial", CHOOSE(RANDBETWEEN(1, 2), "Reinforced Concrete", "Unreinforced Masonry"), D41 = "Residential", CHOOSE(RANDBETWEEN(1, 3), "Reinforced Concrete", "Unreinforced Masonry", "Adobe / Light Timber"))</f>
        <v>Reinforced Concrete</v>
      </c>
      <c r="F41" s="3">
        <f t="shared" ca="1" si="3"/>
        <v>2010</v>
      </c>
      <c r="G41" s="3">
        <f t="shared" ca="1" si="4"/>
        <v>2</v>
      </c>
      <c r="H41" s="2">
        <f t="shared" ca="1" si="5"/>
        <v>4</v>
      </c>
      <c r="I41" s="4">
        <f t="shared" ca="1" si="6"/>
        <v>6576916</v>
      </c>
    </row>
    <row r="42" spans="1:9">
      <c r="A42" s="1">
        <v>10000041</v>
      </c>
      <c r="B42" s="3" t="str">
        <f t="shared" ca="1" si="0"/>
        <v>Paschim Medinipur</v>
      </c>
      <c r="C42" s="3" t="str">
        <f t="shared" ca="1" si="1"/>
        <v>Moderate Risk</v>
      </c>
      <c r="D42" s="3" t="str">
        <f t="shared" ca="1" si="2"/>
        <v>Commercial</v>
      </c>
      <c r="E42" s="3" t="str" cm="1">
        <f t="array" aca="1" ref="E42" ca="1">_xlfn.IFS(D42="Industrial", "Reinforced Concrete", D42 = "Commercial", CHOOSE(RANDBETWEEN(1, 2), "Reinforced Concrete", "Unreinforced Masonry"), D42 = "Residential", CHOOSE(RANDBETWEEN(1, 3), "Reinforced Concrete", "Unreinforced Masonry", "Adobe / Light Timber"))</f>
        <v>Unreinforced Masonry</v>
      </c>
      <c r="F42" s="3">
        <f t="shared" ca="1" si="3"/>
        <v>2007</v>
      </c>
      <c r="G42" s="3">
        <f t="shared" ca="1" si="4"/>
        <v>2</v>
      </c>
      <c r="H42" s="2">
        <f t="shared" ca="1" si="5"/>
        <v>0</v>
      </c>
      <c r="I42" s="4">
        <f t="shared" ca="1" si="6"/>
        <v>23420838</v>
      </c>
    </row>
    <row r="43" spans="1:9">
      <c r="A43" s="1">
        <v>10000042</v>
      </c>
      <c r="B43" s="3" t="str">
        <f t="shared" ca="1" si="0"/>
        <v>Malda</v>
      </c>
      <c r="C43" s="3" t="str">
        <f t="shared" ca="1" si="1"/>
        <v>High Risk</v>
      </c>
      <c r="D43" s="3" t="str">
        <f t="shared" ca="1" si="2"/>
        <v>Industrial</v>
      </c>
      <c r="E43" s="3" t="str" cm="1">
        <f t="array" aca="1" ref="E43" ca="1">_xlfn.IFS(D43="Industrial", "Reinforced Concrete", D43 = "Commercial", CHOOSE(RANDBETWEEN(1, 2), "Reinforced Concrete", "Unreinforced Masonry"), D43 = "Residential", CHOOSE(RANDBETWEEN(1, 3), "Reinforced Concrete", "Unreinforced Masonry", "Adobe / Light Timber"))</f>
        <v>Reinforced Concrete</v>
      </c>
      <c r="F43" s="3">
        <f t="shared" ca="1" si="3"/>
        <v>2021</v>
      </c>
      <c r="G43" s="3">
        <f t="shared" ca="1" si="4"/>
        <v>3</v>
      </c>
      <c r="H43" s="2">
        <f t="shared" ca="1" si="5"/>
        <v>3</v>
      </c>
      <c r="I43" s="4">
        <f t="shared" ca="1" si="6"/>
        <v>47144301</v>
      </c>
    </row>
    <row r="44" spans="1:9">
      <c r="A44" s="1">
        <v>10000043</v>
      </c>
      <c r="B44" s="3" t="str">
        <f t="shared" ca="1" si="0"/>
        <v>Paschim Medinipur</v>
      </c>
      <c r="C44" s="3" t="str">
        <f t="shared" ca="1" si="1"/>
        <v>Moderate Risk</v>
      </c>
      <c r="D44" s="3" t="str">
        <f t="shared" ca="1" si="2"/>
        <v>Commercial</v>
      </c>
      <c r="E44" s="3" t="str" cm="1">
        <f t="array" aca="1" ref="E44" ca="1">_xlfn.IFS(D44="Industrial", "Reinforced Concrete", D44 = "Commercial", CHOOSE(RANDBETWEEN(1, 2), "Reinforced Concrete", "Unreinforced Masonry"), D44 = "Residential", CHOOSE(RANDBETWEEN(1, 3), "Reinforced Concrete", "Unreinforced Masonry", "Adobe / Light Timber"))</f>
        <v>Reinforced Concrete</v>
      </c>
      <c r="F44" s="3">
        <f t="shared" ca="1" si="3"/>
        <v>2016</v>
      </c>
      <c r="G44" s="3">
        <f t="shared" ca="1" si="4"/>
        <v>3</v>
      </c>
      <c r="H44" s="2">
        <f t="shared" ca="1" si="5"/>
        <v>5</v>
      </c>
      <c r="I44" s="4">
        <f t="shared" ca="1" si="6"/>
        <v>18441478</v>
      </c>
    </row>
    <row r="45" spans="1:9">
      <c r="A45" s="1">
        <v>10000044</v>
      </c>
      <c r="B45" s="3" t="str">
        <f t="shared" ca="1" si="0"/>
        <v>Jalpaiguri</v>
      </c>
      <c r="C45" s="3" t="str">
        <f t="shared" ca="1" si="1"/>
        <v>High Risk</v>
      </c>
      <c r="D45" s="3" t="str">
        <f t="shared" ca="1" si="2"/>
        <v>Industrial</v>
      </c>
      <c r="E45" s="3" t="str" cm="1">
        <f t="array" aca="1" ref="E45" ca="1">_xlfn.IFS(D45="Industrial", "Reinforced Concrete", D45 = "Commercial", CHOOSE(RANDBETWEEN(1, 2), "Reinforced Concrete", "Unreinforced Masonry"), D45 = "Residential", CHOOSE(RANDBETWEEN(1, 3), "Reinforced Concrete", "Unreinforced Masonry", "Adobe / Light Timber"))</f>
        <v>Reinforced Concrete</v>
      </c>
      <c r="F45" s="3">
        <f t="shared" ca="1" si="3"/>
        <v>1992</v>
      </c>
      <c r="G45" s="3">
        <f t="shared" ca="1" si="4"/>
        <v>4</v>
      </c>
      <c r="H45" s="2">
        <f t="shared" ca="1" si="5"/>
        <v>4</v>
      </c>
      <c r="I45" s="4">
        <f t="shared" ca="1" si="6"/>
        <v>58537986</v>
      </c>
    </row>
    <row r="46" spans="1:9">
      <c r="A46" s="1">
        <v>10000045</v>
      </c>
      <c r="B46" s="3" t="str">
        <f t="shared" ca="1" si="0"/>
        <v>Malda</v>
      </c>
      <c r="C46" s="3" t="str">
        <f t="shared" ca="1" si="1"/>
        <v>High Risk</v>
      </c>
      <c r="D46" s="3" t="str">
        <f t="shared" ca="1" si="2"/>
        <v>Commercial</v>
      </c>
      <c r="E46" s="3" t="str" cm="1">
        <f t="array" aca="1" ref="E46" ca="1">_xlfn.IFS(D46="Industrial", "Reinforced Concrete", D46 = "Commercial", CHOOSE(RANDBETWEEN(1, 2), "Reinforced Concrete", "Unreinforced Masonry"), D46 = "Residential", CHOOSE(RANDBETWEEN(1, 3), "Reinforced Concrete", "Unreinforced Masonry", "Adobe / Light Timber"))</f>
        <v>Reinforced Concrete</v>
      </c>
      <c r="F46" s="3">
        <f t="shared" ca="1" si="3"/>
        <v>2004</v>
      </c>
      <c r="G46" s="3">
        <f t="shared" ca="1" si="4"/>
        <v>4</v>
      </c>
      <c r="H46" s="2">
        <f t="shared" ca="1" si="5"/>
        <v>4</v>
      </c>
      <c r="I46" s="4">
        <f t="shared" ca="1" si="6"/>
        <v>12189890</v>
      </c>
    </row>
    <row r="47" spans="1:9">
      <c r="A47" s="1">
        <v>10000046</v>
      </c>
      <c r="B47" s="3" t="str">
        <f t="shared" ca="1" si="0"/>
        <v>South 24 Parganas</v>
      </c>
      <c r="C47" s="3" t="str">
        <f t="shared" ca="1" si="1"/>
        <v>High Risk</v>
      </c>
      <c r="D47" s="3" t="str">
        <f t="shared" ca="1" si="2"/>
        <v>Residential</v>
      </c>
      <c r="E47" s="3" t="str" cm="1">
        <f t="array" aca="1" ref="E47" ca="1">_xlfn.IFS(D47="Industrial", "Reinforced Concrete", D47 = "Commercial", CHOOSE(RANDBETWEEN(1, 2), "Reinforced Concrete", "Unreinforced Masonry"), D47 = "Residential", CHOOSE(RANDBETWEEN(1, 3), "Reinforced Concrete", "Unreinforced Masonry", "Adobe / Light Timber"))</f>
        <v>Unreinforced Masonry</v>
      </c>
      <c r="F47" s="3">
        <f t="shared" ca="1" si="3"/>
        <v>1999</v>
      </c>
      <c r="G47" s="3">
        <f t="shared" ca="1" si="4"/>
        <v>5</v>
      </c>
      <c r="H47" s="2">
        <f t="shared" ca="1" si="5"/>
        <v>0</v>
      </c>
      <c r="I47" s="4">
        <f t="shared" ca="1" si="6"/>
        <v>5287834</v>
      </c>
    </row>
    <row r="48" spans="1:9">
      <c r="A48" s="1">
        <v>10000047</v>
      </c>
      <c r="B48" s="3" t="str">
        <f t="shared" ca="1" si="0"/>
        <v>South 24 Parganas</v>
      </c>
      <c r="C48" s="3" t="str">
        <f t="shared" ca="1" si="1"/>
        <v>High Risk</v>
      </c>
      <c r="D48" s="3" t="str">
        <f t="shared" ca="1" si="2"/>
        <v>Residential</v>
      </c>
      <c r="E48" s="3" t="str" cm="1">
        <f t="array" aca="1" ref="E48" ca="1">_xlfn.IFS(D48="Industrial", "Reinforced Concrete", D48 = "Commercial", CHOOSE(RANDBETWEEN(1, 2), "Reinforced Concrete", "Unreinforced Masonry"), D48 = "Residential", CHOOSE(RANDBETWEEN(1, 3), "Reinforced Concrete", "Unreinforced Masonry", "Adobe / Light Timber"))</f>
        <v>Adobe / Light Timber</v>
      </c>
      <c r="F48" s="3">
        <f t="shared" ca="1" si="3"/>
        <v>2014</v>
      </c>
      <c r="G48" s="3">
        <f t="shared" ca="1" si="4"/>
        <v>1</v>
      </c>
      <c r="H48" s="2">
        <f t="shared" ca="1" si="5"/>
        <v>2</v>
      </c>
      <c r="I48" s="4">
        <f t="shared" ca="1" si="6"/>
        <v>392679</v>
      </c>
    </row>
    <row r="49" spans="1:9">
      <c r="A49" s="1">
        <v>10000048</v>
      </c>
      <c r="B49" s="3" t="str">
        <f t="shared" ca="1" si="0"/>
        <v>Kolkata</v>
      </c>
      <c r="C49" s="3" t="str">
        <f t="shared" ca="1" si="1"/>
        <v>Moderate Risk</v>
      </c>
      <c r="D49" s="3" t="str">
        <f t="shared" ca="1" si="2"/>
        <v>Residential</v>
      </c>
      <c r="E49" s="3" t="str" cm="1">
        <f t="array" aca="1" ref="E49" ca="1">_xlfn.IFS(D49="Industrial", "Reinforced Concrete", D49 = "Commercial", CHOOSE(RANDBETWEEN(1, 2), "Reinforced Concrete", "Unreinforced Masonry"), D49 = "Residential", CHOOSE(RANDBETWEEN(1, 3), "Reinforced Concrete", "Unreinforced Masonry", "Adobe / Light Timber"))</f>
        <v>Unreinforced Masonry</v>
      </c>
      <c r="F49" s="3">
        <f t="shared" ca="1" si="3"/>
        <v>1984</v>
      </c>
      <c r="G49" s="3">
        <f t="shared" ca="1" si="4"/>
        <v>3</v>
      </c>
      <c r="H49" s="2">
        <f t="shared" ca="1" si="5"/>
        <v>1</v>
      </c>
      <c r="I49" s="4">
        <f t="shared" ca="1" si="6"/>
        <v>4152156</v>
      </c>
    </row>
    <row r="50" spans="1:9">
      <c r="A50" s="1">
        <v>10000049</v>
      </c>
      <c r="B50" s="3" t="str">
        <f t="shared" ca="1" si="0"/>
        <v>Jalpaiguri</v>
      </c>
      <c r="C50" s="3" t="str">
        <f t="shared" ca="1" si="1"/>
        <v>High Risk</v>
      </c>
      <c r="D50" s="3" t="str">
        <f t="shared" ca="1" si="2"/>
        <v>Industrial</v>
      </c>
      <c r="E50" s="3" t="str" cm="1">
        <f t="array" aca="1" ref="E50" ca="1">_xlfn.IFS(D50="Industrial", "Reinforced Concrete", D50 = "Commercial", CHOOSE(RANDBETWEEN(1, 2), "Reinforced Concrete", "Unreinforced Masonry"), D50 = "Residential", CHOOSE(RANDBETWEEN(1, 3), "Reinforced Concrete", "Unreinforced Masonry", "Adobe / Light Timber"))</f>
        <v>Reinforced Concrete</v>
      </c>
      <c r="F50" s="3">
        <f t="shared" ca="1" si="3"/>
        <v>2001</v>
      </c>
      <c r="G50" s="3">
        <f t="shared" ca="1" si="4"/>
        <v>2</v>
      </c>
      <c r="H50" s="2">
        <f t="shared" ca="1" si="5"/>
        <v>4</v>
      </c>
      <c r="I50" s="4">
        <f t="shared" ca="1" si="6"/>
        <v>32479491</v>
      </c>
    </row>
    <row r="51" spans="1:9">
      <c r="A51" s="1">
        <v>10000050</v>
      </c>
      <c r="B51" s="3" t="str">
        <f t="shared" ca="1" si="0"/>
        <v>South 24 Parganas</v>
      </c>
      <c r="C51" s="3" t="str">
        <f t="shared" ca="1" si="1"/>
        <v>High Risk</v>
      </c>
      <c r="D51" s="3" t="str">
        <f t="shared" ca="1" si="2"/>
        <v>Commercial</v>
      </c>
      <c r="E51" s="3" t="str" cm="1">
        <f t="array" aca="1" ref="E51" ca="1">_xlfn.IFS(D51="Industrial", "Reinforced Concrete", D51 = "Commercial", CHOOSE(RANDBETWEEN(1, 2), "Reinforced Concrete", "Unreinforced Masonry"), D51 = "Residential", CHOOSE(RANDBETWEEN(1, 3), "Reinforced Concrete", "Unreinforced Masonry", "Adobe / Light Timber"))</f>
        <v>Unreinforced Masonry</v>
      </c>
      <c r="F51" s="3">
        <f t="shared" ca="1" si="3"/>
        <v>2006</v>
      </c>
      <c r="G51" s="3">
        <f t="shared" ca="1" si="4"/>
        <v>1</v>
      </c>
      <c r="H51" s="2">
        <f t="shared" ca="1" si="5"/>
        <v>1</v>
      </c>
      <c r="I51" s="4">
        <f t="shared" ca="1" si="6"/>
        <v>9563895</v>
      </c>
    </row>
    <row r="52" spans="1:9">
      <c r="A52" s="1">
        <v>10000051</v>
      </c>
      <c r="B52" s="3" t="str">
        <f t="shared" ca="1" si="0"/>
        <v>Paschim Medinipur</v>
      </c>
      <c r="C52" s="3" t="str">
        <f t="shared" ca="1" si="1"/>
        <v>Moderate Risk</v>
      </c>
      <c r="D52" s="3" t="str">
        <f t="shared" ca="1" si="2"/>
        <v>Industrial</v>
      </c>
      <c r="E52" s="3" t="str" cm="1">
        <f t="array" aca="1" ref="E52" ca="1">_xlfn.IFS(D52="Industrial", "Reinforced Concrete", D52 = "Commercial", CHOOSE(RANDBETWEEN(1, 2), "Reinforced Concrete", "Unreinforced Masonry"), D52 = "Residential", CHOOSE(RANDBETWEEN(1, 3), "Reinforced Concrete", "Unreinforced Masonry", "Adobe / Light Timber"))</f>
        <v>Reinforced Concrete</v>
      </c>
      <c r="F52" s="3">
        <f t="shared" ca="1" si="3"/>
        <v>2024</v>
      </c>
      <c r="G52" s="3">
        <f t="shared" ca="1" si="4"/>
        <v>2</v>
      </c>
      <c r="H52" s="2">
        <f t="shared" ca="1" si="5"/>
        <v>3</v>
      </c>
      <c r="I52" s="4">
        <f t="shared" ca="1" si="6"/>
        <v>34010261</v>
      </c>
    </row>
    <row r="53" spans="1:9">
      <c r="A53" s="1">
        <v>10000052</v>
      </c>
      <c r="B53" s="3" t="str">
        <f t="shared" ca="1" si="0"/>
        <v>Paschim Medinipur</v>
      </c>
      <c r="C53" s="3" t="str">
        <f t="shared" ca="1" si="1"/>
        <v>Moderate Risk</v>
      </c>
      <c r="D53" s="3" t="str">
        <f t="shared" ca="1" si="2"/>
        <v>Industrial</v>
      </c>
      <c r="E53" s="3" t="str" cm="1">
        <f t="array" aca="1" ref="E53" ca="1">_xlfn.IFS(D53="Industrial", "Reinforced Concrete", D53 = "Commercial", CHOOSE(RANDBETWEEN(1, 2), "Reinforced Concrete", "Unreinforced Masonry"), D53 = "Residential", CHOOSE(RANDBETWEEN(1, 3), "Reinforced Concrete", "Unreinforced Masonry", "Adobe / Light Timber"))</f>
        <v>Reinforced Concrete</v>
      </c>
      <c r="F53" s="3">
        <f t="shared" ca="1" si="3"/>
        <v>2006</v>
      </c>
      <c r="G53" s="3">
        <f t="shared" ca="1" si="4"/>
        <v>4</v>
      </c>
      <c r="H53" s="2">
        <f t="shared" ca="1" si="5"/>
        <v>4</v>
      </c>
      <c r="I53" s="4">
        <f t="shared" ca="1" si="6"/>
        <v>48226637</v>
      </c>
    </row>
    <row r="54" spans="1:9">
      <c r="A54" s="1">
        <v>10000053</v>
      </c>
      <c r="B54" s="3" t="str">
        <f t="shared" ca="1" si="0"/>
        <v>Paschim Medinipur</v>
      </c>
      <c r="C54" s="3" t="str">
        <f t="shared" ca="1" si="1"/>
        <v>Moderate Risk</v>
      </c>
      <c r="D54" s="3" t="str">
        <f t="shared" ca="1" si="2"/>
        <v>Industrial</v>
      </c>
      <c r="E54" s="3" t="str" cm="1">
        <f t="array" aca="1" ref="E54" ca="1">_xlfn.IFS(D54="Industrial", "Reinforced Concrete", D54 = "Commercial", CHOOSE(RANDBETWEEN(1, 2), "Reinforced Concrete", "Unreinforced Masonry"), D54 = "Residential", CHOOSE(RANDBETWEEN(1, 3), "Reinforced Concrete", "Unreinforced Masonry", "Adobe / Light Timber"))</f>
        <v>Reinforced Concrete</v>
      </c>
      <c r="F54" s="3">
        <f t="shared" ca="1" si="3"/>
        <v>2009</v>
      </c>
      <c r="G54" s="3">
        <f t="shared" ca="1" si="4"/>
        <v>1</v>
      </c>
      <c r="H54" s="2">
        <f t="shared" ca="1" si="5"/>
        <v>5</v>
      </c>
      <c r="I54" s="4">
        <f t="shared" ca="1" si="6"/>
        <v>55029492</v>
      </c>
    </row>
    <row r="55" spans="1:9">
      <c r="A55" s="1">
        <v>10000054</v>
      </c>
      <c r="B55" s="3" t="str">
        <f t="shared" ca="1" si="0"/>
        <v>South 24 Parganas</v>
      </c>
      <c r="C55" s="3" t="str">
        <f t="shared" ca="1" si="1"/>
        <v>High Risk</v>
      </c>
      <c r="D55" s="3" t="str">
        <f t="shared" ca="1" si="2"/>
        <v>Commercial</v>
      </c>
      <c r="E55" s="3" t="str" cm="1">
        <f t="array" aca="1" ref="E55" ca="1">_xlfn.IFS(D55="Industrial", "Reinforced Concrete", D55 = "Commercial", CHOOSE(RANDBETWEEN(1, 2), "Reinforced Concrete", "Unreinforced Masonry"), D55 = "Residential", CHOOSE(RANDBETWEEN(1, 3), "Reinforced Concrete", "Unreinforced Masonry", "Adobe / Light Timber"))</f>
        <v>Reinforced Concrete</v>
      </c>
      <c r="F55" s="3">
        <f t="shared" ca="1" si="3"/>
        <v>1989</v>
      </c>
      <c r="G55" s="3">
        <f t="shared" ca="1" si="4"/>
        <v>1</v>
      </c>
      <c r="H55" s="2">
        <f t="shared" ca="1" si="5"/>
        <v>4</v>
      </c>
      <c r="I55" s="4">
        <f t="shared" ca="1" si="6"/>
        <v>18906526</v>
      </c>
    </row>
    <row r="56" spans="1:9">
      <c r="A56" s="1">
        <v>10000055</v>
      </c>
      <c r="B56" s="3" t="str">
        <f t="shared" ca="1" si="0"/>
        <v>Kolkata</v>
      </c>
      <c r="C56" s="3" t="str">
        <f t="shared" ca="1" si="1"/>
        <v>Moderate Risk</v>
      </c>
      <c r="D56" s="3" t="str">
        <f t="shared" ca="1" si="2"/>
        <v>Industrial</v>
      </c>
      <c r="E56" s="3" t="str" cm="1">
        <f t="array" aca="1" ref="E56" ca="1">_xlfn.IFS(D56="Industrial", "Reinforced Concrete", D56 = "Commercial", CHOOSE(RANDBETWEEN(1, 2), "Reinforced Concrete", "Unreinforced Masonry"), D56 = "Residential", CHOOSE(RANDBETWEEN(1, 3), "Reinforced Concrete", "Unreinforced Masonry", "Adobe / Light Timber"))</f>
        <v>Reinforced Concrete</v>
      </c>
      <c r="F56" s="3">
        <f t="shared" ca="1" si="3"/>
        <v>2016</v>
      </c>
      <c r="G56" s="3">
        <f t="shared" ca="1" si="4"/>
        <v>1</v>
      </c>
      <c r="H56" s="2">
        <f t="shared" ca="1" si="5"/>
        <v>4</v>
      </c>
      <c r="I56" s="4">
        <f t="shared" ca="1" si="6"/>
        <v>41938735</v>
      </c>
    </row>
    <row r="57" spans="1:9">
      <c r="A57" s="1">
        <v>10000056</v>
      </c>
      <c r="B57" s="3" t="str">
        <f t="shared" ca="1" si="0"/>
        <v>Jalpaiguri</v>
      </c>
      <c r="C57" s="3" t="str">
        <f t="shared" ca="1" si="1"/>
        <v>High Risk</v>
      </c>
      <c r="D57" s="3" t="str">
        <f t="shared" ca="1" si="2"/>
        <v>Industrial</v>
      </c>
      <c r="E57" s="3" t="str" cm="1">
        <f t="array" aca="1" ref="E57" ca="1">_xlfn.IFS(D57="Industrial", "Reinforced Concrete", D57 = "Commercial", CHOOSE(RANDBETWEEN(1, 2), "Reinforced Concrete", "Unreinforced Masonry"), D57 = "Residential", CHOOSE(RANDBETWEEN(1, 3), "Reinforced Concrete", "Unreinforced Masonry", "Adobe / Light Timber"))</f>
        <v>Reinforced Concrete</v>
      </c>
      <c r="F57" s="3">
        <f t="shared" ca="1" si="3"/>
        <v>2004</v>
      </c>
      <c r="G57" s="3">
        <f t="shared" ca="1" si="4"/>
        <v>5</v>
      </c>
      <c r="H57" s="2">
        <f t="shared" ca="1" si="5"/>
        <v>5</v>
      </c>
      <c r="I57" s="4">
        <f t="shared" ca="1" si="6"/>
        <v>45984288</v>
      </c>
    </row>
    <row r="58" spans="1:9">
      <c r="A58" s="1">
        <v>10000057</v>
      </c>
      <c r="B58" s="3" t="str">
        <f t="shared" ca="1" si="0"/>
        <v>Jalpaiguri</v>
      </c>
      <c r="C58" s="3" t="str">
        <f t="shared" ca="1" si="1"/>
        <v>High Risk</v>
      </c>
      <c r="D58" s="3" t="str">
        <f t="shared" ca="1" si="2"/>
        <v>Industrial</v>
      </c>
      <c r="E58" s="3" t="str" cm="1">
        <f t="array" aca="1" ref="E58" ca="1">_xlfn.IFS(D58="Industrial", "Reinforced Concrete", D58 = "Commercial", CHOOSE(RANDBETWEEN(1, 2), "Reinforced Concrete", "Unreinforced Masonry"), D58 = "Residential", CHOOSE(RANDBETWEEN(1, 3), "Reinforced Concrete", "Unreinforced Masonry", "Adobe / Light Timber"))</f>
        <v>Reinforced Concrete</v>
      </c>
      <c r="F58" s="3">
        <f t="shared" ca="1" si="3"/>
        <v>2020</v>
      </c>
      <c r="G58" s="3">
        <f t="shared" ca="1" si="4"/>
        <v>5</v>
      </c>
      <c r="H58" s="2">
        <f t="shared" ca="1" si="5"/>
        <v>4</v>
      </c>
      <c r="I58" s="4">
        <f t="shared" ca="1" si="6"/>
        <v>56412518</v>
      </c>
    </row>
    <row r="59" spans="1:9">
      <c r="A59" s="1">
        <v>10000058</v>
      </c>
      <c r="B59" s="3" t="str">
        <f t="shared" ca="1" si="0"/>
        <v>Hooghly</v>
      </c>
      <c r="C59" s="3" t="str">
        <f t="shared" ca="1" si="1"/>
        <v>Moderate Risk</v>
      </c>
      <c r="D59" s="3" t="str">
        <f t="shared" ca="1" si="2"/>
        <v>Commercial</v>
      </c>
      <c r="E59" s="3" t="str" cm="1">
        <f t="array" aca="1" ref="E59" ca="1">_xlfn.IFS(D59="Industrial", "Reinforced Concrete", D59 = "Commercial", CHOOSE(RANDBETWEEN(1, 2), "Reinforced Concrete", "Unreinforced Masonry"), D59 = "Residential", CHOOSE(RANDBETWEEN(1, 3), "Reinforced Concrete", "Unreinforced Masonry", "Adobe / Light Timber"))</f>
        <v>Reinforced Concrete</v>
      </c>
      <c r="F59" s="3">
        <f t="shared" ca="1" si="3"/>
        <v>2012</v>
      </c>
      <c r="G59" s="3">
        <f t="shared" ca="1" si="4"/>
        <v>3</v>
      </c>
      <c r="H59" s="2">
        <f t="shared" ca="1" si="5"/>
        <v>5</v>
      </c>
      <c r="I59" s="4">
        <f t="shared" ca="1" si="6"/>
        <v>14261833</v>
      </c>
    </row>
    <row r="60" spans="1:9">
      <c r="A60" s="1">
        <v>10000059</v>
      </c>
      <c r="B60" s="3" t="str">
        <f t="shared" ca="1" si="0"/>
        <v>South 24 Parganas</v>
      </c>
      <c r="C60" s="3" t="str">
        <f t="shared" ca="1" si="1"/>
        <v>High Risk</v>
      </c>
      <c r="D60" s="3" t="str">
        <f t="shared" ca="1" si="2"/>
        <v>Industrial</v>
      </c>
      <c r="E60" s="3" t="str" cm="1">
        <f t="array" aca="1" ref="E60" ca="1">_xlfn.IFS(D60="Industrial", "Reinforced Concrete", D60 = "Commercial", CHOOSE(RANDBETWEEN(1, 2), "Reinforced Concrete", "Unreinforced Masonry"), D60 = "Residential", CHOOSE(RANDBETWEEN(1, 3), "Reinforced Concrete", "Unreinforced Masonry", "Adobe / Light Timber"))</f>
        <v>Reinforced Concrete</v>
      </c>
      <c r="F60" s="3">
        <f t="shared" ca="1" si="3"/>
        <v>1989</v>
      </c>
      <c r="G60" s="3">
        <f t="shared" ca="1" si="4"/>
        <v>5</v>
      </c>
      <c r="H60" s="2">
        <f t="shared" ca="1" si="5"/>
        <v>5</v>
      </c>
      <c r="I60" s="4">
        <f t="shared" ca="1" si="6"/>
        <v>53347735</v>
      </c>
    </row>
    <row r="61" spans="1:9">
      <c r="A61" s="1">
        <v>10000060</v>
      </c>
      <c r="B61" s="3" t="str">
        <f t="shared" ca="1" si="0"/>
        <v>South 24 Parganas</v>
      </c>
      <c r="C61" s="3" t="str">
        <f t="shared" ca="1" si="1"/>
        <v>High Risk</v>
      </c>
      <c r="D61" s="3" t="str">
        <f t="shared" ca="1" si="2"/>
        <v>Residential</v>
      </c>
      <c r="E61" s="3" t="str" cm="1">
        <f t="array" aca="1" ref="E61" ca="1">_xlfn.IFS(D61="Industrial", "Reinforced Concrete", D61 = "Commercial", CHOOSE(RANDBETWEEN(1, 2), "Reinforced Concrete", "Unreinforced Masonry"), D61 = "Residential", CHOOSE(RANDBETWEEN(1, 3), "Reinforced Concrete", "Unreinforced Masonry", "Adobe / Light Timber"))</f>
        <v>Reinforced Concrete</v>
      </c>
      <c r="F61" s="3">
        <f t="shared" ca="1" si="3"/>
        <v>1991</v>
      </c>
      <c r="G61" s="3">
        <f t="shared" ca="1" si="4"/>
        <v>3</v>
      </c>
      <c r="H61" s="2">
        <f t="shared" ca="1" si="5"/>
        <v>4</v>
      </c>
      <c r="I61" s="4">
        <f t="shared" ca="1" si="6"/>
        <v>3486063</v>
      </c>
    </row>
    <row r="62" spans="1:9">
      <c r="A62" s="1">
        <v>10000061</v>
      </c>
      <c r="B62" s="3" t="str">
        <f t="shared" ca="1" si="0"/>
        <v>Hooghly</v>
      </c>
      <c r="C62" s="3" t="str">
        <f t="shared" ca="1" si="1"/>
        <v>Moderate Risk</v>
      </c>
      <c r="D62" s="3" t="str">
        <f t="shared" ca="1" si="2"/>
        <v>Residential</v>
      </c>
      <c r="E62" s="3" t="str" cm="1">
        <f t="array" aca="1" ref="E62" ca="1">_xlfn.IFS(D62="Industrial", "Reinforced Concrete", D62 = "Commercial", CHOOSE(RANDBETWEEN(1, 2), "Reinforced Concrete", "Unreinforced Masonry"), D62 = "Residential", CHOOSE(RANDBETWEEN(1, 3), "Reinforced Concrete", "Unreinforced Masonry", "Adobe / Light Timber"))</f>
        <v>Reinforced Concrete</v>
      </c>
      <c r="F62" s="3">
        <f t="shared" ca="1" si="3"/>
        <v>2021</v>
      </c>
      <c r="G62" s="3">
        <f t="shared" ca="1" si="4"/>
        <v>3</v>
      </c>
      <c r="H62" s="2">
        <f t="shared" ca="1" si="5"/>
        <v>4</v>
      </c>
      <c r="I62" s="4">
        <f t="shared" ca="1" si="6"/>
        <v>3814545</v>
      </c>
    </row>
    <row r="63" spans="1:9">
      <c r="A63" s="1">
        <v>10000062</v>
      </c>
      <c r="B63" s="3" t="str">
        <f t="shared" ca="1" si="0"/>
        <v>Hooghly</v>
      </c>
      <c r="C63" s="3" t="str">
        <f t="shared" ca="1" si="1"/>
        <v>Moderate Risk</v>
      </c>
      <c r="D63" s="3" t="str">
        <f t="shared" ca="1" si="2"/>
        <v>Industrial</v>
      </c>
      <c r="E63" s="3" t="str" cm="1">
        <f t="array" aca="1" ref="E63" ca="1">_xlfn.IFS(D63="Industrial", "Reinforced Concrete", D63 = "Commercial", CHOOSE(RANDBETWEEN(1, 2), "Reinforced Concrete", "Unreinforced Masonry"), D63 = "Residential", CHOOSE(RANDBETWEEN(1, 3), "Reinforced Concrete", "Unreinforced Masonry", "Adobe / Light Timber"))</f>
        <v>Reinforced Concrete</v>
      </c>
      <c r="F63" s="3">
        <f t="shared" ca="1" si="3"/>
        <v>2001</v>
      </c>
      <c r="G63" s="3">
        <f t="shared" ca="1" si="4"/>
        <v>3</v>
      </c>
      <c r="H63" s="2">
        <f t="shared" ca="1" si="5"/>
        <v>3</v>
      </c>
      <c r="I63" s="4">
        <f t="shared" ca="1" si="6"/>
        <v>50387700</v>
      </c>
    </row>
    <row r="64" spans="1:9">
      <c r="A64" s="1">
        <v>10000063</v>
      </c>
      <c r="B64" s="3" t="str">
        <f t="shared" ca="1" si="0"/>
        <v>Jalpaiguri</v>
      </c>
      <c r="C64" s="3" t="str">
        <f t="shared" ca="1" si="1"/>
        <v>High Risk</v>
      </c>
      <c r="D64" s="3" t="str">
        <f t="shared" ca="1" si="2"/>
        <v>Residential</v>
      </c>
      <c r="E64" s="3" t="str" cm="1">
        <f t="array" aca="1" ref="E64" ca="1">_xlfn.IFS(D64="Industrial", "Reinforced Concrete", D64 = "Commercial", CHOOSE(RANDBETWEEN(1, 2), "Reinforced Concrete", "Unreinforced Masonry"), D64 = "Residential", CHOOSE(RANDBETWEEN(1, 3), "Reinforced Concrete", "Unreinforced Masonry", "Adobe / Light Timber"))</f>
        <v>Reinforced Concrete</v>
      </c>
      <c r="F64" s="3">
        <f t="shared" ca="1" si="3"/>
        <v>2012</v>
      </c>
      <c r="G64" s="3">
        <f t="shared" ca="1" si="4"/>
        <v>5</v>
      </c>
      <c r="H64" s="2">
        <f t="shared" ca="1" si="5"/>
        <v>5</v>
      </c>
      <c r="I64" s="4">
        <f t="shared" ca="1" si="6"/>
        <v>4113252</v>
      </c>
    </row>
    <row r="65" spans="1:9">
      <c r="A65" s="1">
        <v>10000064</v>
      </c>
      <c r="B65" s="3" t="str">
        <f t="shared" ca="1" si="0"/>
        <v>Malda</v>
      </c>
      <c r="C65" s="3" t="str">
        <f t="shared" ca="1" si="1"/>
        <v>High Risk</v>
      </c>
      <c r="D65" s="3" t="str">
        <f t="shared" ca="1" si="2"/>
        <v>Commercial</v>
      </c>
      <c r="E65" s="3" t="str" cm="1">
        <f t="array" aca="1" ref="E65" ca="1">_xlfn.IFS(D65="Industrial", "Reinforced Concrete", D65 = "Commercial", CHOOSE(RANDBETWEEN(1, 2), "Reinforced Concrete", "Unreinforced Masonry"), D65 = "Residential", CHOOSE(RANDBETWEEN(1, 3), "Reinforced Concrete", "Unreinforced Masonry", "Adobe / Light Timber"))</f>
        <v>Unreinforced Masonry</v>
      </c>
      <c r="F65" s="3">
        <f t="shared" ca="1" si="3"/>
        <v>2014</v>
      </c>
      <c r="G65" s="3">
        <f t="shared" ca="1" si="4"/>
        <v>5</v>
      </c>
      <c r="H65" s="2">
        <f t="shared" ca="1" si="5"/>
        <v>2</v>
      </c>
      <c r="I65" s="4">
        <f t="shared" ca="1" si="6"/>
        <v>20306306</v>
      </c>
    </row>
    <row r="66" spans="1:9">
      <c r="A66" s="1">
        <v>10000065</v>
      </c>
      <c r="B66" s="3" t="str">
        <f t="shared" ca="1" si="0"/>
        <v>Malda</v>
      </c>
      <c r="C66" s="3" t="str">
        <f t="shared" ca="1" si="1"/>
        <v>High Risk</v>
      </c>
      <c r="D66" s="3" t="str">
        <f t="shared" ca="1" si="2"/>
        <v>Industrial</v>
      </c>
      <c r="E66" s="3" t="str" cm="1">
        <f t="array" aca="1" ref="E66" ca="1">_xlfn.IFS(D66="Industrial", "Reinforced Concrete", D66 = "Commercial", CHOOSE(RANDBETWEEN(1, 2), "Reinforced Concrete", "Unreinforced Masonry"), D66 = "Residential", CHOOSE(RANDBETWEEN(1, 3), "Reinforced Concrete", "Unreinforced Masonry", "Adobe / Light Timber"))</f>
        <v>Reinforced Concrete</v>
      </c>
      <c r="F66" s="3">
        <f t="shared" ca="1" si="3"/>
        <v>2007</v>
      </c>
      <c r="G66" s="3">
        <f t="shared" ca="1" si="4"/>
        <v>3</v>
      </c>
      <c r="H66" s="2">
        <f t="shared" ca="1" si="5"/>
        <v>4</v>
      </c>
      <c r="I66" s="4">
        <f t="shared" ca="1" si="6"/>
        <v>41371992</v>
      </c>
    </row>
    <row r="67" spans="1:9">
      <c r="A67" s="1">
        <v>10000066</v>
      </c>
      <c r="B67" s="3" t="str">
        <f t="shared" ref="B67:B130" ca="1" si="7">CHOOSE(RANDBETWEEN(1, 6),"South 24 Parganas", "Malda", "Jalpaiguri","Kolkata","Hooghly","Paschim Medinipur")</f>
        <v>Kolkata</v>
      </c>
      <c r="C67" s="3" t="str">
        <f t="shared" ref="C67:C130" ca="1" si="8">IF(OR(B67 = "South 24 Parganas", B67 = "Malda", B67 = "Jalpaiguri"), "High Risk", "Moderate Risk")</f>
        <v>Moderate Risk</v>
      </c>
      <c r="D67" s="3" t="str">
        <f t="shared" ref="D67:D130" ca="1" si="9">CHOOSE(RANDBETWEEN(1, 3), "Residential","Commercial","Industrial")</f>
        <v>Residential</v>
      </c>
      <c r="E67" s="3" t="str" cm="1">
        <f t="array" aca="1" ref="E67" ca="1">_xlfn.IFS(D67="Industrial", "Reinforced Concrete", D67 = "Commercial", CHOOSE(RANDBETWEEN(1, 2), "Reinforced Concrete", "Unreinforced Masonry"), D67 = "Residential", CHOOSE(RANDBETWEEN(1, 3), "Reinforced Concrete", "Unreinforced Masonry", "Adobe / Light Timber"))</f>
        <v>Adobe / Light Timber</v>
      </c>
      <c r="F67" s="3">
        <f t="shared" ref="F67:F130" ca="1" si="10">RANDBETWEEN(1980, 2024)</f>
        <v>1999</v>
      </c>
      <c r="G67" s="3">
        <f t="shared" ref="G67:G130" ca="1" si="11">IF(E67 = "Adobe / Light Timber", 1, RANDBETWEEN(1, 5))</f>
        <v>1</v>
      </c>
      <c r="H67" s="2">
        <f t="shared" ref="H67:H130" ca="1" si="12">IF(E67="Reinforced Concrete",RANDBETWEEN(3, 5),RANDBETWEEN(0,2))</f>
        <v>1</v>
      </c>
      <c r="I67" s="4">
        <f t="shared" ref="I67:I130" ca="1" si="13">MAX(200000, _xlfn.IFS(D67 = "Industrial", ROUND(_xlfn.NORM.INV(RAND(), 50000000, 10000000), 0), D67 = "Commercial",ROUND(_xlfn.NORM.INV(RAND(), 15000000, 5000000), 0),E67 = "Adobe / Light Timber", ROUND(_xlfn.NORM.INV(RAND(), 500000, 100000), 0),TRUE, ROUND(_xlfn.NORM.INV(RAND(), 4000000, 1500000), 0)))</f>
        <v>564743</v>
      </c>
    </row>
    <row r="68" spans="1:9">
      <c r="A68" s="1">
        <v>10000067</v>
      </c>
      <c r="B68" s="3" t="str">
        <f t="shared" ca="1" si="7"/>
        <v>Kolkata</v>
      </c>
      <c r="C68" s="3" t="str">
        <f t="shared" ca="1" si="8"/>
        <v>Moderate Risk</v>
      </c>
      <c r="D68" s="3" t="str">
        <f t="shared" ca="1" si="9"/>
        <v>Residential</v>
      </c>
      <c r="E68" s="3" t="str" cm="1">
        <f t="array" aca="1" ref="E68" ca="1">_xlfn.IFS(D68="Industrial", "Reinforced Concrete", D68 = "Commercial", CHOOSE(RANDBETWEEN(1, 2), "Reinforced Concrete", "Unreinforced Masonry"), D68 = "Residential", CHOOSE(RANDBETWEEN(1, 3), "Reinforced Concrete", "Unreinforced Masonry", "Adobe / Light Timber"))</f>
        <v>Unreinforced Masonry</v>
      </c>
      <c r="F68" s="3">
        <f t="shared" ca="1" si="10"/>
        <v>1995</v>
      </c>
      <c r="G68" s="3">
        <f t="shared" ca="1" si="11"/>
        <v>4</v>
      </c>
      <c r="H68" s="2">
        <f t="shared" ca="1" si="12"/>
        <v>1</v>
      </c>
      <c r="I68" s="4">
        <f t="shared" ca="1" si="13"/>
        <v>6514454</v>
      </c>
    </row>
    <row r="69" spans="1:9">
      <c r="A69" s="1">
        <v>10000068</v>
      </c>
      <c r="B69" s="3" t="str">
        <f t="shared" ca="1" si="7"/>
        <v>Jalpaiguri</v>
      </c>
      <c r="C69" s="3" t="str">
        <f t="shared" ca="1" si="8"/>
        <v>High Risk</v>
      </c>
      <c r="D69" s="3" t="str">
        <f t="shared" ca="1" si="9"/>
        <v>Industrial</v>
      </c>
      <c r="E69" s="3" t="str" cm="1">
        <f t="array" aca="1" ref="E69" ca="1">_xlfn.IFS(D69="Industrial", "Reinforced Concrete", D69 = "Commercial", CHOOSE(RANDBETWEEN(1, 2), "Reinforced Concrete", "Unreinforced Masonry"), D69 = "Residential", CHOOSE(RANDBETWEEN(1, 3), "Reinforced Concrete", "Unreinforced Masonry", "Adobe / Light Timber"))</f>
        <v>Reinforced Concrete</v>
      </c>
      <c r="F69" s="3">
        <f t="shared" ca="1" si="10"/>
        <v>1987</v>
      </c>
      <c r="G69" s="3">
        <f t="shared" ca="1" si="11"/>
        <v>2</v>
      </c>
      <c r="H69" s="2">
        <f t="shared" ca="1" si="12"/>
        <v>5</v>
      </c>
      <c r="I69" s="4">
        <f t="shared" ca="1" si="13"/>
        <v>43454822</v>
      </c>
    </row>
    <row r="70" spans="1:9">
      <c r="A70" s="1">
        <v>10000069</v>
      </c>
      <c r="B70" s="3" t="str">
        <f t="shared" ca="1" si="7"/>
        <v>Paschim Medinipur</v>
      </c>
      <c r="C70" s="3" t="str">
        <f t="shared" ca="1" si="8"/>
        <v>Moderate Risk</v>
      </c>
      <c r="D70" s="3" t="str">
        <f t="shared" ca="1" si="9"/>
        <v>Residential</v>
      </c>
      <c r="E70" s="3" t="str" cm="1">
        <f t="array" aca="1" ref="E70" ca="1">_xlfn.IFS(D70="Industrial", "Reinforced Concrete", D70 = "Commercial", CHOOSE(RANDBETWEEN(1, 2), "Reinforced Concrete", "Unreinforced Masonry"), D70 = "Residential", CHOOSE(RANDBETWEEN(1, 3), "Reinforced Concrete", "Unreinforced Masonry", "Adobe / Light Timber"))</f>
        <v>Reinforced Concrete</v>
      </c>
      <c r="F70" s="3">
        <f t="shared" ca="1" si="10"/>
        <v>2006</v>
      </c>
      <c r="G70" s="3">
        <f t="shared" ca="1" si="11"/>
        <v>1</v>
      </c>
      <c r="H70" s="2">
        <f t="shared" ca="1" si="12"/>
        <v>5</v>
      </c>
      <c r="I70" s="4">
        <f t="shared" ca="1" si="13"/>
        <v>5933138</v>
      </c>
    </row>
    <row r="71" spans="1:9">
      <c r="A71" s="1">
        <v>10000070</v>
      </c>
      <c r="B71" s="3" t="str">
        <f t="shared" ca="1" si="7"/>
        <v>Jalpaiguri</v>
      </c>
      <c r="C71" s="3" t="str">
        <f t="shared" ca="1" si="8"/>
        <v>High Risk</v>
      </c>
      <c r="D71" s="3" t="str">
        <f t="shared" ca="1" si="9"/>
        <v>Commercial</v>
      </c>
      <c r="E71" s="3" t="str" cm="1">
        <f t="array" aca="1" ref="E71" ca="1">_xlfn.IFS(D71="Industrial", "Reinforced Concrete", D71 = "Commercial", CHOOSE(RANDBETWEEN(1, 2), "Reinforced Concrete", "Unreinforced Masonry"), D71 = "Residential", CHOOSE(RANDBETWEEN(1, 3), "Reinforced Concrete", "Unreinforced Masonry", "Adobe / Light Timber"))</f>
        <v>Unreinforced Masonry</v>
      </c>
      <c r="F71" s="3">
        <f t="shared" ca="1" si="10"/>
        <v>2023</v>
      </c>
      <c r="G71" s="3">
        <f t="shared" ca="1" si="11"/>
        <v>4</v>
      </c>
      <c r="H71" s="2">
        <f t="shared" ca="1" si="12"/>
        <v>1</v>
      </c>
      <c r="I71" s="4">
        <f t="shared" ca="1" si="13"/>
        <v>15821937</v>
      </c>
    </row>
    <row r="72" spans="1:9">
      <c r="A72" s="1">
        <v>10000071</v>
      </c>
      <c r="B72" s="3" t="str">
        <f t="shared" ca="1" si="7"/>
        <v>South 24 Parganas</v>
      </c>
      <c r="C72" s="3" t="str">
        <f t="shared" ca="1" si="8"/>
        <v>High Risk</v>
      </c>
      <c r="D72" s="3" t="str">
        <f t="shared" ca="1" si="9"/>
        <v>Residential</v>
      </c>
      <c r="E72" s="3" t="str" cm="1">
        <f t="array" aca="1" ref="E72" ca="1">_xlfn.IFS(D72="Industrial", "Reinforced Concrete", D72 = "Commercial", CHOOSE(RANDBETWEEN(1, 2), "Reinforced Concrete", "Unreinforced Masonry"), D72 = "Residential", CHOOSE(RANDBETWEEN(1, 3), "Reinforced Concrete", "Unreinforced Masonry", "Adobe / Light Timber"))</f>
        <v>Reinforced Concrete</v>
      </c>
      <c r="F72" s="3">
        <f t="shared" ca="1" si="10"/>
        <v>2009</v>
      </c>
      <c r="G72" s="3">
        <f t="shared" ca="1" si="11"/>
        <v>5</v>
      </c>
      <c r="H72" s="2">
        <f t="shared" ca="1" si="12"/>
        <v>3</v>
      </c>
      <c r="I72" s="4">
        <f t="shared" ca="1" si="13"/>
        <v>2242256</v>
      </c>
    </row>
    <row r="73" spans="1:9">
      <c r="A73" s="1">
        <v>10000072</v>
      </c>
      <c r="B73" s="3" t="str">
        <f t="shared" ca="1" si="7"/>
        <v>Hooghly</v>
      </c>
      <c r="C73" s="3" t="str">
        <f t="shared" ca="1" si="8"/>
        <v>Moderate Risk</v>
      </c>
      <c r="D73" s="3" t="str">
        <f t="shared" ca="1" si="9"/>
        <v>Commercial</v>
      </c>
      <c r="E73" s="3" t="str" cm="1">
        <f t="array" aca="1" ref="E73" ca="1">_xlfn.IFS(D73="Industrial", "Reinforced Concrete", D73 = "Commercial", CHOOSE(RANDBETWEEN(1, 2), "Reinforced Concrete", "Unreinforced Masonry"), D73 = "Residential", CHOOSE(RANDBETWEEN(1, 3), "Reinforced Concrete", "Unreinforced Masonry", "Adobe / Light Timber"))</f>
        <v>Reinforced Concrete</v>
      </c>
      <c r="F73" s="3">
        <f t="shared" ca="1" si="10"/>
        <v>2008</v>
      </c>
      <c r="G73" s="3">
        <f t="shared" ca="1" si="11"/>
        <v>2</v>
      </c>
      <c r="H73" s="2">
        <f t="shared" ca="1" si="12"/>
        <v>5</v>
      </c>
      <c r="I73" s="4">
        <f t="shared" ca="1" si="13"/>
        <v>14785737</v>
      </c>
    </row>
    <row r="74" spans="1:9">
      <c r="A74" s="1">
        <v>10000073</v>
      </c>
      <c r="B74" s="3" t="str">
        <f t="shared" ca="1" si="7"/>
        <v>Jalpaiguri</v>
      </c>
      <c r="C74" s="3" t="str">
        <f t="shared" ca="1" si="8"/>
        <v>High Risk</v>
      </c>
      <c r="D74" s="3" t="str">
        <f t="shared" ca="1" si="9"/>
        <v>Industrial</v>
      </c>
      <c r="E74" s="3" t="str" cm="1">
        <f t="array" aca="1" ref="E74" ca="1">_xlfn.IFS(D74="Industrial", "Reinforced Concrete", D74 = "Commercial", CHOOSE(RANDBETWEEN(1, 2), "Reinforced Concrete", "Unreinforced Masonry"), D74 = "Residential", CHOOSE(RANDBETWEEN(1, 3), "Reinforced Concrete", "Unreinforced Masonry", "Adobe / Light Timber"))</f>
        <v>Reinforced Concrete</v>
      </c>
      <c r="F74" s="3">
        <f t="shared" ca="1" si="10"/>
        <v>2003</v>
      </c>
      <c r="G74" s="3">
        <f t="shared" ca="1" si="11"/>
        <v>1</v>
      </c>
      <c r="H74" s="2">
        <f t="shared" ca="1" si="12"/>
        <v>5</v>
      </c>
      <c r="I74" s="4">
        <f t="shared" ca="1" si="13"/>
        <v>45540310</v>
      </c>
    </row>
    <row r="75" spans="1:9">
      <c r="A75" s="1">
        <v>10000074</v>
      </c>
      <c r="B75" s="3" t="str">
        <f t="shared" ca="1" si="7"/>
        <v>South 24 Parganas</v>
      </c>
      <c r="C75" s="3" t="str">
        <f t="shared" ca="1" si="8"/>
        <v>High Risk</v>
      </c>
      <c r="D75" s="3" t="str">
        <f t="shared" ca="1" si="9"/>
        <v>Residential</v>
      </c>
      <c r="E75" s="3" t="str" cm="1">
        <f t="array" aca="1" ref="E75" ca="1">_xlfn.IFS(D75="Industrial", "Reinforced Concrete", D75 = "Commercial", CHOOSE(RANDBETWEEN(1, 2), "Reinforced Concrete", "Unreinforced Masonry"), D75 = "Residential", CHOOSE(RANDBETWEEN(1, 3), "Reinforced Concrete", "Unreinforced Masonry", "Adobe / Light Timber"))</f>
        <v>Unreinforced Masonry</v>
      </c>
      <c r="F75" s="3">
        <f t="shared" ca="1" si="10"/>
        <v>2003</v>
      </c>
      <c r="G75" s="3">
        <f t="shared" ca="1" si="11"/>
        <v>3</v>
      </c>
      <c r="H75" s="2">
        <f t="shared" ca="1" si="12"/>
        <v>1</v>
      </c>
      <c r="I75" s="4">
        <f t="shared" ca="1" si="13"/>
        <v>3247736</v>
      </c>
    </row>
    <row r="76" spans="1:9">
      <c r="A76" s="1">
        <v>10000075</v>
      </c>
      <c r="B76" s="3" t="str">
        <f t="shared" ca="1" si="7"/>
        <v>South 24 Parganas</v>
      </c>
      <c r="C76" s="3" t="str">
        <f t="shared" ca="1" si="8"/>
        <v>High Risk</v>
      </c>
      <c r="D76" s="3" t="str">
        <f t="shared" ca="1" si="9"/>
        <v>Residential</v>
      </c>
      <c r="E76" s="3" t="str" cm="1">
        <f t="array" aca="1" ref="E76" ca="1">_xlfn.IFS(D76="Industrial", "Reinforced Concrete", D76 = "Commercial", CHOOSE(RANDBETWEEN(1, 2), "Reinforced Concrete", "Unreinforced Masonry"), D76 = "Residential", CHOOSE(RANDBETWEEN(1, 3), "Reinforced Concrete", "Unreinforced Masonry", "Adobe / Light Timber"))</f>
        <v>Adobe / Light Timber</v>
      </c>
      <c r="F76" s="3">
        <f t="shared" ca="1" si="10"/>
        <v>1990</v>
      </c>
      <c r="G76" s="3">
        <f t="shared" ca="1" si="11"/>
        <v>1</v>
      </c>
      <c r="H76" s="2">
        <f t="shared" ca="1" si="12"/>
        <v>1</v>
      </c>
      <c r="I76" s="4">
        <f t="shared" ca="1" si="13"/>
        <v>457483</v>
      </c>
    </row>
    <row r="77" spans="1:9">
      <c r="A77" s="1">
        <v>10000076</v>
      </c>
      <c r="B77" s="3" t="str">
        <f t="shared" ca="1" si="7"/>
        <v>South 24 Parganas</v>
      </c>
      <c r="C77" s="3" t="str">
        <f t="shared" ca="1" si="8"/>
        <v>High Risk</v>
      </c>
      <c r="D77" s="3" t="str">
        <f t="shared" ca="1" si="9"/>
        <v>Commercial</v>
      </c>
      <c r="E77" s="3" t="str" cm="1">
        <f t="array" aca="1" ref="E77" ca="1">_xlfn.IFS(D77="Industrial", "Reinforced Concrete", D77 = "Commercial", CHOOSE(RANDBETWEEN(1, 2), "Reinforced Concrete", "Unreinforced Masonry"), D77 = "Residential", CHOOSE(RANDBETWEEN(1, 3), "Reinforced Concrete", "Unreinforced Masonry", "Adobe / Light Timber"))</f>
        <v>Unreinforced Masonry</v>
      </c>
      <c r="F77" s="3">
        <f t="shared" ca="1" si="10"/>
        <v>2014</v>
      </c>
      <c r="G77" s="3">
        <f t="shared" ca="1" si="11"/>
        <v>2</v>
      </c>
      <c r="H77" s="2">
        <f t="shared" ca="1" si="12"/>
        <v>0</v>
      </c>
      <c r="I77" s="4">
        <f t="shared" ca="1" si="13"/>
        <v>16547119</v>
      </c>
    </row>
    <row r="78" spans="1:9">
      <c r="A78" s="1">
        <v>10000077</v>
      </c>
      <c r="B78" s="3" t="str">
        <f t="shared" ca="1" si="7"/>
        <v>Jalpaiguri</v>
      </c>
      <c r="C78" s="3" t="str">
        <f t="shared" ca="1" si="8"/>
        <v>High Risk</v>
      </c>
      <c r="D78" s="3" t="str">
        <f t="shared" ca="1" si="9"/>
        <v>Commercial</v>
      </c>
      <c r="E78" s="3" t="str" cm="1">
        <f t="array" aca="1" ref="E78" ca="1">_xlfn.IFS(D78="Industrial", "Reinforced Concrete", D78 = "Commercial", CHOOSE(RANDBETWEEN(1, 2), "Reinforced Concrete", "Unreinforced Masonry"), D78 = "Residential", CHOOSE(RANDBETWEEN(1, 3), "Reinforced Concrete", "Unreinforced Masonry", "Adobe / Light Timber"))</f>
        <v>Reinforced Concrete</v>
      </c>
      <c r="F78" s="3">
        <f t="shared" ca="1" si="10"/>
        <v>1988</v>
      </c>
      <c r="G78" s="3">
        <f t="shared" ca="1" si="11"/>
        <v>2</v>
      </c>
      <c r="H78" s="2">
        <f t="shared" ca="1" si="12"/>
        <v>5</v>
      </c>
      <c r="I78" s="4">
        <f t="shared" ca="1" si="13"/>
        <v>16460428</v>
      </c>
    </row>
    <row r="79" spans="1:9">
      <c r="A79" s="1">
        <v>10000078</v>
      </c>
      <c r="B79" s="3" t="str">
        <f t="shared" ca="1" si="7"/>
        <v>South 24 Parganas</v>
      </c>
      <c r="C79" s="3" t="str">
        <f t="shared" ca="1" si="8"/>
        <v>High Risk</v>
      </c>
      <c r="D79" s="3" t="str">
        <f t="shared" ca="1" si="9"/>
        <v>Industrial</v>
      </c>
      <c r="E79" s="3" t="str" cm="1">
        <f t="array" aca="1" ref="E79" ca="1">_xlfn.IFS(D79="Industrial", "Reinforced Concrete", D79 = "Commercial", CHOOSE(RANDBETWEEN(1, 2), "Reinforced Concrete", "Unreinforced Masonry"), D79 = "Residential", CHOOSE(RANDBETWEEN(1, 3), "Reinforced Concrete", "Unreinforced Masonry", "Adobe / Light Timber"))</f>
        <v>Reinforced Concrete</v>
      </c>
      <c r="F79" s="3">
        <f t="shared" ca="1" si="10"/>
        <v>1996</v>
      </c>
      <c r="G79" s="3">
        <f t="shared" ca="1" si="11"/>
        <v>2</v>
      </c>
      <c r="H79" s="2">
        <f t="shared" ca="1" si="12"/>
        <v>3</v>
      </c>
      <c r="I79" s="4">
        <f t="shared" ca="1" si="13"/>
        <v>57554825</v>
      </c>
    </row>
    <row r="80" spans="1:9">
      <c r="A80" s="1">
        <v>10000079</v>
      </c>
      <c r="B80" s="3" t="str">
        <f t="shared" ca="1" si="7"/>
        <v>Paschim Medinipur</v>
      </c>
      <c r="C80" s="3" t="str">
        <f t="shared" ca="1" si="8"/>
        <v>Moderate Risk</v>
      </c>
      <c r="D80" s="3" t="str">
        <f t="shared" ca="1" si="9"/>
        <v>Residential</v>
      </c>
      <c r="E80" s="3" t="str" cm="1">
        <f t="array" aca="1" ref="E80" ca="1">_xlfn.IFS(D80="Industrial", "Reinforced Concrete", D80 = "Commercial", CHOOSE(RANDBETWEEN(1, 2), "Reinforced Concrete", "Unreinforced Masonry"), D80 = "Residential", CHOOSE(RANDBETWEEN(1, 3), "Reinforced Concrete", "Unreinforced Masonry", "Adobe / Light Timber"))</f>
        <v>Unreinforced Masonry</v>
      </c>
      <c r="F80" s="3">
        <f t="shared" ca="1" si="10"/>
        <v>2006</v>
      </c>
      <c r="G80" s="3">
        <f t="shared" ca="1" si="11"/>
        <v>4</v>
      </c>
      <c r="H80" s="2">
        <f t="shared" ca="1" si="12"/>
        <v>1</v>
      </c>
      <c r="I80" s="4">
        <f t="shared" ca="1" si="13"/>
        <v>4027610</v>
      </c>
    </row>
    <row r="81" spans="1:9">
      <c r="A81" s="1">
        <v>10000080</v>
      </c>
      <c r="B81" s="3" t="str">
        <f t="shared" ca="1" si="7"/>
        <v>Jalpaiguri</v>
      </c>
      <c r="C81" s="3" t="str">
        <f t="shared" ca="1" si="8"/>
        <v>High Risk</v>
      </c>
      <c r="D81" s="3" t="str">
        <f t="shared" ca="1" si="9"/>
        <v>Commercial</v>
      </c>
      <c r="E81" s="3" t="str" cm="1">
        <f t="array" aca="1" ref="E81" ca="1">_xlfn.IFS(D81="Industrial", "Reinforced Concrete", D81 = "Commercial", CHOOSE(RANDBETWEEN(1, 2), "Reinforced Concrete", "Unreinforced Masonry"), D81 = "Residential", CHOOSE(RANDBETWEEN(1, 3), "Reinforced Concrete", "Unreinforced Masonry", "Adobe / Light Timber"))</f>
        <v>Reinforced Concrete</v>
      </c>
      <c r="F81" s="3">
        <f t="shared" ca="1" si="10"/>
        <v>1997</v>
      </c>
      <c r="G81" s="3">
        <f t="shared" ca="1" si="11"/>
        <v>4</v>
      </c>
      <c r="H81" s="2">
        <f t="shared" ca="1" si="12"/>
        <v>3</v>
      </c>
      <c r="I81" s="4">
        <f t="shared" ca="1" si="13"/>
        <v>11255046</v>
      </c>
    </row>
    <row r="82" spans="1:9">
      <c r="A82" s="1">
        <v>10000081</v>
      </c>
      <c r="B82" s="3" t="str">
        <f t="shared" ca="1" si="7"/>
        <v>Jalpaiguri</v>
      </c>
      <c r="C82" s="3" t="str">
        <f t="shared" ca="1" si="8"/>
        <v>High Risk</v>
      </c>
      <c r="D82" s="3" t="str">
        <f t="shared" ca="1" si="9"/>
        <v>Industrial</v>
      </c>
      <c r="E82" s="3" t="str" cm="1">
        <f t="array" aca="1" ref="E82" ca="1">_xlfn.IFS(D82="Industrial", "Reinforced Concrete", D82 = "Commercial", CHOOSE(RANDBETWEEN(1, 2), "Reinforced Concrete", "Unreinforced Masonry"), D82 = "Residential", CHOOSE(RANDBETWEEN(1, 3), "Reinforced Concrete", "Unreinforced Masonry", "Adobe / Light Timber"))</f>
        <v>Reinforced Concrete</v>
      </c>
      <c r="F82" s="3">
        <f t="shared" ca="1" si="10"/>
        <v>2012</v>
      </c>
      <c r="G82" s="3">
        <f t="shared" ca="1" si="11"/>
        <v>4</v>
      </c>
      <c r="H82" s="2">
        <f t="shared" ca="1" si="12"/>
        <v>4</v>
      </c>
      <c r="I82" s="4">
        <f t="shared" ca="1" si="13"/>
        <v>57870452</v>
      </c>
    </row>
    <row r="83" spans="1:9">
      <c r="A83" s="1">
        <v>10000082</v>
      </c>
      <c r="B83" s="3" t="str">
        <f t="shared" ca="1" si="7"/>
        <v>Malda</v>
      </c>
      <c r="C83" s="3" t="str">
        <f t="shared" ca="1" si="8"/>
        <v>High Risk</v>
      </c>
      <c r="D83" s="3" t="str">
        <f t="shared" ca="1" si="9"/>
        <v>Industrial</v>
      </c>
      <c r="E83" s="3" t="str" cm="1">
        <f t="array" aca="1" ref="E83" ca="1">_xlfn.IFS(D83="Industrial", "Reinforced Concrete", D83 = "Commercial", CHOOSE(RANDBETWEEN(1, 2), "Reinforced Concrete", "Unreinforced Masonry"), D83 = "Residential", CHOOSE(RANDBETWEEN(1, 3), "Reinforced Concrete", "Unreinforced Masonry", "Adobe / Light Timber"))</f>
        <v>Reinforced Concrete</v>
      </c>
      <c r="F83" s="3">
        <f t="shared" ca="1" si="10"/>
        <v>1998</v>
      </c>
      <c r="G83" s="3">
        <f t="shared" ca="1" si="11"/>
        <v>4</v>
      </c>
      <c r="H83" s="2">
        <f t="shared" ca="1" si="12"/>
        <v>4</v>
      </c>
      <c r="I83" s="4">
        <f t="shared" ca="1" si="13"/>
        <v>40482486</v>
      </c>
    </row>
    <row r="84" spans="1:9">
      <c r="A84" s="1">
        <v>10000083</v>
      </c>
      <c r="B84" s="3" t="str">
        <f t="shared" ca="1" si="7"/>
        <v>Kolkata</v>
      </c>
      <c r="C84" s="3" t="str">
        <f t="shared" ca="1" si="8"/>
        <v>Moderate Risk</v>
      </c>
      <c r="D84" s="3" t="str">
        <f t="shared" ca="1" si="9"/>
        <v>Commercial</v>
      </c>
      <c r="E84" s="3" t="str" cm="1">
        <f t="array" aca="1" ref="E84" ca="1">_xlfn.IFS(D84="Industrial", "Reinforced Concrete", D84 = "Commercial", CHOOSE(RANDBETWEEN(1, 2), "Reinforced Concrete", "Unreinforced Masonry"), D84 = "Residential", CHOOSE(RANDBETWEEN(1, 3), "Reinforced Concrete", "Unreinforced Masonry", "Adobe / Light Timber"))</f>
        <v>Reinforced Concrete</v>
      </c>
      <c r="F84" s="3">
        <f t="shared" ca="1" si="10"/>
        <v>2008</v>
      </c>
      <c r="G84" s="3">
        <f t="shared" ca="1" si="11"/>
        <v>1</v>
      </c>
      <c r="H84" s="2">
        <f t="shared" ca="1" si="12"/>
        <v>4</v>
      </c>
      <c r="I84" s="4">
        <f t="shared" ca="1" si="13"/>
        <v>15531577</v>
      </c>
    </row>
    <row r="85" spans="1:9">
      <c r="A85" s="1">
        <v>10000084</v>
      </c>
      <c r="B85" s="3" t="str">
        <f t="shared" ca="1" si="7"/>
        <v>Kolkata</v>
      </c>
      <c r="C85" s="3" t="str">
        <f t="shared" ca="1" si="8"/>
        <v>Moderate Risk</v>
      </c>
      <c r="D85" s="3" t="str">
        <f t="shared" ca="1" si="9"/>
        <v>Industrial</v>
      </c>
      <c r="E85" s="3" t="str" cm="1">
        <f t="array" aca="1" ref="E85" ca="1">_xlfn.IFS(D85="Industrial", "Reinforced Concrete", D85 = "Commercial", CHOOSE(RANDBETWEEN(1, 2), "Reinforced Concrete", "Unreinforced Masonry"), D85 = "Residential", CHOOSE(RANDBETWEEN(1, 3), "Reinforced Concrete", "Unreinforced Masonry", "Adobe / Light Timber"))</f>
        <v>Reinforced Concrete</v>
      </c>
      <c r="F85" s="3">
        <f t="shared" ca="1" si="10"/>
        <v>2000</v>
      </c>
      <c r="G85" s="3">
        <f t="shared" ca="1" si="11"/>
        <v>2</v>
      </c>
      <c r="H85" s="2">
        <f t="shared" ca="1" si="12"/>
        <v>5</v>
      </c>
      <c r="I85" s="4">
        <f t="shared" ca="1" si="13"/>
        <v>42245930</v>
      </c>
    </row>
    <row r="86" spans="1:9">
      <c r="A86" s="1">
        <v>10000085</v>
      </c>
      <c r="B86" s="3" t="str">
        <f t="shared" ca="1" si="7"/>
        <v>Paschim Medinipur</v>
      </c>
      <c r="C86" s="3" t="str">
        <f t="shared" ca="1" si="8"/>
        <v>Moderate Risk</v>
      </c>
      <c r="D86" s="3" t="str">
        <f t="shared" ca="1" si="9"/>
        <v>Industrial</v>
      </c>
      <c r="E86" s="3" t="str" cm="1">
        <f t="array" aca="1" ref="E86" ca="1">_xlfn.IFS(D86="Industrial", "Reinforced Concrete", D86 = "Commercial", CHOOSE(RANDBETWEEN(1, 2), "Reinforced Concrete", "Unreinforced Masonry"), D86 = "Residential", CHOOSE(RANDBETWEEN(1, 3), "Reinforced Concrete", "Unreinforced Masonry", "Adobe / Light Timber"))</f>
        <v>Reinforced Concrete</v>
      </c>
      <c r="F86" s="3">
        <f t="shared" ca="1" si="10"/>
        <v>2024</v>
      </c>
      <c r="G86" s="3">
        <f t="shared" ca="1" si="11"/>
        <v>3</v>
      </c>
      <c r="H86" s="2">
        <f t="shared" ca="1" si="12"/>
        <v>5</v>
      </c>
      <c r="I86" s="4">
        <f t="shared" ca="1" si="13"/>
        <v>47745851</v>
      </c>
    </row>
    <row r="87" spans="1:9">
      <c r="A87" s="1">
        <v>10000086</v>
      </c>
      <c r="B87" s="3" t="str">
        <f t="shared" ca="1" si="7"/>
        <v>Jalpaiguri</v>
      </c>
      <c r="C87" s="3" t="str">
        <f t="shared" ca="1" si="8"/>
        <v>High Risk</v>
      </c>
      <c r="D87" s="3" t="str">
        <f t="shared" ca="1" si="9"/>
        <v>Commercial</v>
      </c>
      <c r="E87" s="3" t="str" cm="1">
        <f t="array" aca="1" ref="E87" ca="1">_xlfn.IFS(D87="Industrial", "Reinforced Concrete", D87 = "Commercial", CHOOSE(RANDBETWEEN(1, 2), "Reinforced Concrete", "Unreinforced Masonry"), D87 = "Residential", CHOOSE(RANDBETWEEN(1, 3), "Reinforced Concrete", "Unreinforced Masonry", "Adobe / Light Timber"))</f>
        <v>Reinforced Concrete</v>
      </c>
      <c r="F87" s="3">
        <f t="shared" ca="1" si="10"/>
        <v>2006</v>
      </c>
      <c r="G87" s="3">
        <f t="shared" ca="1" si="11"/>
        <v>5</v>
      </c>
      <c r="H87" s="2">
        <f t="shared" ca="1" si="12"/>
        <v>3</v>
      </c>
      <c r="I87" s="4">
        <f t="shared" ca="1" si="13"/>
        <v>7679410</v>
      </c>
    </row>
    <row r="88" spans="1:9">
      <c r="A88" s="1">
        <v>10000087</v>
      </c>
      <c r="B88" s="3" t="str">
        <f t="shared" ca="1" si="7"/>
        <v>South 24 Parganas</v>
      </c>
      <c r="C88" s="3" t="str">
        <f t="shared" ca="1" si="8"/>
        <v>High Risk</v>
      </c>
      <c r="D88" s="3" t="str">
        <f t="shared" ca="1" si="9"/>
        <v>Industrial</v>
      </c>
      <c r="E88" s="3" t="str" cm="1">
        <f t="array" aca="1" ref="E88" ca="1">_xlfn.IFS(D88="Industrial", "Reinforced Concrete", D88 = "Commercial", CHOOSE(RANDBETWEEN(1, 2), "Reinforced Concrete", "Unreinforced Masonry"), D88 = "Residential", CHOOSE(RANDBETWEEN(1, 3), "Reinforced Concrete", "Unreinforced Masonry", "Adobe / Light Timber"))</f>
        <v>Reinforced Concrete</v>
      </c>
      <c r="F88" s="3">
        <f t="shared" ca="1" si="10"/>
        <v>2001</v>
      </c>
      <c r="G88" s="3">
        <f t="shared" ca="1" si="11"/>
        <v>2</v>
      </c>
      <c r="H88" s="2">
        <f t="shared" ca="1" si="12"/>
        <v>5</v>
      </c>
      <c r="I88" s="4">
        <f t="shared" ca="1" si="13"/>
        <v>42026369</v>
      </c>
    </row>
    <row r="89" spans="1:9">
      <c r="A89" s="1">
        <v>10000088</v>
      </c>
      <c r="B89" s="3" t="str">
        <f t="shared" ca="1" si="7"/>
        <v>Kolkata</v>
      </c>
      <c r="C89" s="3" t="str">
        <f t="shared" ca="1" si="8"/>
        <v>Moderate Risk</v>
      </c>
      <c r="D89" s="3" t="str">
        <f t="shared" ca="1" si="9"/>
        <v>Industrial</v>
      </c>
      <c r="E89" s="3" t="str" cm="1">
        <f t="array" aca="1" ref="E89" ca="1">_xlfn.IFS(D89="Industrial", "Reinforced Concrete", D89 = "Commercial", CHOOSE(RANDBETWEEN(1, 2), "Reinforced Concrete", "Unreinforced Masonry"), D89 = "Residential", CHOOSE(RANDBETWEEN(1, 3), "Reinforced Concrete", "Unreinforced Masonry", "Adobe / Light Timber"))</f>
        <v>Reinforced Concrete</v>
      </c>
      <c r="F89" s="3">
        <f t="shared" ca="1" si="10"/>
        <v>2003</v>
      </c>
      <c r="G89" s="3">
        <f t="shared" ca="1" si="11"/>
        <v>2</v>
      </c>
      <c r="H89" s="2">
        <f t="shared" ca="1" si="12"/>
        <v>4</v>
      </c>
      <c r="I89" s="4">
        <f t="shared" ca="1" si="13"/>
        <v>49411739</v>
      </c>
    </row>
    <row r="90" spans="1:9">
      <c r="A90" s="1">
        <v>10000089</v>
      </c>
      <c r="B90" s="3" t="str">
        <f t="shared" ca="1" si="7"/>
        <v>Hooghly</v>
      </c>
      <c r="C90" s="3" t="str">
        <f t="shared" ca="1" si="8"/>
        <v>Moderate Risk</v>
      </c>
      <c r="D90" s="3" t="str">
        <f t="shared" ca="1" si="9"/>
        <v>Commercial</v>
      </c>
      <c r="E90" s="3" t="str" cm="1">
        <f t="array" aca="1" ref="E90" ca="1">_xlfn.IFS(D90="Industrial", "Reinforced Concrete", D90 = "Commercial", CHOOSE(RANDBETWEEN(1, 2), "Reinforced Concrete", "Unreinforced Masonry"), D90 = "Residential", CHOOSE(RANDBETWEEN(1, 3), "Reinforced Concrete", "Unreinforced Masonry", "Adobe / Light Timber"))</f>
        <v>Unreinforced Masonry</v>
      </c>
      <c r="F90" s="3">
        <f t="shared" ca="1" si="10"/>
        <v>2012</v>
      </c>
      <c r="G90" s="3">
        <f t="shared" ca="1" si="11"/>
        <v>4</v>
      </c>
      <c r="H90" s="2">
        <f t="shared" ca="1" si="12"/>
        <v>0</v>
      </c>
      <c r="I90" s="4">
        <f t="shared" ca="1" si="13"/>
        <v>19454940</v>
      </c>
    </row>
    <row r="91" spans="1:9">
      <c r="A91" s="1">
        <v>10000090</v>
      </c>
      <c r="B91" s="3" t="str">
        <f t="shared" ca="1" si="7"/>
        <v>Paschim Medinipur</v>
      </c>
      <c r="C91" s="3" t="str">
        <f t="shared" ca="1" si="8"/>
        <v>Moderate Risk</v>
      </c>
      <c r="D91" s="3" t="str">
        <f t="shared" ca="1" si="9"/>
        <v>Commercial</v>
      </c>
      <c r="E91" s="3" t="str" cm="1">
        <f t="array" aca="1" ref="E91" ca="1">_xlfn.IFS(D91="Industrial", "Reinforced Concrete", D91 = "Commercial", CHOOSE(RANDBETWEEN(1, 2), "Reinforced Concrete", "Unreinforced Masonry"), D91 = "Residential", CHOOSE(RANDBETWEEN(1, 3), "Reinforced Concrete", "Unreinforced Masonry", "Adobe / Light Timber"))</f>
        <v>Unreinforced Masonry</v>
      </c>
      <c r="F91" s="3">
        <f t="shared" ca="1" si="10"/>
        <v>2022</v>
      </c>
      <c r="G91" s="3">
        <f t="shared" ca="1" si="11"/>
        <v>1</v>
      </c>
      <c r="H91" s="2">
        <f t="shared" ca="1" si="12"/>
        <v>2</v>
      </c>
      <c r="I91" s="4">
        <f t="shared" ca="1" si="13"/>
        <v>16145191</v>
      </c>
    </row>
    <row r="92" spans="1:9">
      <c r="A92" s="1">
        <v>10000091</v>
      </c>
      <c r="B92" s="3" t="str">
        <f t="shared" ca="1" si="7"/>
        <v>Paschim Medinipur</v>
      </c>
      <c r="C92" s="3" t="str">
        <f t="shared" ca="1" si="8"/>
        <v>Moderate Risk</v>
      </c>
      <c r="D92" s="3" t="str">
        <f t="shared" ca="1" si="9"/>
        <v>Commercial</v>
      </c>
      <c r="E92" s="3" t="str" cm="1">
        <f t="array" aca="1" ref="E92" ca="1">_xlfn.IFS(D92="Industrial", "Reinforced Concrete", D92 = "Commercial", CHOOSE(RANDBETWEEN(1, 2), "Reinforced Concrete", "Unreinforced Masonry"), D92 = "Residential", CHOOSE(RANDBETWEEN(1, 3), "Reinforced Concrete", "Unreinforced Masonry", "Adobe / Light Timber"))</f>
        <v>Unreinforced Masonry</v>
      </c>
      <c r="F92" s="3">
        <f t="shared" ca="1" si="10"/>
        <v>2018</v>
      </c>
      <c r="G92" s="3">
        <f t="shared" ca="1" si="11"/>
        <v>3</v>
      </c>
      <c r="H92" s="2">
        <f t="shared" ca="1" si="12"/>
        <v>1</v>
      </c>
      <c r="I92" s="4">
        <f t="shared" ca="1" si="13"/>
        <v>13694555</v>
      </c>
    </row>
    <row r="93" spans="1:9">
      <c r="A93" s="1">
        <v>10000092</v>
      </c>
      <c r="B93" s="3" t="str">
        <f t="shared" ca="1" si="7"/>
        <v>Paschim Medinipur</v>
      </c>
      <c r="C93" s="3" t="str">
        <f t="shared" ca="1" si="8"/>
        <v>Moderate Risk</v>
      </c>
      <c r="D93" s="3" t="str">
        <f t="shared" ca="1" si="9"/>
        <v>Commercial</v>
      </c>
      <c r="E93" s="3" t="str" cm="1">
        <f t="array" aca="1" ref="E93" ca="1">_xlfn.IFS(D93="Industrial", "Reinforced Concrete", D93 = "Commercial", CHOOSE(RANDBETWEEN(1, 2), "Reinforced Concrete", "Unreinforced Masonry"), D93 = "Residential", CHOOSE(RANDBETWEEN(1, 3), "Reinforced Concrete", "Unreinforced Masonry", "Adobe / Light Timber"))</f>
        <v>Reinforced Concrete</v>
      </c>
      <c r="F93" s="3">
        <f t="shared" ca="1" si="10"/>
        <v>2011</v>
      </c>
      <c r="G93" s="3">
        <f t="shared" ca="1" si="11"/>
        <v>5</v>
      </c>
      <c r="H93" s="2">
        <f t="shared" ca="1" si="12"/>
        <v>5</v>
      </c>
      <c r="I93" s="4">
        <f t="shared" ca="1" si="13"/>
        <v>23786255</v>
      </c>
    </row>
    <row r="94" spans="1:9">
      <c r="A94" s="1">
        <v>10000093</v>
      </c>
      <c r="B94" s="3" t="str">
        <f t="shared" ca="1" si="7"/>
        <v>Jalpaiguri</v>
      </c>
      <c r="C94" s="3" t="str">
        <f t="shared" ca="1" si="8"/>
        <v>High Risk</v>
      </c>
      <c r="D94" s="3" t="str">
        <f t="shared" ca="1" si="9"/>
        <v>Residential</v>
      </c>
      <c r="E94" s="3" t="str" cm="1">
        <f t="array" aca="1" ref="E94" ca="1">_xlfn.IFS(D94="Industrial", "Reinforced Concrete", D94 = "Commercial", CHOOSE(RANDBETWEEN(1, 2), "Reinforced Concrete", "Unreinforced Masonry"), D94 = "Residential", CHOOSE(RANDBETWEEN(1, 3), "Reinforced Concrete", "Unreinforced Masonry", "Adobe / Light Timber"))</f>
        <v>Adobe / Light Timber</v>
      </c>
      <c r="F94" s="3">
        <f t="shared" ca="1" si="10"/>
        <v>1996</v>
      </c>
      <c r="G94" s="3">
        <f t="shared" ca="1" si="11"/>
        <v>1</v>
      </c>
      <c r="H94" s="2">
        <f t="shared" ca="1" si="12"/>
        <v>2</v>
      </c>
      <c r="I94" s="4">
        <f t="shared" ca="1" si="13"/>
        <v>537703</v>
      </c>
    </row>
    <row r="95" spans="1:9">
      <c r="A95" s="1">
        <v>10000094</v>
      </c>
      <c r="B95" s="3" t="str">
        <f t="shared" ca="1" si="7"/>
        <v>Malda</v>
      </c>
      <c r="C95" s="3" t="str">
        <f t="shared" ca="1" si="8"/>
        <v>High Risk</v>
      </c>
      <c r="D95" s="3" t="str">
        <f t="shared" ca="1" si="9"/>
        <v>Industrial</v>
      </c>
      <c r="E95" s="3" t="str" cm="1">
        <f t="array" aca="1" ref="E95" ca="1">_xlfn.IFS(D95="Industrial", "Reinforced Concrete", D95 = "Commercial", CHOOSE(RANDBETWEEN(1, 2), "Reinforced Concrete", "Unreinforced Masonry"), D95 = "Residential", CHOOSE(RANDBETWEEN(1, 3), "Reinforced Concrete", "Unreinforced Masonry", "Adobe / Light Timber"))</f>
        <v>Reinforced Concrete</v>
      </c>
      <c r="F95" s="3">
        <f t="shared" ca="1" si="10"/>
        <v>2023</v>
      </c>
      <c r="G95" s="3">
        <f t="shared" ca="1" si="11"/>
        <v>1</v>
      </c>
      <c r="H95" s="2">
        <f t="shared" ca="1" si="12"/>
        <v>3</v>
      </c>
      <c r="I95" s="4">
        <f t="shared" ca="1" si="13"/>
        <v>51009959</v>
      </c>
    </row>
    <row r="96" spans="1:9">
      <c r="A96" s="1">
        <v>10000095</v>
      </c>
      <c r="B96" s="3" t="str">
        <f t="shared" ca="1" si="7"/>
        <v>South 24 Parganas</v>
      </c>
      <c r="C96" s="3" t="str">
        <f t="shared" ca="1" si="8"/>
        <v>High Risk</v>
      </c>
      <c r="D96" s="3" t="str">
        <f t="shared" ca="1" si="9"/>
        <v>Residential</v>
      </c>
      <c r="E96" s="3" t="str" cm="1">
        <f t="array" aca="1" ref="E96" ca="1">_xlfn.IFS(D96="Industrial", "Reinforced Concrete", D96 = "Commercial", CHOOSE(RANDBETWEEN(1, 2), "Reinforced Concrete", "Unreinforced Masonry"), D96 = "Residential", CHOOSE(RANDBETWEEN(1, 3), "Reinforced Concrete", "Unreinforced Masonry", "Adobe / Light Timber"))</f>
        <v>Adobe / Light Timber</v>
      </c>
      <c r="F96" s="3">
        <f t="shared" ca="1" si="10"/>
        <v>2020</v>
      </c>
      <c r="G96" s="3">
        <f t="shared" ca="1" si="11"/>
        <v>1</v>
      </c>
      <c r="H96" s="2">
        <f t="shared" ca="1" si="12"/>
        <v>2</v>
      </c>
      <c r="I96" s="4">
        <f t="shared" ca="1" si="13"/>
        <v>568041</v>
      </c>
    </row>
    <row r="97" spans="1:9">
      <c r="A97" s="1">
        <v>10000096</v>
      </c>
      <c r="B97" s="3" t="str">
        <f t="shared" ca="1" si="7"/>
        <v>Hooghly</v>
      </c>
      <c r="C97" s="3" t="str">
        <f t="shared" ca="1" si="8"/>
        <v>Moderate Risk</v>
      </c>
      <c r="D97" s="3" t="str">
        <f t="shared" ca="1" si="9"/>
        <v>Residential</v>
      </c>
      <c r="E97" s="3" t="str" cm="1">
        <f t="array" aca="1" ref="E97" ca="1">_xlfn.IFS(D97="Industrial", "Reinforced Concrete", D97 = "Commercial", CHOOSE(RANDBETWEEN(1, 2), "Reinforced Concrete", "Unreinforced Masonry"), D97 = "Residential", CHOOSE(RANDBETWEEN(1, 3), "Reinforced Concrete", "Unreinforced Masonry", "Adobe / Light Timber"))</f>
        <v>Unreinforced Masonry</v>
      </c>
      <c r="F97" s="3">
        <f t="shared" ca="1" si="10"/>
        <v>1984</v>
      </c>
      <c r="G97" s="3">
        <f t="shared" ca="1" si="11"/>
        <v>2</v>
      </c>
      <c r="H97" s="2">
        <f t="shared" ca="1" si="12"/>
        <v>0</v>
      </c>
      <c r="I97" s="4">
        <f t="shared" ca="1" si="13"/>
        <v>3152901</v>
      </c>
    </row>
    <row r="98" spans="1:9">
      <c r="A98" s="1">
        <v>10000097</v>
      </c>
      <c r="B98" s="3" t="str">
        <f t="shared" ca="1" si="7"/>
        <v>Jalpaiguri</v>
      </c>
      <c r="C98" s="3" t="str">
        <f t="shared" ca="1" si="8"/>
        <v>High Risk</v>
      </c>
      <c r="D98" s="3" t="str">
        <f t="shared" ca="1" si="9"/>
        <v>Commercial</v>
      </c>
      <c r="E98" s="3" t="str" cm="1">
        <f t="array" aca="1" ref="E98" ca="1">_xlfn.IFS(D98="Industrial", "Reinforced Concrete", D98 = "Commercial", CHOOSE(RANDBETWEEN(1, 2), "Reinforced Concrete", "Unreinforced Masonry"), D98 = "Residential", CHOOSE(RANDBETWEEN(1, 3), "Reinforced Concrete", "Unreinforced Masonry", "Adobe / Light Timber"))</f>
        <v>Unreinforced Masonry</v>
      </c>
      <c r="F98" s="3">
        <f t="shared" ca="1" si="10"/>
        <v>1980</v>
      </c>
      <c r="G98" s="3">
        <f t="shared" ca="1" si="11"/>
        <v>3</v>
      </c>
      <c r="H98" s="2">
        <f t="shared" ca="1" si="12"/>
        <v>2</v>
      </c>
      <c r="I98" s="4">
        <f t="shared" ca="1" si="13"/>
        <v>15949412</v>
      </c>
    </row>
    <row r="99" spans="1:9">
      <c r="A99" s="1">
        <v>10000098</v>
      </c>
      <c r="B99" s="3" t="str">
        <f t="shared" ca="1" si="7"/>
        <v>Paschim Medinipur</v>
      </c>
      <c r="C99" s="3" t="str">
        <f t="shared" ca="1" si="8"/>
        <v>Moderate Risk</v>
      </c>
      <c r="D99" s="3" t="str">
        <f t="shared" ca="1" si="9"/>
        <v>Commercial</v>
      </c>
      <c r="E99" s="3" t="str" cm="1">
        <f t="array" aca="1" ref="E99" ca="1">_xlfn.IFS(D99="Industrial", "Reinforced Concrete", D99 = "Commercial", CHOOSE(RANDBETWEEN(1, 2), "Reinforced Concrete", "Unreinforced Masonry"), D99 = "Residential", CHOOSE(RANDBETWEEN(1, 3), "Reinforced Concrete", "Unreinforced Masonry", "Adobe / Light Timber"))</f>
        <v>Reinforced Concrete</v>
      </c>
      <c r="F99" s="3">
        <f t="shared" ca="1" si="10"/>
        <v>1987</v>
      </c>
      <c r="G99" s="3">
        <f t="shared" ca="1" si="11"/>
        <v>1</v>
      </c>
      <c r="H99" s="2">
        <f t="shared" ca="1" si="12"/>
        <v>4</v>
      </c>
      <c r="I99" s="4">
        <f t="shared" ca="1" si="13"/>
        <v>16796288</v>
      </c>
    </row>
    <row r="100" spans="1:9">
      <c r="A100" s="1">
        <v>10000099</v>
      </c>
      <c r="B100" s="3" t="str">
        <f t="shared" ca="1" si="7"/>
        <v>Malda</v>
      </c>
      <c r="C100" s="3" t="str">
        <f t="shared" ca="1" si="8"/>
        <v>High Risk</v>
      </c>
      <c r="D100" s="3" t="str">
        <f t="shared" ca="1" si="9"/>
        <v>Industrial</v>
      </c>
      <c r="E100" s="3" t="str" cm="1">
        <f t="array" aca="1" ref="E100" ca="1">_xlfn.IFS(D100="Industrial", "Reinforced Concrete", D100 = "Commercial", CHOOSE(RANDBETWEEN(1, 2), "Reinforced Concrete", "Unreinforced Masonry"), D100 = "Residential", CHOOSE(RANDBETWEEN(1, 3), "Reinforced Concrete", "Unreinforced Masonry", "Adobe / Light Timber"))</f>
        <v>Reinforced Concrete</v>
      </c>
      <c r="F100" s="3">
        <f t="shared" ca="1" si="10"/>
        <v>1990</v>
      </c>
      <c r="G100" s="3">
        <f t="shared" ca="1" si="11"/>
        <v>5</v>
      </c>
      <c r="H100" s="2">
        <f t="shared" ca="1" si="12"/>
        <v>4</v>
      </c>
      <c r="I100" s="4">
        <f t="shared" ca="1" si="13"/>
        <v>57967744</v>
      </c>
    </row>
    <row r="101" spans="1:9">
      <c r="A101" s="1">
        <v>10000100</v>
      </c>
      <c r="B101" s="3" t="str">
        <f t="shared" ca="1" si="7"/>
        <v>Paschim Medinipur</v>
      </c>
      <c r="C101" s="3" t="str">
        <f t="shared" ca="1" si="8"/>
        <v>Moderate Risk</v>
      </c>
      <c r="D101" s="3" t="str">
        <f t="shared" ca="1" si="9"/>
        <v>Industrial</v>
      </c>
      <c r="E101" s="3" t="str" cm="1">
        <f t="array" aca="1" ref="E101" ca="1">_xlfn.IFS(D101="Industrial", "Reinforced Concrete", D101 = "Commercial", CHOOSE(RANDBETWEEN(1, 2), "Reinforced Concrete", "Unreinforced Masonry"), D101 = "Residential", CHOOSE(RANDBETWEEN(1, 3), "Reinforced Concrete", "Unreinforced Masonry", "Adobe / Light Timber"))</f>
        <v>Reinforced Concrete</v>
      </c>
      <c r="F101" s="3">
        <f t="shared" ca="1" si="10"/>
        <v>2001</v>
      </c>
      <c r="G101" s="3">
        <f t="shared" ca="1" si="11"/>
        <v>4</v>
      </c>
      <c r="H101" s="2">
        <f t="shared" ca="1" si="12"/>
        <v>4</v>
      </c>
      <c r="I101" s="4">
        <f t="shared" ca="1" si="13"/>
        <v>52275190</v>
      </c>
    </row>
    <row r="102" spans="1:9">
      <c r="A102" s="1">
        <v>10000101</v>
      </c>
      <c r="B102" s="3" t="str">
        <f t="shared" ca="1" si="7"/>
        <v>South 24 Parganas</v>
      </c>
      <c r="C102" s="3" t="str">
        <f t="shared" ca="1" si="8"/>
        <v>High Risk</v>
      </c>
      <c r="D102" s="3" t="str">
        <f t="shared" ca="1" si="9"/>
        <v>Commercial</v>
      </c>
      <c r="E102" s="3" t="str" cm="1">
        <f t="array" aca="1" ref="E102" ca="1">_xlfn.IFS(D102="Industrial", "Reinforced Concrete", D102 = "Commercial", CHOOSE(RANDBETWEEN(1, 2), "Reinforced Concrete", "Unreinforced Masonry"), D102 = "Residential", CHOOSE(RANDBETWEEN(1, 3), "Reinforced Concrete", "Unreinforced Masonry", "Adobe / Light Timber"))</f>
        <v>Reinforced Concrete</v>
      </c>
      <c r="F102" s="3">
        <f t="shared" ca="1" si="10"/>
        <v>1991</v>
      </c>
      <c r="G102" s="3">
        <f t="shared" ca="1" si="11"/>
        <v>3</v>
      </c>
      <c r="H102" s="2">
        <f t="shared" ca="1" si="12"/>
        <v>3</v>
      </c>
      <c r="I102" s="4">
        <f t="shared" ca="1" si="13"/>
        <v>16275963</v>
      </c>
    </row>
    <row r="103" spans="1:9">
      <c r="A103" s="1">
        <v>10000102</v>
      </c>
      <c r="B103" s="3" t="str">
        <f t="shared" ca="1" si="7"/>
        <v>South 24 Parganas</v>
      </c>
      <c r="C103" s="3" t="str">
        <f t="shared" ca="1" si="8"/>
        <v>High Risk</v>
      </c>
      <c r="D103" s="3" t="str">
        <f t="shared" ca="1" si="9"/>
        <v>Commercial</v>
      </c>
      <c r="E103" s="3" t="str" cm="1">
        <f t="array" aca="1" ref="E103" ca="1">_xlfn.IFS(D103="Industrial", "Reinforced Concrete", D103 = "Commercial", CHOOSE(RANDBETWEEN(1, 2), "Reinforced Concrete", "Unreinforced Masonry"), D103 = "Residential", CHOOSE(RANDBETWEEN(1, 3), "Reinforced Concrete", "Unreinforced Masonry", "Adobe / Light Timber"))</f>
        <v>Unreinforced Masonry</v>
      </c>
      <c r="F103" s="3">
        <f t="shared" ca="1" si="10"/>
        <v>2024</v>
      </c>
      <c r="G103" s="3">
        <f t="shared" ca="1" si="11"/>
        <v>5</v>
      </c>
      <c r="H103" s="2">
        <f t="shared" ca="1" si="12"/>
        <v>2</v>
      </c>
      <c r="I103" s="4">
        <f t="shared" ca="1" si="13"/>
        <v>9254951</v>
      </c>
    </row>
    <row r="104" spans="1:9">
      <c r="A104" s="1">
        <v>10000103</v>
      </c>
      <c r="B104" s="3" t="str">
        <f t="shared" ca="1" si="7"/>
        <v>Kolkata</v>
      </c>
      <c r="C104" s="3" t="str">
        <f t="shared" ca="1" si="8"/>
        <v>Moderate Risk</v>
      </c>
      <c r="D104" s="3" t="str">
        <f t="shared" ca="1" si="9"/>
        <v>Residential</v>
      </c>
      <c r="E104" s="3" t="str" cm="1">
        <f t="array" aca="1" ref="E104" ca="1">_xlfn.IFS(D104="Industrial", "Reinforced Concrete", D104 = "Commercial", CHOOSE(RANDBETWEEN(1, 2), "Reinforced Concrete", "Unreinforced Masonry"), D104 = "Residential", CHOOSE(RANDBETWEEN(1, 3), "Reinforced Concrete", "Unreinforced Masonry", "Adobe / Light Timber"))</f>
        <v>Unreinforced Masonry</v>
      </c>
      <c r="F104" s="3">
        <f t="shared" ca="1" si="10"/>
        <v>1995</v>
      </c>
      <c r="G104" s="3">
        <f t="shared" ca="1" si="11"/>
        <v>2</v>
      </c>
      <c r="H104" s="2">
        <f t="shared" ca="1" si="12"/>
        <v>1</v>
      </c>
      <c r="I104" s="4">
        <f t="shared" ca="1" si="13"/>
        <v>3352069</v>
      </c>
    </row>
    <row r="105" spans="1:9">
      <c r="A105" s="1">
        <v>10000104</v>
      </c>
      <c r="B105" s="3" t="str">
        <f t="shared" ca="1" si="7"/>
        <v>Kolkata</v>
      </c>
      <c r="C105" s="3" t="str">
        <f t="shared" ca="1" si="8"/>
        <v>Moderate Risk</v>
      </c>
      <c r="D105" s="3" t="str">
        <f t="shared" ca="1" si="9"/>
        <v>Industrial</v>
      </c>
      <c r="E105" s="3" t="str" cm="1">
        <f t="array" aca="1" ref="E105" ca="1">_xlfn.IFS(D105="Industrial", "Reinforced Concrete", D105 = "Commercial", CHOOSE(RANDBETWEEN(1, 2), "Reinforced Concrete", "Unreinforced Masonry"), D105 = "Residential", CHOOSE(RANDBETWEEN(1, 3), "Reinforced Concrete", "Unreinforced Masonry", "Adobe / Light Timber"))</f>
        <v>Reinforced Concrete</v>
      </c>
      <c r="F105" s="3">
        <f t="shared" ca="1" si="10"/>
        <v>2019</v>
      </c>
      <c r="G105" s="3">
        <f t="shared" ca="1" si="11"/>
        <v>1</v>
      </c>
      <c r="H105" s="2">
        <f t="shared" ca="1" si="12"/>
        <v>4</v>
      </c>
      <c r="I105" s="4">
        <f t="shared" ca="1" si="13"/>
        <v>48517704</v>
      </c>
    </row>
    <row r="106" spans="1:9">
      <c r="A106" s="1">
        <v>10000105</v>
      </c>
      <c r="B106" s="3" t="str">
        <f t="shared" ca="1" si="7"/>
        <v>Jalpaiguri</v>
      </c>
      <c r="C106" s="3" t="str">
        <f t="shared" ca="1" si="8"/>
        <v>High Risk</v>
      </c>
      <c r="D106" s="3" t="str">
        <f t="shared" ca="1" si="9"/>
        <v>Commercial</v>
      </c>
      <c r="E106" s="3" t="str" cm="1">
        <f t="array" aca="1" ref="E106" ca="1">_xlfn.IFS(D106="Industrial", "Reinforced Concrete", D106 = "Commercial", CHOOSE(RANDBETWEEN(1, 2), "Reinforced Concrete", "Unreinforced Masonry"), D106 = "Residential", CHOOSE(RANDBETWEEN(1, 3), "Reinforced Concrete", "Unreinforced Masonry", "Adobe / Light Timber"))</f>
        <v>Reinforced Concrete</v>
      </c>
      <c r="F106" s="3">
        <f t="shared" ca="1" si="10"/>
        <v>1991</v>
      </c>
      <c r="G106" s="3">
        <f t="shared" ca="1" si="11"/>
        <v>5</v>
      </c>
      <c r="H106" s="2">
        <f t="shared" ca="1" si="12"/>
        <v>5</v>
      </c>
      <c r="I106" s="4">
        <f t="shared" ca="1" si="13"/>
        <v>19781280</v>
      </c>
    </row>
    <row r="107" spans="1:9">
      <c r="A107" s="1">
        <v>10000106</v>
      </c>
      <c r="B107" s="3" t="str">
        <f t="shared" ca="1" si="7"/>
        <v>Hooghly</v>
      </c>
      <c r="C107" s="3" t="str">
        <f t="shared" ca="1" si="8"/>
        <v>Moderate Risk</v>
      </c>
      <c r="D107" s="3" t="str">
        <f t="shared" ca="1" si="9"/>
        <v>Commercial</v>
      </c>
      <c r="E107" s="3" t="str" cm="1">
        <f t="array" aca="1" ref="E107" ca="1">_xlfn.IFS(D107="Industrial", "Reinforced Concrete", D107 = "Commercial", CHOOSE(RANDBETWEEN(1, 2), "Reinforced Concrete", "Unreinforced Masonry"), D107 = "Residential", CHOOSE(RANDBETWEEN(1, 3), "Reinforced Concrete", "Unreinforced Masonry", "Adobe / Light Timber"))</f>
        <v>Reinforced Concrete</v>
      </c>
      <c r="F107" s="3">
        <f t="shared" ca="1" si="10"/>
        <v>2009</v>
      </c>
      <c r="G107" s="3">
        <f t="shared" ca="1" si="11"/>
        <v>5</v>
      </c>
      <c r="H107" s="2">
        <f t="shared" ca="1" si="12"/>
        <v>5</v>
      </c>
      <c r="I107" s="4">
        <f t="shared" ca="1" si="13"/>
        <v>6853071</v>
      </c>
    </row>
    <row r="108" spans="1:9">
      <c r="A108" s="1">
        <v>10000107</v>
      </c>
      <c r="B108" s="3" t="str">
        <f t="shared" ca="1" si="7"/>
        <v>Kolkata</v>
      </c>
      <c r="C108" s="3" t="str">
        <f t="shared" ca="1" si="8"/>
        <v>Moderate Risk</v>
      </c>
      <c r="D108" s="3" t="str">
        <f t="shared" ca="1" si="9"/>
        <v>Commercial</v>
      </c>
      <c r="E108" s="3" t="str" cm="1">
        <f t="array" aca="1" ref="E108" ca="1">_xlfn.IFS(D108="Industrial", "Reinforced Concrete", D108 = "Commercial", CHOOSE(RANDBETWEEN(1, 2), "Reinforced Concrete", "Unreinforced Masonry"), D108 = "Residential", CHOOSE(RANDBETWEEN(1, 3), "Reinforced Concrete", "Unreinforced Masonry", "Adobe / Light Timber"))</f>
        <v>Reinforced Concrete</v>
      </c>
      <c r="F108" s="3">
        <f t="shared" ca="1" si="10"/>
        <v>2010</v>
      </c>
      <c r="G108" s="3">
        <f t="shared" ca="1" si="11"/>
        <v>3</v>
      </c>
      <c r="H108" s="2">
        <f t="shared" ca="1" si="12"/>
        <v>5</v>
      </c>
      <c r="I108" s="4">
        <f t="shared" ca="1" si="13"/>
        <v>9184396</v>
      </c>
    </row>
    <row r="109" spans="1:9">
      <c r="A109" s="1">
        <v>10000108</v>
      </c>
      <c r="B109" s="3" t="str">
        <f t="shared" ca="1" si="7"/>
        <v>Hooghly</v>
      </c>
      <c r="C109" s="3" t="str">
        <f t="shared" ca="1" si="8"/>
        <v>Moderate Risk</v>
      </c>
      <c r="D109" s="3" t="str">
        <f t="shared" ca="1" si="9"/>
        <v>Commercial</v>
      </c>
      <c r="E109" s="3" t="str" cm="1">
        <f t="array" aca="1" ref="E109" ca="1">_xlfn.IFS(D109="Industrial", "Reinforced Concrete", D109 = "Commercial", CHOOSE(RANDBETWEEN(1, 2), "Reinforced Concrete", "Unreinforced Masonry"), D109 = "Residential", CHOOSE(RANDBETWEEN(1, 3), "Reinforced Concrete", "Unreinforced Masonry", "Adobe / Light Timber"))</f>
        <v>Unreinforced Masonry</v>
      </c>
      <c r="F109" s="3">
        <f t="shared" ca="1" si="10"/>
        <v>2022</v>
      </c>
      <c r="G109" s="3">
        <f t="shared" ca="1" si="11"/>
        <v>4</v>
      </c>
      <c r="H109" s="2">
        <f t="shared" ca="1" si="12"/>
        <v>1</v>
      </c>
      <c r="I109" s="4">
        <f t="shared" ca="1" si="13"/>
        <v>3719323</v>
      </c>
    </row>
    <row r="110" spans="1:9">
      <c r="A110" s="1">
        <v>10000109</v>
      </c>
      <c r="B110" s="3" t="str">
        <f t="shared" ca="1" si="7"/>
        <v>Hooghly</v>
      </c>
      <c r="C110" s="3" t="str">
        <f t="shared" ca="1" si="8"/>
        <v>Moderate Risk</v>
      </c>
      <c r="D110" s="3" t="str">
        <f t="shared" ca="1" si="9"/>
        <v>Residential</v>
      </c>
      <c r="E110" s="3" t="str" cm="1">
        <f t="array" aca="1" ref="E110" ca="1">_xlfn.IFS(D110="Industrial", "Reinforced Concrete", D110 = "Commercial", CHOOSE(RANDBETWEEN(1, 2), "Reinforced Concrete", "Unreinforced Masonry"), D110 = "Residential", CHOOSE(RANDBETWEEN(1, 3), "Reinforced Concrete", "Unreinforced Masonry", "Adobe / Light Timber"))</f>
        <v>Adobe / Light Timber</v>
      </c>
      <c r="F110" s="3">
        <f t="shared" ca="1" si="10"/>
        <v>1990</v>
      </c>
      <c r="G110" s="3">
        <f t="shared" ca="1" si="11"/>
        <v>1</v>
      </c>
      <c r="H110" s="2">
        <f t="shared" ca="1" si="12"/>
        <v>0</v>
      </c>
      <c r="I110" s="4">
        <f t="shared" ca="1" si="13"/>
        <v>539653</v>
      </c>
    </row>
    <row r="111" spans="1:9">
      <c r="A111" s="1">
        <v>10000110</v>
      </c>
      <c r="B111" s="3" t="str">
        <f t="shared" ca="1" si="7"/>
        <v>South 24 Parganas</v>
      </c>
      <c r="C111" s="3" t="str">
        <f t="shared" ca="1" si="8"/>
        <v>High Risk</v>
      </c>
      <c r="D111" s="3" t="str">
        <f t="shared" ca="1" si="9"/>
        <v>Commercial</v>
      </c>
      <c r="E111" s="3" t="str" cm="1">
        <f t="array" aca="1" ref="E111" ca="1">_xlfn.IFS(D111="Industrial", "Reinforced Concrete", D111 = "Commercial", CHOOSE(RANDBETWEEN(1, 2), "Reinforced Concrete", "Unreinforced Masonry"), D111 = "Residential", CHOOSE(RANDBETWEEN(1, 3), "Reinforced Concrete", "Unreinforced Masonry", "Adobe / Light Timber"))</f>
        <v>Reinforced Concrete</v>
      </c>
      <c r="F111" s="3">
        <f t="shared" ca="1" si="10"/>
        <v>2012</v>
      </c>
      <c r="G111" s="3">
        <f t="shared" ca="1" si="11"/>
        <v>2</v>
      </c>
      <c r="H111" s="2">
        <f t="shared" ca="1" si="12"/>
        <v>3</v>
      </c>
      <c r="I111" s="4">
        <f t="shared" ca="1" si="13"/>
        <v>19971383</v>
      </c>
    </row>
    <row r="112" spans="1:9">
      <c r="A112" s="1">
        <v>10000111</v>
      </c>
      <c r="B112" s="3" t="str">
        <f t="shared" ca="1" si="7"/>
        <v>Kolkata</v>
      </c>
      <c r="C112" s="3" t="str">
        <f t="shared" ca="1" si="8"/>
        <v>Moderate Risk</v>
      </c>
      <c r="D112" s="3" t="str">
        <f t="shared" ca="1" si="9"/>
        <v>Commercial</v>
      </c>
      <c r="E112" s="3" t="str" cm="1">
        <f t="array" aca="1" ref="E112" ca="1">_xlfn.IFS(D112="Industrial", "Reinforced Concrete", D112 = "Commercial", CHOOSE(RANDBETWEEN(1, 2), "Reinforced Concrete", "Unreinforced Masonry"), D112 = "Residential", CHOOSE(RANDBETWEEN(1, 3), "Reinforced Concrete", "Unreinforced Masonry", "Adobe / Light Timber"))</f>
        <v>Unreinforced Masonry</v>
      </c>
      <c r="F112" s="3">
        <f t="shared" ca="1" si="10"/>
        <v>2018</v>
      </c>
      <c r="G112" s="3">
        <f t="shared" ca="1" si="11"/>
        <v>4</v>
      </c>
      <c r="H112" s="2">
        <f t="shared" ca="1" si="12"/>
        <v>1</v>
      </c>
      <c r="I112" s="4">
        <f t="shared" ca="1" si="13"/>
        <v>12988673</v>
      </c>
    </row>
    <row r="113" spans="1:9">
      <c r="A113" s="1">
        <v>10000112</v>
      </c>
      <c r="B113" s="3" t="str">
        <f t="shared" ca="1" si="7"/>
        <v>Jalpaiguri</v>
      </c>
      <c r="C113" s="3" t="str">
        <f t="shared" ca="1" si="8"/>
        <v>High Risk</v>
      </c>
      <c r="D113" s="3" t="str">
        <f t="shared" ca="1" si="9"/>
        <v>Industrial</v>
      </c>
      <c r="E113" s="3" t="str" cm="1">
        <f t="array" aca="1" ref="E113" ca="1">_xlfn.IFS(D113="Industrial", "Reinforced Concrete", D113 = "Commercial", CHOOSE(RANDBETWEEN(1, 2), "Reinforced Concrete", "Unreinforced Masonry"), D113 = "Residential", CHOOSE(RANDBETWEEN(1, 3), "Reinforced Concrete", "Unreinforced Masonry", "Adobe / Light Timber"))</f>
        <v>Reinforced Concrete</v>
      </c>
      <c r="F113" s="3">
        <f t="shared" ca="1" si="10"/>
        <v>2011</v>
      </c>
      <c r="G113" s="3">
        <f t="shared" ca="1" si="11"/>
        <v>2</v>
      </c>
      <c r="H113" s="2">
        <f t="shared" ca="1" si="12"/>
        <v>5</v>
      </c>
      <c r="I113" s="4">
        <f t="shared" ca="1" si="13"/>
        <v>18513570</v>
      </c>
    </row>
    <row r="114" spans="1:9">
      <c r="A114" s="1">
        <v>10000113</v>
      </c>
      <c r="B114" s="3" t="str">
        <f t="shared" ca="1" si="7"/>
        <v>Malda</v>
      </c>
      <c r="C114" s="3" t="str">
        <f t="shared" ca="1" si="8"/>
        <v>High Risk</v>
      </c>
      <c r="D114" s="3" t="str">
        <f t="shared" ca="1" si="9"/>
        <v>Residential</v>
      </c>
      <c r="E114" s="3" t="str" cm="1">
        <f t="array" aca="1" ref="E114" ca="1">_xlfn.IFS(D114="Industrial", "Reinforced Concrete", D114 = "Commercial", CHOOSE(RANDBETWEEN(1, 2), "Reinforced Concrete", "Unreinforced Masonry"), D114 = "Residential", CHOOSE(RANDBETWEEN(1, 3), "Reinforced Concrete", "Unreinforced Masonry", "Adobe / Light Timber"))</f>
        <v>Reinforced Concrete</v>
      </c>
      <c r="F114" s="3">
        <f t="shared" ca="1" si="10"/>
        <v>2011</v>
      </c>
      <c r="G114" s="3">
        <f t="shared" ca="1" si="11"/>
        <v>5</v>
      </c>
      <c r="H114" s="2">
        <f t="shared" ca="1" si="12"/>
        <v>5</v>
      </c>
      <c r="I114" s="4">
        <f t="shared" ca="1" si="13"/>
        <v>4152864</v>
      </c>
    </row>
    <row r="115" spans="1:9">
      <c r="A115" s="1">
        <v>10000114</v>
      </c>
      <c r="B115" s="3" t="str">
        <f t="shared" ca="1" si="7"/>
        <v>Hooghly</v>
      </c>
      <c r="C115" s="3" t="str">
        <f t="shared" ca="1" si="8"/>
        <v>Moderate Risk</v>
      </c>
      <c r="D115" s="3" t="str">
        <f t="shared" ca="1" si="9"/>
        <v>Commercial</v>
      </c>
      <c r="E115" s="3" t="str" cm="1">
        <f t="array" aca="1" ref="E115" ca="1">_xlfn.IFS(D115="Industrial", "Reinforced Concrete", D115 = "Commercial", CHOOSE(RANDBETWEEN(1, 2), "Reinforced Concrete", "Unreinforced Masonry"), D115 = "Residential", CHOOSE(RANDBETWEEN(1, 3), "Reinforced Concrete", "Unreinforced Masonry", "Adobe / Light Timber"))</f>
        <v>Unreinforced Masonry</v>
      </c>
      <c r="F115" s="3">
        <f t="shared" ca="1" si="10"/>
        <v>1983</v>
      </c>
      <c r="G115" s="3">
        <f t="shared" ca="1" si="11"/>
        <v>3</v>
      </c>
      <c r="H115" s="2">
        <f t="shared" ca="1" si="12"/>
        <v>2</v>
      </c>
      <c r="I115" s="4">
        <f t="shared" ca="1" si="13"/>
        <v>6576899</v>
      </c>
    </row>
    <row r="116" spans="1:9">
      <c r="A116" s="1">
        <v>10000115</v>
      </c>
      <c r="B116" s="3" t="str">
        <f t="shared" ca="1" si="7"/>
        <v>Hooghly</v>
      </c>
      <c r="C116" s="3" t="str">
        <f t="shared" ca="1" si="8"/>
        <v>Moderate Risk</v>
      </c>
      <c r="D116" s="3" t="str">
        <f t="shared" ca="1" si="9"/>
        <v>Residential</v>
      </c>
      <c r="E116" s="3" t="str" cm="1">
        <f t="array" aca="1" ref="E116" ca="1">_xlfn.IFS(D116="Industrial", "Reinforced Concrete", D116 = "Commercial", CHOOSE(RANDBETWEEN(1, 2), "Reinforced Concrete", "Unreinforced Masonry"), D116 = "Residential", CHOOSE(RANDBETWEEN(1, 3), "Reinforced Concrete", "Unreinforced Masonry", "Adobe / Light Timber"))</f>
        <v>Adobe / Light Timber</v>
      </c>
      <c r="F116" s="3">
        <f t="shared" ca="1" si="10"/>
        <v>2019</v>
      </c>
      <c r="G116" s="3">
        <f t="shared" ca="1" si="11"/>
        <v>1</v>
      </c>
      <c r="H116" s="2">
        <f t="shared" ca="1" si="12"/>
        <v>0</v>
      </c>
      <c r="I116" s="4">
        <f t="shared" ca="1" si="13"/>
        <v>602357</v>
      </c>
    </row>
    <row r="117" spans="1:9">
      <c r="A117" s="1">
        <v>10000116</v>
      </c>
      <c r="B117" s="3" t="str">
        <f t="shared" ca="1" si="7"/>
        <v>Paschim Medinipur</v>
      </c>
      <c r="C117" s="3" t="str">
        <f t="shared" ca="1" si="8"/>
        <v>Moderate Risk</v>
      </c>
      <c r="D117" s="3" t="str">
        <f t="shared" ca="1" si="9"/>
        <v>Industrial</v>
      </c>
      <c r="E117" s="3" t="str" cm="1">
        <f t="array" aca="1" ref="E117" ca="1">_xlfn.IFS(D117="Industrial", "Reinforced Concrete", D117 = "Commercial", CHOOSE(RANDBETWEEN(1, 2), "Reinforced Concrete", "Unreinforced Masonry"), D117 = "Residential", CHOOSE(RANDBETWEEN(1, 3), "Reinforced Concrete", "Unreinforced Masonry", "Adobe / Light Timber"))</f>
        <v>Reinforced Concrete</v>
      </c>
      <c r="F117" s="3">
        <f t="shared" ca="1" si="10"/>
        <v>2000</v>
      </c>
      <c r="G117" s="3">
        <f t="shared" ca="1" si="11"/>
        <v>2</v>
      </c>
      <c r="H117" s="2">
        <f t="shared" ca="1" si="12"/>
        <v>4</v>
      </c>
      <c r="I117" s="4">
        <f t="shared" ca="1" si="13"/>
        <v>40753121</v>
      </c>
    </row>
    <row r="118" spans="1:9">
      <c r="A118" s="1">
        <v>10000117</v>
      </c>
      <c r="B118" s="3" t="str">
        <f t="shared" ca="1" si="7"/>
        <v>Paschim Medinipur</v>
      </c>
      <c r="C118" s="3" t="str">
        <f t="shared" ca="1" si="8"/>
        <v>Moderate Risk</v>
      </c>
      <c r="D118" s="3" t="str">
        <f t="shared" ca="1" si="9"/>
        <v>Residential</v>
      </c>
      <c r="E118" s="3" t="str" cm="1">
        <f t="array" aca="1" ref="E118" ca="1">_xlfn.IFS(D118="Industrial", "Reinforced Concrete", D118 = "Commercial", CHOOSE(RANDBETWEEN(1, 2), "Reinforced Concrete", "Unreinforced Masonry"), D118 = "Residential", CHOOSE(RANDBETWEEN(1, 3), "Reinforced Concrete", "Unreinforced Masonry", "Adobe / Light Timber"))</f>
        <v>Reinforced Concrete</v>
      </c>
      <c r="F118" s="3">
        <f t="shared" ca="1" si="10"/>
        <v>2003</v>
      </c>
      <c r="G118" s="3">
        <f t="shared" ca="1" si="11"/>
        <v>4</v>
      </c>
      <c r="H118" s="2">
        <f t="shared" ca="1" si="12"/>
        <v>5</v>
      </c>
      <c r="I118" s="4">
        <f t="shared" ca="1" si="13"/>
        <v>4713996</v>
      </c>
    </row>
    <row r="119" spans="1:9">
      <c r="A119" s="1">
        <v>10000118</v>
      </c>
      <c r="B119" s="3" t="str">
        <f t="shared" ca="1" si="7"/>
        <v>Hooghly</v>
      </c>
      <c r="C119" s="3" t="str">
        <f t="shared" ca="1" si="8"/>
        <v>Moderate Risk</v>
      </c>
      <c r="D119" s="3" t="str">
        <f t="shared" ca="1" si="9"/>
        <v>Commercial</v>
      </c>
      <c r="E119" s="3" t="str" cm="1">
        <f t="array" aca="1" ref="E119" ca="1">_xlfn.IFS(D119="Industrial", "Reinforced Concrete", D119 = "Commercial", CHOOSE(RANDBETWEEN(1, 2), "Reinforced Concrete", "Unreinforced Masonry"), D119 = "Residential", CHOOSE(RANDBETWEEN(1, 3), "Reinforced Concrete", "Unreinforced Masonry", "Adobe / Light Timber"))</f>
        <v>Reinforced Concrete</v>
      </c>
      <c r="F119" s="3">
        <f t="shared" ca="1" si="10"/>
        <v>1996</v>
      </c>
      <c r="G119" s="3">
        <f t="shared" ca="1" si="11"/>
        <v>1</v>
      </c>
      <c r="H119" s="2">
        <f t="shared" ca="1" si="12"/>
        <v>3</v>
      </c>
      <c r="I119" s="4">
        <f t="shared" ca="1" si="13"/>
        <v>26020998</v>
      </c>
    </row>
    <row r="120" spans="1:9">
      <c r="A120" s="1">
        <v>10000119</v>
      </c>
      <c r="B120" s="3" t="str">
        <f t="shared" ca="1" si="7"/>
        <v>Hooghly</v>
      </c>
      <c r="C120" s="3" t="str">
        <f t="shared" ca="1" si="8"/>
        <v>Moderate Risk</v>
      </c>
      <c r="D120" s="3" t="str">
        <f t="shared" ca="1" si="9"/>
        <v>Residential</v>
      </c>
      <c r="E120" s="3" t="str" cm="1">
        <f t="array" aca="1" ref="E120" ca="1">_xlfn.IFS(D120="Industrial", "Reinforced Concrete", D120 = "Commercial", CHOOSE(RANDBETWEEN(1, 2), "Reinforced Concrete", "Unreinforced Masonry"), D120 = "Residential", CHOOSE(RANDBETWEEN(1, 3), "Reinforced Concrete", "Unreinforced Masonry", "Adobe / Light Timber"))</f>
        <v>Adobe / Light Timber</v>
      </c>
      <c r="F120" s="3">
        <f t="shared" ca="1" si="10"/>
        <v>1992</v>
      </c>
      <c r="G120" s="3">
        <f t="shared" ca="1" si="11"/>
        <v>1</v>
      </c>
      <c r="H120" s="2">
        <f t="shared" ca="1" si="12"/>
        <v>1</v>
      </c>
      <c r="I120" s="4">
        <f t="shared" ca="1" si="13"/>
        <v>615551</v>
      </c>
    </row>
    <row r="121" spans="1:9">
      <c r="A121" s="1">
        <v>10000120</v>
      </c>
      <c r="B121" s="3" t="str">
        <f t="shared" ca="1" si="7"/>
        <v>Malda</v>
      </c>
      <c r="C121" s="3" t="str">
        <f t="shared" ca="1" si="8"/>
        <v>High Risk</v>
      </c>
      <c r="D121" s="3" t="str">
        <f t="shared" ca="1" si="9"/>
        <v>Industrial</v>
      </c>
      <c r="E121" s="3" t="str" cm="1">
        <f t="array" aca="1" ref="E121" ca="1">_xlfn.IFS(D121="Industrial", "Reinforced Concrete", D121 = "Commercial", CHOOSE(RANDBETWEEN(1, 2), "Reinforced Concrete", "Unreinforced Masonry"), D121 = "Residential", CHOOSE(RANDBETWEEN(1, 3), "Reinforced Concrete", "Unreinforced Masonry", "Adobe / Light Timber"))</f>
        <v>Reinforced Concrete</v>
      </c>
      <c r="F121" s="3">
        <f t="shared" ca="1" si="10"/>
        <v>2000</v>
      </c>
      <c r="G121" s="3">
        <f t="shared" ca="1" si="11"/>
        <v>3</v>
      </c>
      <c r="H121" s="2">
        <f t="shared" ca="1" si="12"/>
        <v>3</v>
      </c>
      <c r="I121" s="4">
        <f t="shared" ca="1" si="13"/>
        <v>47310741</v>
      </c>
    </row>
    <row r="122" spans="1:9">
      <c r="A122" s="1">
        <v>10000121</v>
      </c>
      <c r="B122" s="3" t="str">
        <f t="shared" ca="1" si="7"/>
        <v>Kolkata</v>
      </c>
      <c r="C122" s="3" t="str">
        <f t="shared" ca="1" si="8"/>
        <v>Moderate Risk</v>
      </c>
      <c r="D122" s="3" t="str">
        <f t="shared" ca="1" si="9"/>
        <v>Residential</v>
      </c>
      <c r="E122" s="3" t="str" cm="1">
        <f t="array" aca="1" ref="E122" ca="1">_xlfn.IFS(D122="Industrial", "Reinforced Concrete", D122 = "Commercial", CHOOSE(RANDBETWEEN(1, 2), "Reinforced Concrete", "Unreinforced Masonry"), D122 = "Residential", CHOOSE(RANDBETWEEN(1, 3), "Reinforced Concrete", "Unreinforced Masonry", "Adobe / Light Timber"))</f>
        <v>Reinforced Concrete</v>
      </c>
      <c r="F122" s="3">
        <f t="shared" ca="1" si="10"/>
        <v>2020</v>
      </c>
      <c r="G122" s="3">
        <f t="shared" ca="1" si="11"/>
        <v>1</v>
      </c>
      <c r="H122" s="2">
        <f t="shared" ca="1" si="12"/>
        <v>3</v>
      </c>
      <c r="I122" s="4">
        <f t="shared" ca="1" si="13"/>
        <v>3493642</v>
      </c>
    </row>
    <row r="123" spans="1:9">
      <c r="A123" s="1">
        <v>10000122</v>
      </c>
      <c r="B123" s="3" t="str">
        <f t="shared" ca="1" si="7"/>
        <v>Malda</v>
      </c>
      <c r="C123" s="3" t="str">
        <f t="shared" ca="1" si="8"/>
        <v>High Risk</v>
      </c>
      <c r="D123" s="3" t="str">
        <f t="shared" ca="1" si="9"/>
        <v>Residential</v>
      </c>
      <c r="E123" s="3" t="str" cm="1">
        <f t="array" aca="1" ref="E123" ca="1">_xlfn.IFS(D123="Industrial", "Reinforced Concrete", D123 = "Commercial", CHOOSE(RANDBETWEEN(1, 2), "Reinforced Concrete", "Unreinforced Masonry"), D123 = "Residential", CHOOSE(RANDBETWEEN(1, 3), "Reinforced Concrete", "Unreinforced Masonry", "Adobe / Light Timber"))</f>
        <v>Reinforced Concrete</v>
      </c>
      <c r="F123" s="3">
        <f t="shared" ca="1" si="10"/>
        <v>2013</v>
      </c>
      <c r="G123" s="3">
        <f t="shared" ca="1" si="11"/>
        <v>5</v>
      </c>
      <c r="H123" s="2">
        <f t="shared" ca="1" si="12"/>
        <v>4</v>
      </c>
      <c r="I123" s="4">
        <f t="shared" ca="1" si="13"/>
        <v>6314955</v>
      </c>
    </row>
    <row r="124" spans="1:9">
      <c r="A124" s="1">
        <v>10000123</v>
      </c>
      <c r="B124" s="3" t="str">
        <f t="shared" ca="1" si="7"/>
        <v>Jalpaiguri</v>
      </c>
      <c r="C124" s="3" t="str">
        <f t="shared" ca="1" si="8"/>
        <v>High Risk</v>
      </c>
      <c r="D124" s="3" t="str">
        <f t="shared" ca="1" si="9"/>
        <v>Commercial</v>
      </c>
      <c r="E124" s="3" t="str" cm="1">
        <f t="array" aca="1" ref="E124" ca="1">_xlfn.IFS(D124="Industrial", "Reinforced Concrete", D124 = "Commercial", CHOOSE(RANDBETWEEN(1, 2), "Reinforced Concrete", "Unreinforced Masonry"), D124 = "Residential", CHOOSE(RANDBETWEEN(1, 3), "Reinforced Concrete", "Unreinforced Masonry", "Adobe / Light Timber"))</f>
        <v>Reinforced Concrete</v>
      </c>
      <c r="F124" s="3">
        <f t="shared" ca="1" si="10"/>
        <v>2011</v>
      </c>
      <c r="G124" s="3">
        <f t="shared" ca="1" si="11"/>
        <v>3</v>
      </c>
      <c r="H124" s="2">
        <f t="shared" ca="1" si="12"/>
        <v>5</v>
      </c>
      <c r="I124" s="4">
        <f t="shared" ca="1" si="13"/>
        <v>18322542</v>
      </c>
    </row>
    <row r="125" spans="1:9">
      <c r="A125" s="1">
        <v>10000124</v>
      </c>
      <c r="B125" s="3" t="str">
        <f t="shared" ca="1" si="7"/>
        <v>Kolkata</v>
      </c>
      <c r="C125" s="3" t="str">
        <f t="shared" ca="1" si="8"/>
        <v>Moderate Risk</v>
      </c>
      <c r="D125" s="3" t="str">
        <f t="shared" ca="1" si="9"/>
        <v>Industrial</v>
      </c>
      <c r="E125" s="3" t="str" cm="1">
        <f t="array" aca="1" ref="E125" ca="1">_xlfn.IFS(D125="Industrial", "Reinforced Concrete", D125 = "Commercial", CHOOSE(RANDBETWEEN(1, 2), "Reinforced Concrete", "Unreinforced Masonry"), D125 = "Residential", CHOOSE(RANDBETWEEN(1, 3), "Reinforced Concrete", "Unreinforced Masonry", "Adobe / Light Timber"))</f>
        <v>Reinforced Concrete</v>
      </c>
      <c r="F125" s="3">
        <f t="shared" ca="1" si="10"/>
        <v>1992</v>
      </c>
      <c r="G125" s="3">
        <f t="shared" ca="1" si="11"/>
        <v>2</v>
      </c>
      <c r="H125" s="2">
        <f t="shared" ca="1" si="12"/>
        <v>4</v>
      </c>
      <c r="I125" s="4">
        <f t="shared" ca="1" si="13"/>
        <v>60397665</v>
      </c>
    </row>
    <row r="126" spans="1:9">
      <c r="A126" s="1">
        <v>10000125</v>
      </c>
      <c r="B126" s="3" t="str">
        <f t="shared" ca="1" si="7"/>
        <v>Kolkata</v>
      </c>
      <c r="C126" s="3" t="str">
        <f t="shared" ca="1" si="8"/>
        <v>Moderate Risk</v>
      </c>
      <c r="D126" s="3" t="str">
        <f t="shared" ca="1" si="9"/>
        <v>Industrial</v>
      </c>
      <c r="E126" s="3" t="str" cm="1">
        <f t="array" aca="1" ref="E126" ca="1">_xlfn.IFS(D126="Industrial", "Reinforced Concrete", D126 = "Commercial", CHOOSE(RANDBETWEEN(1, 2), "Reinforced Concrete", "Unreinforced Masonry"), D126 = "Residential", CHOOSE(RANDBETWEEN(1, 3), "Reinforced Concrete", "Unreinforced Masonry", "Adobe / Light Timber"))</f>
        <v>Reinforced Concrete</v>
      </c>
      <c r="F126" s="3">
        <f t="shared" ca="1" si="10"/>
        <v>1992</v>
      </c>
      <c r="G126" s="3">
        <f t="shared" ca="1" si="11"/>
        <v>1</v>
      </c>
      <c r="H126" s="2">
        <f t="shared" ca="1" si="12"/>
        <v>4</v>
      </c>
      <c r="I126" s="4">
        <f t="shared" ca="1" si="13"/>
        <v>43941271</v>
      </c>
    </row>
    <row r="127" spans="1:9">
      <c r="A127" s="1">
        <v>10000126</v>
      </c>
      <c r="B127" s="3" t="str">
        <f t="shared" ca="1" si="7"/>
        <v>Hooghly</v>
      </c>
      <c r="C127" s="3" t="str">
        <f t="shared" ca="1" si="8"/>
        <v>Moderate Risk</v>
      </c>
      <c r="D127" s="3" t="str">
        <f t="shared" ca="1" si="9"/>
        <v>Residential</v>
      </c>
      <c r="E127" s="3" t="str" cm="1">
        <f t="array" aca="1" ref="E127" ca="1">_xlfn.IFS(D127="Industrial", "Reinforced Concrete", D127 = "Commercial", CHOOSE(RANDBETWEEN(1, 2), "Reinforced Concrete", "Unreinforced Masonry"), D127 = "Residential", CHOOSE(RANDBETWEEN(1, 3), "Reinforced Concrete", "Unreinforced Masonry", "Adobe / Light Timber"))</f>
        <v>Adobe / Light Timber</v>
      </c>
      <c r="F127" s="3">
        <f t="shared" ca="1" si="10"/>
        <v>2008</v>
      </c>
      <c r="G127" s="3">
        <f t="shared" ca="1" si="11"/>
        <v>1</v>
      </c>
      <c r="H127" s="2">
        <f t="shared" ca="1" si="12"/>
        <v>2</v>
      </c>
      <c r="I127" s="4">
        <f t="shared" ca="1" si="13"/>
        <v>526884</v>
      </c>
    </row>
    <row r="128" spans="1:9">
      <c r="A128" s="1">
        <v>10000127</v>
      </c>
      <c r="B128" s="3" t="str">
        <f t="shared" ca="1" si="7"/>
        <v>Kolkata</v>
      </c>
      <c r="C128" s="3" t="str">
        <f t="shared" ca="1" si="8"/>
        <v>Moderate Risk</v>
      </c>
      <c r="D128" s="3" t="str">
        <f t="shared" ca="1" si="9"/>
        <v>Residential</v>
      </c>
      <c r="E128" s="3" t="str" cm="1">
        <f t="array" aca="1" ref="E128" ca="1">_xlfn.IFS(D128="Industrial", "Reinforced Concrete", D128 = "Commercial", CHOOSE(RANDBETWEEN(1, 2), "Reinforced Concrete", "Unreinforced Masonry"), D128 = "Residential", CHOOSE(RANDBETWEEN(1, 3), "Reinforced Concrete", "Unreinforced Masonry", "Adobe / Light Timber"))</f>
        <v>Reinforced Concrete</v>
      </c>
      <c r="F128" s="3">
        <f t="shared" ca="1" si="10"/>
        <v>2024</v>
      </c>
      <c r="G128" s="3">
        <f t="shared" ca="1" si="11"/>
        <v>5</v>
      </c>
      <c r="H128" s="2">
        <f t="shared" ca="1" si="12"/>
        <v>4</v>
      </c>
      <c r="I128" s="4">
        <f t="shared" ca="1" si="13"/>
        <v>3993423</v>
      </c>
    </row>
    <row r="129" spans="1:9">
      <c r="A129" s="1">
        <v>10000128</v>
      </c>
      <c r="B129" s="3" t="str">
        <f t="shared" ca="1" si="7"/>
        <v>Malda</v>
      </c>
      <c r="C129" s="3" t="str">
        <f t="shared" ca="1" si="8"/>
        <v>High Risk</v>
      </c>
      <c r="D129" s="3" t="str">
        <f t="shared" ca="1" si="9"/>
        <v>Industrial</v>
      </c>
      <c r="E129" s="3" t="str" cm="1">
        <f t="array" aca="1" ref="E129" ca="1">_xlfn.IFS(D129="Industrial", "Reinforced Concrete", D129 = "Commercial", CHOOSE(RANDBETWEEN(1, 2), "Reinforced Concrete", "Unreinforced Masonry"), D129 = "Residential", CHOOSE(RANDBETWEEN(1, 3), "Reinforced Concrete", "Unreinforced Masonry", "Adobe / Light Timber"))</f>
        <v>Reinforced Concrete</v>
      </c>
      <c r="F129" s="3">
        <f t="shared" ca="1" si="10"/>
        <v>2013</v>
      </c>
      <c r="G129" s="3">
        <f t="shared" ca="1" si="11"/>
        <v>4</v>
      </c>
      <c r="H129" s="2">
        <f t="shared" ca="1" si="12"/>
        <v>3</v>
      </c>
      <c r="I129" s="4">
        <f t="shared" ca="1" si="13"/>
        <v>51833388</v>
      </c>
    </row>
    <row r="130" spans="1:9">
      <c r="A130" s="1">
        <v>10000129</v>
      </c>
      <c r="B130" s="3" t="str">
        <f t="shared" ca="1" si="7"/>
        <v>South 24 Parganas</v>
      </c>
      <c r="C130" s="3" t="str">
        <f t="shared" ca="1" si="8"/>
        <v>High Risk</v>
      </c>
      <c r="D130" s="3" t="str">
        <f t="shared" ca="1" si="9"/>
        <v>Commercial</v>
      </c>
      <c r="E130" s="3" t="str" cm="1">
        <f t="array" aca="1" ref="E130" ca="1">_xlfn.IFS(D130="Industrial", "Reinforced Concrete", D130 = "Commercial", CHOOSE(RANDBETWEEN(1, 2), "Reinforced Concrete", "Unreinforced Masonry"), D130 = "Residential", CHOOSE(RANDBETWEEN(1, 3), "Reinforced Concrete", "Unreinforced Masonry", "Adobe / Light Timber"))</f>
        <v>Unreinforced Masonry</v>
      </c>
      <c r="F130" s="3">
        <f t="shared" ca="1" si="10"/>
        <v>2015</v>
      </c>
      <c r="G130" s="3">
        <f t="shared" ca="1" si="11"/>
        <v>4</v>
      </c>
      <c r="H130" s="2">
        <f t="shared" ca="1" si="12"/>
        <v>1</v>
      </c>
      <c r="I130" s="4">
        <f t="shared" ca="1" si="13"/>
        <v>10357692</v>
      </c>
    </row>
    <row r="131" spans="1:9">
      <c r="A131" s="1">
        <v>10000130</v>
      </c>
      <c r="B131" s="3" t="str">
        <f t="shared" ref="B131:B194" ca="1" si="14">CHOOSE(RANDBETWEEN(1, 6),"South 24 Parganas", "Malda", "Jalpaiguri","Kolkata","Hooghly","Paschim Medinipur")</f>
        <v>Jalpaiguri</v>
      </c>
      <c r="C131" s="3" t="str">
        <f t="shared" ref="C131:C194" ca="1" si="15">IF(OR(B131 = "South 24 Parganas", B131 = "Malda", B131 = "Jalpaiguri"), "High Risk", "Moderate Risk")</f>
        <v>High Risk</v>
      </c>
      <c r="D131" s="3" t="str">
        <f t="shared" ref="D131:D194" ca="1" si="16">CHOOSE(RANDBETWEEN(1, 3), "Residential","Commercial","Industrial")</f>
        <v>Commercial</v>
      </c>
      <c r="E131" s="3" t="str" cm="1">
        <f t="array" aca="1" ref="E131" ca="1">_xlfn.IFS(D131="Industrial", "Reinforced Concrete", D131 = "Commercial", CHOOSE(RANDBETWEEN(1, 2), "Reinforced Concrete", "Unreinforced Masonry"), D131 = "Residential", CHOOSE(RANDBETWEEN(1, 3), "Reinforced Concrete", "Unreinforced Masonry", "Adobe / Light Timber"))</f>
        <v>Unreinforced Masonry</v>
      </c>
      <c r="F131" s="3">
        <f t="shared" ref="F131:F194" ca="1" si="17">RANDBETWEEN(1980, 2024)</f>
        <v>2022</v>
      </c>
      <c r="G131" s="3">
        <f t="shared" ref="G131:G194" ca="1" si="18">IF(E131 = "Adobe / Light Timber", 1, RANDBETWEEN(1, 5))</f>
        <v>4</v>
      </c>
      <c r="H131" s="2">
        <f t="shared" ref="H131:H194" ca="1" si="19">IF(E131="Reinforced Concrete",RANDBETWEEN(3, 5),RANDBETWEEN(0,2))</f>
        <v>2</v>
      </c>
      <c r="I131" s="4">
        <f t="shared" ref="I131:I194" ca="1" si="20">MAX(200000, _xlfn.IFS(D131 = "Industrial", ROUND(_xlfn.NORM.INV(RAND(), 50000000, 10000000), 0), D131 = "Commercial",ROUND(_xlfn.NORM.INV(RAND(), 15000000, 5000000), 0),E131 = "Adobe / Light Timber", ROUND(_xlfn.NORM.INV(RAND(), 500000, 100000), 0),TRUE, ROUND(_xlfn.NORM.INV(RAND(), 4000000, 1500000), 0)))</f>
        <v>7102457</v>
      </c>
    </row>
    <row r="132" spans="1:9">
      <c r="A132" s="1">
        <v>10000131</v>
      </c>
      <c r="B132" s="3" t="str">
        <f t="shared" ca="1" si="14"/>
        <v>Jalpaiguri</v>
      </c>
      <c r="C132" s="3" t="str">
        <f t="shared" ca="1" si="15"/>
        <v>High Risk</v>
      </c>
      <c r="D132" s="3" t="str">
        <f t="shared" ca="1" si="16"/>
        <v>Industrial</v>
      </c>
      <c r="E132" s="3" t="str" cm="1">
        <f t="array" aca="1" ref="E132" ca="1">_xlfn.IFS(D132="Industrial", "Reinforced Concrete", D132 = "Commercial", CHOOSE(RANDBETWEEN(1, 2), "Reinforced Concrete", "Unreinforced Masonry"), D132 = "Residential", CHOOSE(RANDBETWEEN(1, 3), "Reinforced Concrete", "Unreinforced Masonry", "Adobe / Light Timber"))</f>
        <v>Reinforced Concrete</v>
      </c>
      <c r="F132" s="3">
        <f t="shared" ca="1" si="17"/>
        <v>2003</v>
      </c>
      <c r="G132" s="3">
        <f t="shared" ca="1" si="18"/>
        <v>3</v>
      </c>
      <c r="H132" s="2">
        <f t="shared" ca="1" si="19"/>
        <v>5</v>
      </c>
      <c r="I132" s="4">
        <f t="shared" ca="1" si="20"/>
        <v>50299102</v>
      </c>
    </row>
    <row r="133" spans="1:9">
      <c r="A133" s="1">
        <v>10000132</v>
      </c>
      <c r="B133" s="3" t="str">
        <f t="shared" ca="1" si="14"/>
        <v>Jalpaiguri</v>
      </c>
      <c r="C133" s="3" t="str">
        <f t="shared" ca="1" si="15"/>
        <v>High Risk</v>
      </c>
      <c r="D133" s="3" t="str">
        <f t="shared" ca="1" si="16"/>
        <v>Residential</v>
      </c>
      <c r="E133" s="3" t="str" cm="1">
        <f t="array" aca="1" ref="E133" ca="1">_xlfn.IFS(D133="Industrial", "Reinforced Concrete", D133 = "Commercial", CHOOSE(RANDBETWEEN(1, 2), "Reinforced Concrete", "Unreinforced Masonry"), D133 = "Residential", CHOOSE(RANDBETWEEN(1, 3), "Reinforced Concrete", "Unreinforced Masonry", "Adobe / Light Timber"))</f>
        <v>Reinforced Concrete</v>
      </c>
      <c r="F133" s="3">
        <f t="shared" ca="1" si="17"/>
        <v>2009</v>
      </c>
      <c r="G133" s="3">
        <f t="shared" ca="1" si="18"/>
        <v>3</v>
      </c>
      <c r="H133" s="2">
        <f t="shared" ca="1" si="19"/>
        <v>3</v>
      </c>
      <c r="I133" s="4">
        <f t="shared" ca="1" si="20"/>
        <v>2279802</v>
      </c>
    </row>
    <row r="134" spans="1:9">
      <c r="A134" s="1">
        <v>10000133</v>
      </c>
      <c r="B134" s="3" t="str">
        <f t="shared" ca="1" si="14"/>
        <v>Kolkata</v>
      </c>
      <c r="C134" s="3" t="str">
        <f t="shared" ca="1" si="15"/>
        <v>Moderate Risk</v>
      </c>
      <c r="D134" s="3" t="str">
        <f t="shared" ca="1" si="16"/>
        <v>Industrial</v>
      </c>
      <c r="E134" s="3" t="str" cm="1">
        <f t="array" aca="1" ref="E134" ca="1">_xlfn.IFS(D134="Industrial", "Reinforced Concrete", D134 = "Commercial", CHOOSE(RANDBETWEEN(1, 2), "Reinforced Concrete", "Unreinforced Masonry"), D134 = "Residential", CHOOSE(RANDBETWEEN(1, 3), "Reinforced Concrete", "Unreinforced Masonry", "Adobe / Light Timber"))</f>
        <v>Reinforced Concrete</v>
      </c>
      <c r="F134" s="3">
        <f t="shared" ca="1" si="17"/>
        <v>2008</v>
      </c>
      <c r="G134" s="3">
        <f t="shared" ca="1" si="18"/>
        <v>4</v>
      </c>
      <c r="H134" s="2">
        <f t="shared" ca="1" si="19"/>
        <v>5</v>
      </c>
      <c r="I134" s="4">
        <f t="shared" ca="1" si="20"/>
        <v>41173969</v>
      </c>
    </row>
    <row r="135" spans="1:9">
      <c r="A135" s="1">
        <v>10000134</v>
      </c>
      <c r="B135" s="3" t="str">
        <f t="shared" ca="1" si="14"/>
        <v>Kolkata</v>
      </c>
      <c r="C135" s="3" t="str">
        <f t="shared" ca="1" si="15"/>
        <v>Moderate Risk</v>
      </c>
      <c r="D135" s="3" t="str">
        <f t="shared" ca="1" si="16"/>
        <v>Commercial</v>
      </c>
      <c r="E135" s="3" t="str" cm="1">
        <f t="array" aca="1" ref="E135" ca="1">_xlfn.IFS(D135="Industrial", "Reinforced Concrete", D135 = "Commercial", CHOOSE(RANDBETWEEN(1, 2), "Reinforced Concrete", "Unreinforced Masonry"), D135 = "Residential", CHOOSE(RANDBETWEEN(1, 3), "Reinforced Concrete", "Unreinforced Masonry", "Adobe / Light Timber"))</f>
        <v>Reinforced Concrete</v>
      </c>
      <c r="F135" s="3">
        <f t="shared" ca="1" si="17"/>
        <v>1993</v>
      </c>
      <c r="G135" s="3">
        <f t="shared" ca="1" si="18"/>
        <v>5</v>
      </c>
      <c r="H135" s="2">
        <f t="shared" ca="1" si="19"/>
        <v>4</v>
      </c>
      <c r="I135" s="4">
        <f t="shared" ca="1" si="20"/>
        <v>20046082</v>
      </c>
    </row>
    <row r="136" spans="1:9">
      <c r="A136" s="1">
        <v>10000135</v>
      </c>
      <c r="B136" s="3" t="str">
        <f t="shared" ca="1" si="14"/>
        <v>South 24 Parganas</v>
      </c>
      <c r="C136" s="3" t="str">
        <f t="shared" ca="1" si="15"/>
        <v>High Risk</v>
      </c>
      <c r="D136" s="3" t="str">
        <f t="shared" ca="1" si="16"/>
        <v>Industrial</v>
      </c>
      <c r="E136" s="3" t="str" cm="1">
        <f t="array" aca="1" ref="E136" ca="1">_xlfn.IFS(D136="Industrial", "Reinforced Concrete", D136 = "Commercial", CHOOSE(RANDBETWEEN(1, 2), "Reinforced Concrete", "Unreinforced Masonry"), D136 = "Residential", CHOOSE(RANDBETWEEN(1, 3), "Reinforced Concrete", "Unreinforced Masonry", "Adobe / Light Timber"))</f>
        <v>Reinforced Concrete</v>
      </c>
      <c r="F136" s="3">
        <f t="shared" ca="1" si="17"/>
        <v>2001</v>
      </c>
      <c r="G136" s="3">
        <f t="shared" ca="1" si="18"/>
        <v>4</v>
      </c>
      <c r="H136" s="2">
        <f t="shared" ca="1" si="19"/>
        <v>4</v>
      </c>
      <c r="I136" s="4">
        <f t="shared" ca="1" si="20"/>
        <v>64423235</v>
      </c>
    </row>
    <row r="137" spans="1:9">
      <c r="A137" s="1">
        <v>10000136</v>
      </c>
      <c r="B137" s="3" t="str">
        <f t="shared" ca="1" si="14"/>
        <v>South 24 Parganas</v>
      </c>
      <c r="C137" s="3" t="str">
        <f t="shared" ca="1" si="15"/>
        <v>High Risk</v>
      </c>
      <c r="D137" s="3" t="str">
        <f t="shared" ca="1" si="16"/>
        <v>Commercial</v>
      </c>
      <c r="E137" s="3" t="str" cm="1">
        <f t="array" aca="1" ref="E137" ca="1">_xlfn.IFS(D137="Industrial", "Reinforced Concrete", D137 = "Commercial", CHOOSE(RANDBETWEEN(1, 2), "Reinforced Concrete", "Unreinforced Masonry"), D137 = "Residential", CHOOSE(RANDBETWEEN(1, 3), "Reinforced Concrete", "Unreinforced Masonry", "Adobe / Light Timber"))</f>
        <v>Unreinforced Masonry</v>
      </c>
      <c r="F137" s="3">
        <f t="shared" ca="1" si="17"/>
        <v>1984</v>
      </c>
      <c r="G137" s="3">
        <f t="shared" ca="1" si="18"/>
        <v>2</v>
      </c>
      <c r="H137" s="2">
        <f t="shared" ca="1" si="19"/>
        <v>1</v>
      </c>
      <c r="I137" s="4">
        <f t="shared" ca="1" si="20"/>
        <v>24771727</v>
      </c>
    </row>
    <row r="138" spans="1:9">
      <c r="A138" s="1">
        <v>10000137</v>
      </c>
      <c r="B138" s="3" t="str">
        <f t="shared" ca="1" si="14"/>
        <v>South 24 Parganas</v>
      </c>
      <c r="C138" s="3" t="str">
        <f t="shared" ca="1" si="15"/>
        <v>High Risk</v>
      </c>
      <c r="D138" s="3" t="str">
        <f t="shared" ca="1" si="16"/>
        <v>Industrial</v>
      </c>
      <c r="E138" s="3" t="str" cm="1">
        <f t="array" aca="1" ref="E138" ca="1">_xlfn.IFS(D138="Industrial", "Reinforced Concrete", D138 = "Commercial", CHOOSE(RANDBETWEEN(1, 2), "Reinforced Concrete", "Unreinforced Masonry"), D138 = "Residential", CHOOSE(RANDBETWEEN(1, 3), "Reinforced Concrete", "Unreinforced Masonry", "Adobe / Light Timber"))</f>
        <v>Reinforced Concrete</v>
      </c>
      <c r="F138" s="3">
        <f t="shared" ca="1" si="17"/>
        <v>1996</v>
      </c>
      <c r="G138" s="3">
        <f t="shared" ca="1" si="18"/>
        <v>1</v>
      </c>
      <c r="H138" s="2">
        <f t="shared" ca="1" si="19"/>
        <v>4</v>
      </c>
      <c r="I138" s="4">
        <f t="shared" ca="1" si="20"/>
        <v>37953087</v>
      </c>
    </row>
    <row r="139" spans="1:9">
      <c r="A139" s="1">
        <v>10000138</v>
      </c>
      <c r="B139" s="3" t="str">
        <f t="shared" ca="1" si="14"/>
        <v>South 24 Parganas</v>
      </c>
      <c r="C139" s="3" t="str">
        <f t="shared" ca="1" si="15"/>
        <v>High Risk</v>
      </c>
      <c r="D139" s="3" t="str">
        <f t="shared" ca="1" si="16"/>
        <v>Industrial</v>
      </c>
      <c r="E139" s="3" t="str" cm="1">
        <f t="array" aca="1" ref="E139" ca="1">_xlfn.IFS(D139="Industrial", "Reinforced Concrete", D139 = "Commercial", CHOOSE(RANDBETWEEN(1, 2), "Reinforced Concrete", "Unreinforced Masonry"), D139 = "Residential", CHOOSE(RANDBETWEEN(1, 3), "Reinforced Concrete", "Unreinforced Masonry", "Adobe / Light Timber"))</f>
        <v>Reinforced Concrete</v>
      </c>
      <c r="F139" s="3">
        <f t="shared" ca="1" si="17"/>
        <v>2009</v>
      </c>
      <c r="G139" s="3">
        <f t="shared" ca="1" si="18"/>
        <v>1</v>
      </c>
      <c r="H139" s="2">
        <f t="shared" ca="1" si="19"/>
        <v>5</v>
      </c>
      <c r="I139" s="4">
        <f t="shared" ca="1" si="20"/>
        <v>56672893</v>
      </c>
    </row>
    <row r="140" spans="1:9">
      <c r="A140" s="1">
        <v>10000139</v>
      </c>
      <c r="B140" s="3" t="str">
        <f t="shared" ca="1" si="14"/>
        <v>Malda</v>
      </c>
      <c r="C140" s="3" t="str">
        <f t="shared" ca="1" si="15"/>
        <v>High Risk</v>
      </c>
      <c r="D140" s="3" t="str">
        <f t="shared" ca="1" si="16"/>
        <v>Commercial</v>
      </c>
      <c r="E140" s="3" t="str" cm="1">
        <f t="array" aca="1" ref="E140" ca="1">_xlfn.IFS(D140="Industrial", "Reinforced Concrete", D140 = "Commercial", CHOOSE(RANDBETWEEN(1, 2), "Reinforced Concrete", "Unreinforced Masonry"), D140 = "Residential", CHOOSE(RANDBETWEEN(1, 3), "Reinforced Concrete", "Unreinforced Masonry", "Adobe / Light Timber"))</f>
        <v>Unreinforced Masonry</v>
      </c>
      <c r="F140" s="3">
        <f t="shared" ca="1" si="17"/>
        <v>2001</v>
      </c>
      <c r="G140" s="3">
        <f t="shared" ca="1" si="18"/>
        <v>4</v>
      </c>
      <c r="H140" s="2">
        <f t="shared" ca="1" si="19"/>
        <v>1</v>
      </c>
      <c r="I140" s="4">
        <f t="shared" ca="1" si="20"/>
        <v>15735838</v>
      </c>
    </row>
    <row r="141" spans="1:9">
      <c r="A141" s="1">
        <v>10000140</v>
      </c>
      <c r="B141" s="3" t="str">
        <f t="shared" ca="1" si="14"/>
        <v>Hooghly</v>
      </c>
      <c r="C141" s="3" t="str">
        <f t="shared" ca="1" si="15"/>
        <v>Moderate Risk</v>
      </c>
      <c r="D141" s="3" t="str">
        <f t="shared" ca="1" si="16"/>
        <v>Industrial</v>
      </c>
      <c r="E141" s="3" t="str" cm="1">
        <f t="array" aca="1" ref="E141" ca="1">_xlfn.IFS(D141="Industrial", "Reinforced Concrete", D141 = "Commercial", CHOOSE(RANDBETWEEN(1, 2), "Reinforced Concrete", "Unreinforced Masonry"), D141 = "Residential", CHOOSE(RANDBETWEEN(1, 3), "Reinforced Concrete", "Unreinforced Masonry", "Adobe / Light Timber"))</f>
        <v>Reinforced Concrete</v>
      </c>
      <c r="F141" s="3">
        <f t="shared" ca="1" si="17"/>
        <v>1995</v>
      </c>
      <c r="G141" s="3">
        <f t="shared" ca="1" si="18"/>
        <v>1</v>
      </c>
      <c r="H141" s="2">
        <f t="shared" ca="1" si="19"/>
        <v>5</v>
      </c>
      <c r="I141" s="4">
        <f t="shared" ca="1" si="20"/>
        <v>45687880</v>
      </c>
    </row>
    <row r="142" spans="1:9">
      <c r="A142" s="1">
        <v>10000141</v>
      </c>
      <c r="B142" s="3" t="str">
        <f t="shared" ca="1" si="14"/>
        <v>Jalpaiguri</v>
      </c>
      <c r="C142" s="3" t="str">
        <f t="shared" ca="1" si="15"/>
        <v>High Risk</v>
      </c>
      <c r="D142" s="3" t="str">
        <f t="shared" ca="1" si="16"/>
        <v>Industrial</v>
      </c>
      <c r="E142" s="3" t="str" cm="1">
        <f t="array" aca="1" ref="E142" ca="1">_xlfn.IFS(D142="Industrial", "Reinforced Concrete", D142 = "Commercial", CHOOSE(RANDBETWEEN(1, 2), "Reinforced Concrete", "Unreinforced Masonry"), D142 = "Residential", CHOOSE(RANDBETWEEN(1, 3), "Reinforced Concrete", "Unreinforced Masonry", "Adobe / Light Timber"))</f>
        <v>Reinforced Concrete</v>
      </c>
      <c r="F142" s="3">
        <f t="shared" ca="1" si="17"/>
        <v>1982</v>
      </c>
      <c r="G142" s="3">
        <f t="shared" ca="1" si="18"/>
        <v>5</v>
      </c>
      <c r="H142" s="2">
        <f t="shared" ca="1" si="19"/>
        <v>5</v>
      </c>
      <c r="I142" s="4">
        <f t="shared" ca="1" si="20"/>
        <v>41046034</v>
      </c>
    </row>
    <row r="143" spans="1:9">
      <c r="A143" s="1">
        <v>10000142</v>
      </c>
      <c r="B143" s="3" t="str">
        <f t="shared" ca="1" si="14"/>
        <v>Malda</v>
      </c>
      <c r="C143" s="3" t="str">
        <f t="shared" ca="1" si="15"/>
        <v>High Risk</v>
      </c>
      <c r="D143" s="3" t="str">
        <f t="shared" ca="1" si="16"/>
        <v>Commercial</v>
      </c>
      <c r="E143" s="3" t="str" cm="1">
        <f t="array" aca="1" ref="E143" ca="1">_xlfn.IFS(D143="Industrial", "Reinforced Concrete", D143 = "Commercial", CHOOSE(RANDBETWEEN(1, 2), "Reinforced Concrete", "Unreinforced Masonry"), D143 = "Residential", CHOOSE(RANDBETWEEN(1, 3), "Reinforced Concrete", "Unreinforced Masonry", "Adobe / Light Timber"))</f>
        <v>Reinforced Concrete</v>
      </c>
      <c r="F143" s="3">
        <f t="shared" ca="1" si="17"/>
        <v>1991</v>
      </c>
      <c r="G143" s="3">
        <f t="shared" ca="1" si="18"/>
        <v>5</v>
      </c>
      <c r="H143" s="2">
        <f t="shared" ca="1" si="19"/>
        <v>5</v>
      </c>
      <c r="I143" s="4">
        <f t="shared" ca="1" si="20"/>
        <v>13543538</v>
      </c>
    </row>
    <row r="144" spans="1:9">
      <c r="A144" s="1">
        <v>10000143</v>
      </c>
      <c r="B144" s="3" t="str">
        <f t="shared" ca="1" si="14"/>
        <v>Kolkata</v>
      </c>
      <c r="C144" s="3" t="str">
        <f t="shared" ca="1" si="15"/>
        <v>Moderate Risk</v>
      </c>
      <c r="D144" s="3" t="str">
        <f t="shared" ca="1" si="16"/>
        <v>Commercial</v>
      </c>
      <c r="E144" s="3" t="str" cm="1">
        <f t="array" aca="1" ref="E144" ca="1">_xlfn.IFS(D144="Industrial", "Reinforced Concrete", D144 = "Commercial", CHOOSE(RANDBETWEEN(1, 2), "Reinforced Concrete", "Unreinforced Masonry"), D144 = "Residential", CHOOSE(RANDBETWEEN(1, 3), "Reinforced Concrete", "Unreinforced Masonry", "Adobe / Light Timber"))</f>
        <v>Unreinforced Masonry</v>
      </c>
      <c r="F144" s="3">
        <f t="shared" ca="1" si="17"/>
        <v>1992</v>
      </c>
      <c r="G144" s="3">
        <f t="shared" ca="1" si="18"/>
        <v>2</v>
      </c>
      <c r="H144" s="2">
        <f t="shared" ca="1" si="19"/>
        <v>1</v>
      </c>
      <c r="I144" s="4">
        <f t="shared" ca="1" si="20"/>
        <v>9310061</v>
      </c>
    </row>
    <row r="145" spans="1:9">
      <c r="A145" s="1">
        <v>10000144</v>
      </c>
      <c r="B145" s="3" t="str">
        <f t="shared" ca="1" si="14"/>
        <v>Paschim Medinipur</v>
      </c>
      <c r="C145" s="3" t="str">
        <f t="shared" ca="1" si="15"/>
        <v>Moderate Risk</v>
      </c>
      <c r="D145" s="3" t="str">
        <f t="shared" ca="1" si="16"/>
        <v>Residential</v>
      </c>
      <c r="E145" s="3" t="str" cm="1">
        <f t="array" aca="1" ref="E145" ca="1">_xlfn.IFS(D145="Industrial", "Reinforced Concrete", D145 = "Commercial", CHOOSE(RANDBETWEEN(1, 2), "Reinforced Concrete", "Unreinforced Masonry"), D145 = "Residential", CHOOSE(RANDBETWEEN(1, 3), "Reinforced Concrete", "Unreinforced Masonry", "Adobe / Light Timber"))</f>
        <v>Adobe / Light Timber</v>
      </c>
      <c r="F145" s="3">
        <f t="shared" ca="1" si="17"/>
        <v>2014</v>
      </c>
      <c r="G145" s="3">
        <f t="shared" ca="1" si="18"/>
        <v>1</v>
      </c>
      <c r="H145" s="2">
        <f t="shared" ca="1" si="19"/>
        <v>1</v>
      </c>
      <c r="I145" s="4">
        <f t="shared" ca="1" si="20"/>
        <v>527859</v>
      </c>
    </row>
    <row r="146" spans="1:9">
      <c r="A146" s="1">
        <v>10000145</v>
      </c>
      <c r="B146" s="3" t="str">
        <f t="shared" ca="1" si="14"/>
        <v>South 24 Parganas</v>
      </c>
      <c r="C146" s="3" t="str">
        <f t="shared" ca="1" si="15"/>
        <v>High Risk</v>
      </c>
      <c r="D146" s="3" t="str">
        <f t="shared" ca="1" si="16"/>
        <v>Residential</v>
      </c>
      <c r="E146" s="3" t="str" cm="1">
        <f t="array" aca="1" ref="E146" ca="1">_xlfn.IFS(D146="Industrial", "Reinforced Concrete", D146 = "Commercial", CHOOSE(RANDBETWEEN(1, 2), "Reinforced Concrete", "Unreinforced Masonry"), D146 = "Residential", CHOOSE(RANDBETWEEN(1, 3), "Reinforced Concrete", "Unreinforced Masonry", "Adobe / Light Timber"))</f>
        <v>Adobe / Light Timber</v>
      </c>
      <c r="F146" s="3">
        <f t="shared" ca="1" si="17"/>
        <v>1985</v>
      </c>
      <c r="G146" s="3">
        <f t="shared" ca="1" si="18"/>
        <v>1</v>
      </c>
      <c r="H146" s="2">
        <f t="shared" ca="1" si="19"/>
        <v>1</v>
      </c>
      <c r="I146" s="4">
        <f t="shared" ca="1" si="20"/>
        <v>289101</v>
      </c>
    </row>
    <row r="147" spans="1:9">
      <c r="A147" s="1">
        <v>10000146</v>
      </c>
      <c r="B147" s="3" t="str">
        <f t="shared" ca="1" si="14"/>
        <v>Malda</v>
      </c>
      <c r="C147" s="3" t="str">
        <f t="shared" ca="1" si="15"/>
        <v>High Risk</v>
      </c>
      <c r="D147" s="3" t="str">
        <f t="shared" ca="1" si="16"/>
        <v>Commercial</v>
      </c>
      <c r="E147" s="3" t="str" cm="1">
        <f t="array" aca="1" ref="E147" ca="1">_xlfn.IFS(D147="Industrial", "Reinforced Concrete", D147 = "Commercial", CHOOSE(RANDBETWEEN(1, 2), "Reinforced Concrete", "Unreinforced Masonry"), D147 = "Residential", CHOOSE(RANDBETWEEN(1, 3), "Reinforced Concrete", "Unreinforced Masonry", "Adobe / Light Timber"))</f>
        <v>Reinforced Concrete</v>
      </c>
      <c r="F147" s="3">
        <f t="shared" ca="1" si="17"/>
        <v>1998</v>
      </c>
      <c r="G147" s="3">
        <f t="shared" ca="1" si="18"/>
        <v>2</v>
      </c>
      <c r="H147" s="2">
        <f t="shared" ca="1" si="19"/>
        <v>4</v>
      </c>
      <c r="I147" s="4">
        <f t="shared" ca="1" si="20"/>
        <v>13857298</v>
      </c>
    </row>
    <row r="148" spans="1:9">
      <c r="A148" s="1">
        <v>10000147</v>
      </c>
      <c r="B148" s="3" t="str">
        <f t="shared" ca="1" si="14"/>
        <v>Kolkata</v>
      </c>
      <c r="C148" s="3" t="str">
        <f t="shared" ca="1" si="15"/>
        <v>Moderate Risk</v>
      </c>
      <c r="D148" s="3" t="str">
        <f t="shared" ca="1" si="16"/>
        <v>Residential</v>
      </c>
      <c r="E148" s="3" t="str" cm="1">
        <f t="array" aca="1" ref="E148" ca="1">_xlfn.IFS(D148="Industrial", "Reinforced Concrete", D148 = "Commercial", CHOOSE(RANDBETWEEN(1, 2), "Reinforced Concrete", "Unreinforced Masonry"), D148 = "Residential", CHOOSE(RANDBETWEEN(1, 3), "Reinforced Concrete", "Unreinforced Masonry", "Adobe / Light Timber"))</f>
        <v>Reinforced Concrete</v>
      </c>
      <c r="F148" s="3">
        <f t="shared" ca="1" si="17"/>
        <v>2016</v>
      </c>
      <c r="G148" s="3">
        <f t="shared" ca="1" si="18"/>
        <v>5</v>
      </c>
      <c r="H148" s="2">
        <f t="shared" ca="1" si="19"/>
        <v>4</v>
      </c>
      <c r="I148" s="4">
        <f t="shared" ca="1" si="20"/>
        <v>2152794</v>
      </c>
    </row>
    <row r="149" spans="1:9">
      <c r="A149" s="1">
        <v>10000148</v>
      </c>
      <c r="B149" s="3" t="str">
        <f t="shared" ca="1" si="14"/>
        <v>Kolkata</v>
      </c>
      <c r="C149" s="3" t="str">
        <f t="shared" ca="1" si="15"/>
        <v>Moderate Risk</v>
      </c>
      <c r="D149" s="3" t="str">
        <f t="shared" ca="1" si="16"/>
        <v>Commercial</v>
      </c>
      <c r="E149" s="3" t="str" cm="1">
        <f t="array" aca="1" ref="E149" ca="1">_xlfn.IFS(D149="Industrial", "Reinforced Concrete", D149 = "Commercial", CHOOSE(RANDBETWEEN(1, 2), "Reinforced Concrete", "Unreinforced Masonry"), D149 = "Residential", CHOOSE(RANDBETWEEN(1, 3), "Reinforced Concrete", "Unreinforced Masonry", "Adobe / Light Timber"))</f>
        <v>Unreinforced Masonry</v>
      </c>
      <c r="F149" s="3">
        <f t="shared" ca="1" si="17"/>
        <v>2012</v>
      </c>
      <c r="G149" s="3">
        <f t="shared" ca="1" si="18"/>
        <v>2</v>
      </c>
      <c r="H149" s="2">
        <f t="shared" ca="1" si="19"/>
        <v>2</v>
      </c>
      <c r="I149" s="4">
        <f t="shared" ca="1" si="20"/>
        <v>17212278</v>
      </c>
    </row>
    <row r="150" spans="1:9">
      <c r="A150" s="1">
        <v>10000149</v>
      </c>
      <c r="B150" s="3" t="str">
        <f t="shared" ca="1" si="14"/>
        <v>Jalpaiguri</v>
      </c>
      <c r="C150" s="3" t="str">
        <f t="shared" ca="1" si="15"/>
        <v>High Risk</v>
      </c>
      <c r="D150" s="3" t="str">
        <f t="shared" ca="1" si="16"/>
        <v>Industrial</v>
      </c>
      <c r="E150" s="3" t="str" cm="1">
        <f t="array" aca="1" ref="E150" ca="1">_xlfn.IFS(D150="Industrial", "Reinforced Concrete", D150 = "Commercial", CHOOSE(RANDBETWEEN(1, 2), "Reinforced Concrete", "Unreinforced Masonry"), D150 = "Residential", CHOOSE(RANDBETWEEN(1, 3), "Reinforced Concrete", "Unreinforced Masonry", "Adobe / Light Timber"))</f>
        <v>Reinforced Concrete</v>
      </c>
      <c r="F150" s="3">
        <f t="shared" ca="1" si="17"/>
        <v>2011</v>
      </c>
      <c r="G150" s="3">
        <f t="shared" ca="1" si="18"/>
        <v>3</v>
      </c>
      <c r="H150" s="2">
        <f t="shared" ca="1" si="19"/>
        <v>5</v>
      </c>
      <c r="I150" s="4">
        <f t="shared" ca="1" si="20"/>
        <v>55094884</v>
      </c>
    </row>
    <row r="151" spans="1:9">
      <c r="A151" s="1">
        <v>10000150</v>
      </c>
      <c r="B151" s="3" t="str">
        <f t="shared" ca="1" si="14"/>
        <v>Kolkata</v>
      </c>
      <c r="C151" s="3" t="str">
        <f t="shared" ca="1" si="15"/>
        <v>Moderate Risk</v>
      </c>
      <c r="D151" s="3" t="str">
        <f t="shared" ca="1" si="16"/>
        <v>Commercial</v>
      </c>
      <c r="E151" s="3" t="str" cm="1">
        <f t="array" aca="1" ref="E151" ca="1">_xlfn.IFS(D151="Industrial", "Reinforced Concrete", D151 = "Commercial", CHOOSE(RANDBETWEEN(1, 2), "Reinforced Concrete", "Unreinforced Masonry"), D151 = "Residential", CHOOSE(RANDBETWEEN(1, 3), "Reinforced Concrete", "Unreinforced Masonry", "Adobe / Light Timber"))</f>
        <v>Reinforced Concrete</v>
      </c>
      <c r="F151" s="3">
        <f t="shared" ca="1" si="17"/>
        <v>1980</v>
      </c>
      <c r="G151" s="3">
        <f t="shared" ca="1" si="18"/>
        <v>1</v>
      </c>
      <c r="H151" s="2">
        <f t="shared" ca="1" si="19"/>
        <v>5</v>
      </c>
      <c r="I151" s="4">
        <f t="shared" ca="1" si="20"/>
        <v>16430488</v>
      </c>
    </row>
    <row r="152" spans="1:9">
      <c r="A152" s="1">
        <v>10000151</v>
      </c>
      <c r="B152" s="3" t="str">
        <f t="shared" ca="1" si="14"/>
        <v>Kolkata</v>
      </c>
      <c r="C152" s="3" t="str">
        <f t="shared" ca="1" si="15"/>
        <v>Moderate Risk</v>
      </c>
      <c r="D152" s="3" t="str">
        <f t="shared" ca="1" si="16"/>
        <v>Industrial</v>
      </c>
      <c r="E152" s="3" t="str" cm="1">
        <f t="array" aca="1" ref="E152" ca="1">_xlfn.IFS(D152="Industrial", "Reinforced Concrete", D152 = "Commercial", CHOOSE(RANDBETWEEN(1, 2), "Reinforced Concrete", "Unreinforced Masonry"), D152 = "Residential", CHOOSE(RANDBETWEEN(1, 3), "Reinforced Concrete", "Unreinforced Masonry", "Adobe / Light Timber"))</f>
        <v>Reinforced Concrete</v>
      </c>
      <c r="F152" s="3">
        <f t="shared" ca="1" si="17"/>
        <v>2015</v>
      </c>
      <c r="G152" s="3">
        <f t="shared" ca="1" si="18"/>
        <v>3</v>
      </c>
      <c r="H152" s="2">
        <f t="shared" ca="1" si="19"/>
        <v>4</v>
      </c>
      <c r="I152" s="4">
        <f t="shared" ca="1" si="20"/>
        <v>43587859</v>
      </c>
    </row>
    <row r="153" spans="1:9">
      <c r="A153" s="1">
        <v>10000152</v>
      </c>
      <c r="B153" s="3" t="str">
        <f t="shared" ca="1" si="14"/>
        <v>Paschim Medinipur</v>
      </c>
      <c r="C153" s="3" t="str">
        <f t="shared" ca="1" si="15"/>
        <v>Moderate Risk</v>
      </c>
      <c r="D153" s="3" t="str">
        <f t="shared" ca="1" si="16"/>
        <v>Commercial</v>
      </c>
      <c r="E153" s="3" t="str" cm="1">
        <f t="array" aca="1" ref="E153" ca="1">_xlfn.IFS(D153="Industrial", "Reinforced Concrete", D153 = "Commercial", CHOOSE(RANDBETWEEN(1, 2), "Reinforced Concrete", "Unreinforced Masonry"), D153 = "Residential", CHOOSE(RANDBETWEEN(1, 3), "Reinforced Concrete", "Unreinforced Masonry", "Adobe / Light Timber"))</f>
        <v>Reinforced Concrete</v>
      </c>
      <c r="F153" s="3">
        <f t="shared" ca="1" si="17"/>
        <v>1996</v>
      </c>
      <c r="G153" s="3">
        <f t="shared" ca="1" si="18"/>
        <v>5</v>
      </c>
      <c r="H153" s="2">
        <f t="shared" ca="1" si="19"/>
        <v>3</v>
      </c>
      <c r="I153" s="4">
        <f t="shared" ca="1" si="20"/>
        <v>21109859</v>
      </c>
    </row>
    <row r="154" spans="1:9">
      <c r="A154" s="1">
        <v>10000153</v>
      </c>
      <c r="B154" s="3" t="str">
        <f t="shared" ca="1" si="14"/>
        <v>Kolkata</v>
      </c>
      <c r="C154" s="3" t="str">
        <f t="shared" ca="1" si="15"/>
        <v>Moderate Risk</v>
      </c>
      <c r="D154" s="3" t="str">
        <f t="shared" ca="1" si="16"/>
        <v>Residential</v>
      </c>
      <c r="E154" s="3" t="str" cm="1">
        <f t="array" aca="1" ref="E154" ca="1">_xlfn.IFS(D154="Industrial", "Reinforced Concrete", D154 = "Commercial", CHOOSE(RANDBETWEEN(1, 2), "Reinforced Concrete", "Unreinforced Masonry"), D154 = "Residential", CHOOSE(RANDBETWEEN(1, 3), "Reinforced Concrete", "Unreinforced Masonry", "Adobe / Light Timber"))</f>
        <v>Unreinforced Masonry</v>
      </c>
      <c r="F154" s="3">
        <f t="shared" ca="1" si="17"/>
        <v>1998</v>
      </c>
      <c r="G154" s="3">
        <f t="shared" ca="1" si="18"/>
        <v>1</v>
      </c>
      <c r="H154" s="2">
        <f t="shared" ca="1" si="19"/>
        <v>1</v>
      </c>
      <c r="I154" s="4">
        <f t="shared" ca="1" si="20"/>
        <v>822658</v>
      </c>
    </row>
    <row r="155" spans="1:9">
      <c r="A155" s="1">
        <v>10000154</v>
      </c>
      <c r="B155" s="3" t="str">
        <f t="shared" ca="1" si="14"/>
        <v>Jalpaiguri</v>
      </c>
      <c r="C155" s="3" t="str">
        <f t="shared" ca="1" si="15"/>
        <v>High Risk</v>
      </c>
      <c r="D155" s="3" t="str">
        <f t="shared" ca="1" si="16"/>
        <v>Industrial</v>
      </c>
      <c r="E155" s="3" t="str" cm="1">
        <f t="array" aca="1" ref="E155" ca="1">_xlfn.IFS(D155="Industrial", "Reinforced Concrete", D155 = "Commercial", CHOOSE(RANDBETWEEN(1, 2), "Reinforced Concrete", "Unreinforced Masonry"), D155 = "Residential", CHOOSE(RANDBETWEEN(1, 3), "Reinforced Concrete", "Unreinforced Masonry", "Adobe / Light Timber"))</f>
        <v>Reinforced Concrete</v>
      </c>
      <c r="F155" s="3">
        <f t="shared" ca="1" si="17"/>
        <v>2010</v>
      </c>
      <c r="G155" s="3">
        <f t="shared" ca="1" si="18"/>
        <v>2</v>
      </c>
      <c r="H155" s="2">
        <f t="shared" ca="1" si="19"/>
        <v>4</v>
      </c>
      <c r="I155" s="4">
        <f t="shared" ca="1" si="20"/>
        <v>52716171</v>
      </c>
    </row>
    <row r="156" spans="1:9">
      <c r="A156" s="1">
        <v>10000155</v>
      </c>
      <c r="B156" s="3" t="str">
        <f t="shared" ca="1" si="14"/>
        <v>Paschim Medinipur</v>
      </c>
      <c r="C156" s="3" t="str">
        <f t="shared" ca="1" si="15"/>
        <v>Moderate Risk</v>
      </c>
      <c r="D156" s="3" t="str">
        <f t="shared" ca="1" si="16"/>
        <v>Residential</v>
      </c>
      <c r="E156" s="3" t="str" cm="1">
        <f t="array" aca="1" ref="E156" ca="1">_xlfn.IFS(D156="Industrial", "Reinforced Concrete", D156 = "Commercial", CHOOSE(RANDBETWEEN(1, 2), "Reinforced Concrete", "Unreinforced Masonry"), D156 = "Residential", CHOOSE(RANDBETWEEN(1, 3), "Reinforced Concrete", "Unreinforced Masonry", "Adobe / Light Timber"))</f>
        <v>Adobe / Light Timber</v>
      </c>
      <c r="F156" s="3">
        <f t="shared" ca="1" si="17"/>
        <v>2011</v>
      </c>
      <c r="G156" s="3">
        <f t="shared" ca="1" si="18"/>
        <v>1</v>
      </c>
      <c r="H156" s="2">
        <f t="shared" ca="1" si="19"/>
        <v>0</v>
      </c>
      <c r="I156" s="4">
        <f t="shared" ca="1" si="20"/>
        <v>555742</v>
      </c>
    </row>
    <row r="157" spans="1:9">
      <c r="A157" s="1">
        <v>10000156</v>
      </c>
      <c r="B157" s="3" t="str">
        <f t="shared" ca="1" si="14"/>
        <v>Jalpaiguri</v>
      </c>
      <c r="C157" s="3" t="str">
        <f t="shared" ca="1" si="15"/>
        <v>High Risk</v>
      </c>
      <c r="D157" s="3" t="str">
        <f t="shared" ca="1" si="16"/>
        <v>Residential</v>
      </c>
      <c r="E157" s="3" t="str" cm="1">
        <f t="array" aca="1" ref="E157" ca="1">_xlfn.IFS(D157="Industrial", "Reinforced Concrete", D157 = "Commercial", CHOOSE(RANDBETWEEN(1, 2), "Reinforced Concrete", "Unreinforced Masonry"), D157 = "Residential", CHOOSE(RANDBETWEEN(1, 3), "Reinforced Concrete", "Unreinforced Masonry", "Adobe / Light Timber"))</f>
        <v>Unreinforced Masonry</v>
      </c>
      <c r="F157" s="3">
        <f t="shared" ca="1" si="17"/>
        <v>2021</v>
      </c>
      <c r="G157" s="3">
        <f t="shared" ca="1" si="18"/>
        <v>3</v>
      </c>
      <c r="H157" s="2">
        <f t="shared" ca="1" si="19"/>
        <v>1</v>
      </c>
      <c r="I157" s="4">
        <f t="shared" ca="1" si="20"/>
        <v>3814948</v>
      </c>
    </row>
    <row r="158" spans="1:9">
      <c r="A158" s="1">
        <v>10000157</v>
      </c>
      <c r="B158" s="3" t="str">
        <f t="shared" ca="1" si="14"/>
        <v>South 24 Parganas</v>
      </c>
      <c r="C158" s="3" t="str">
        <f t="shared" ca="1" si="15"/>
        <v>High Risk</v>
      </c>
      <c r="D158" s="3" t="str">
        <f t="shared" ca="1" si="16"/>
        <v>Industrial</v>
      </c>
      <c r="E158" s="3" t="str" cm="1">
        <f t="array" aca="1" ref="E158" ca="1">_xlfn.IFS(D158="Industrial", "Reinforced Concrete", D158 = "Commercial", CHOOSE(RANDBETWEEN(1, 2), "Reinforced Concrete", "Unreinforced Masonry"), D158 = "Residential", CHOOSE(RANDBETWEEN(1, 3), "Reinforced Concrete", "Unreinforced Masonry", "Adobe / Light Timber"))</f>
        <v>Reinforced Concrete</v>
      </c>
      <c r="F158" s="3">
        <f t="shared" ca="1" si="17"/>
        <v>1984</v>
      </c>
      <c r="G158" s="3">
        <f t="shared" ca="1" si="18"/>
        <v>4</v>
      </c>
      <c r="H158" s="2">
        <f t="shared" ca="1" si="19"/>
        <v>4</v>
      </c>
      <c r="I158" s="4">
        <f t="shared" ca="1" si="20"/>
        <v>44706797</v>
      </c>
    </row>
    <row r="159" spans="1:9">
      <c r="A159" s="1">
        <v>10000158</v>
      </c>
      <c r="B159" s="3" t="str">
        <f t="shared" ca="1" si="14"/>
        <v>Hooghly</v>
      </c>
      <c r="C159" s="3" t="str">
        <f t="shared" ca="1" si="15"/>
        <v>Moderate Risk</v>
      </c>
      <c r="D159" s="3" t="str">
        <f t="shared" ca="1" si="16"/>
        <v>Commercial</v>
      </c>
      <c r="E159" s="3" t="str" cm="1">
        <f t="array" aca="1" ref="E159" ca="1">_xlfn.IFS(D159="Industrial", "Reinforced Concrete", D159 = "Commercial", CHOOSE(RANDBETWEEN(1, 2), "Reinforced Concrete", "Unreinforced Masonry"), D159 = "Residential", CHOOSE(RANDBETWEEN(1, 3), "Reinforced Concrete", "Unreinforced Masonry", "Adobe / Light Timber"))</f>
        <v>Reinforced Concrete</v>
      </c>
      <c r="F159" s="3">
        <f t="shared" ca="1" si="17"/>
        <v>2021</v>
      </c>
      <c r="G159" s="3">
        <f t="shared" ca="1" si="18"/>
        <v>2</v>
      </c>
      <c r="H159" s="2">
        <f t="shared" ca="1" si="19"/>
        <v>4</v>
      </c>
      <c r="I159" s="4">
        <f t="shared" ca="1" si="20"/>
        <v>14432782</v>
      </c>
    </row>
    <row r="160" spans="1:9">
      <c r="A160" s="1">
        <v>10000159</v>
      </c>
      <c r="B160" s="3" t="str">
        <f t="shared" ca="1" si="14"/>
        <v>Malda</v>
      </c>
      <c r="C160" s="3" t="str">
        <f t="shared" ca="1" si="15"/>
        <v>High Risk</v>
      </c>
      <c r="D160" s="3" t="str">
        <f t="shared" ca="1" si="16"/>
        <v>Commercial</v>
      </c>
      <c r="E160" s="3" t="str" cm="1">
        <f t="array" aca="1" ref="E160" ca="1">_xlfn.IFS(D160="Industrial", "Reinforced Concrete", D160 = "Commercial", CHOOSE(RANDBETWEEN(1, 2), "Reinforced Concrete", "Unreinforced Masonry"), D160 = "Residential", CHOOSE(RANDBETWEEN(1, 3), "Reinforced Concrete", "Unreinforced Masonry", "Adobe / Light Timber"))</f>
        <v>Unreinforced Masonry</v>
      </c>
      <c r="F160" s="3">
        <f t="shared" ca="1" si="17"/>
        <v>1991</v>
      </c>
      <c r="G160" s="3">
        <f t="shared" ca="1" si="18"/>
        <v>3</v>
      </c>
      <c r="H160" s="2">
        <f t="shared" ca="1" si="19"/>
        <v>0</v>
      </c>
      <c r="I160" s="4">
        <f t="shared" ca="1" si="20"/>
        <v>15153460</v>
      </c>
    </row>
    <row r="161" spans="1:9">
      <c r="A161" s="1">
        <v>10000160</v>
      </c>
      <c r="B161" s="3" t="str">
        <f t="shared" ca="1" si="14"/>
        <v>Paschim Medinipur</v>
      </c>
      <c r="C161" s="3" t="str">
        <f t="shared" ca="1" si="15"/>
        <v>Moderate Risk</v>
      </c>
      <c r="D161" s="3" t="str">
        <f t="shared" ca="1" si="16"/>
        <v>Industrial</v>
      </c>
      <c r="E161" s="3" t="str" cm="1">
        <f t="array" aca="1" ref="E161" ca="1">_xlfn.IFS(D161="Industrial", "Reinforced Concrete", D161 = "Commercial", CHOOSE(RANDBETWEEN(1, 2), "Reinforced Concrete", "Unreinforced Masonry"), D161 = "Residential", CHOOSE(RANDBETWEEN(1, 3), "Reinforced Concrete", "Unreinforced Masonry", "Adobe / Light Timber"))</f>
        <v>Reinforced Concrete</v>
      </c>
      <c r="F161" s="3">
        <f t="shared" ca="1" si="17"/>
        <v>2018</v>
      </c>
      <c r="G161" s="3">
        <f t="shared" ca="1" si="18"/>
        <v>2</v>
      </c>
      <c r="H161" s="2">
        <f t="shared" ca="1" si="19"/>
        <v>3</v>
      </c>
      <c r="I161" s="4">
        <f t="shared" ca="1" si="20"/>
        <v>47608125</v>
      </c>
    </row>
    <row r="162" spans="1:9">
      <c r="A162" s="1">
        <v>10000161</v>
      </c>
      <c r="B162" s="3" t="str">
        <f t="shared" ca="1" si="14"/>
        <v>Hooghly</v>
      </c>
      <c r="C162" s="3" t="str">
        <f t="shared" ca="1" si="15"/>
        <v>Moderate Risk</v>
      </c>
      <c r="D162" s="3" t="str">
        <f t="shared" ca="1" si="16"/>
        <v>Commercial</v>
      </c>
      <c r="E162" s="3" t="str" cm="1">
        <f t="array" aca="1" ref="E162" ca="1">_xlfn.IFS(D162="Industrial", "Reinforced Concrete", D162 = "Commercial", CHOOSE(RANDBETWEEN(1, 2), "Reinforced Concrete", "Unreinforced Masonry"), D162 = "Residential", CHOOSE(RANDBETWEEN(1, 3), "Reinforced Concrete", "Unreinforced Masonry", "Adobe / Light Timber"))</f>
        <v>Unreinforced Masonry</v>
      </c>
      <c r="F162" s="3">
        <f t="shared" ca="1" si="17"/>
        <v>2015</v>
      </c>
      <c r="G162" s="3">
        <f t="shared" ca="1" si="18"/>
        <v>4</v>
      </c>
      <c r="H162" s="2">
        <f t="shared" ca="1" si="19"/>
        <v>2</v>
      </c>
      <c r="I162" s="4">
        <f t="shared" ca="1" si="20"/>
        <v>15286679</v>
      </c>
    </row>
    <row r="163" spans="1:9">
      <c r="A163" s="1">
        <v>10000162</v>
      </c>
      <c r="B163" s="3" t="str">
        <f t="shared" ca="1" si="14"/>
        <v>Hooghly</v>
      </c>
      <c r="C163" s="3" t="str">
        <f t="shared" ca="1" si="15"/>
        <v>Moderate Risk</v>
      </c>
      <c r="D163" s="3" t="str">
        <f t="shared" ca="1" si="16"/>
        <v>Residential</v>
      </c>
      <c r="E163" s="3" t="str" cm="1">
        <f t="array" aca="1" ref="E163" ca="1">_xlfn.IFS(D163="Industrial", "Reinforced Concrete", D163 = "Commercial", CHOOSE(RANDBETWEEN(1, 2), "Reinforced Concrete", "Unreinforced Masonry"), D163 = "Residential", CHOOSE(RANDBETWEEN(1, 3), "Reinforced Concrete", "Unreinforced Masonry", "Adobe / Light Timber"))</f>
        <v>Adobe / Light Timber</v>
      </c>
      <c r="F163" s="3">
        <f t="shared" ca="1" si="17"/>
        <v>1998</v>
      </c>
      <c r="G163" s="3">
        <f t="shared" ca="1" si="18"/>
        <v>1</v>
      </c>
      <c r="H163" s="2">
        <f t="shared" ca="1" si="19"/>
        <v>2</v>
      </c>
      <c r="I163" s="4">
        <f t="shared" ca="1" si="20"/>
        <v>537964</v>
      </c>
    </row>
    <row r="164" spans="1:9">
      <c r="A164" s="1">
        <v>10000163</v>
      </c>
      <c r="B164" s="3" t="str">
        <f t="shared" ca="1" si="14"/>
        <v>South 24 Parganas</v>
      </c>
      <c r="C164" s="3" t="str">
        <f t="shared" ca="1" si="15"/>
        <v>High Risk</v>
      </c>
      <c r="D164" s="3" t="str">
        <f t="shared" ca="1" si="16"/>
        <v>Industrial</v>
      </c>
      <c r="E164" s="3" t="str" cm="1">
        <f t="array" aca="1" ref="E164" ca="1">_xlfn.IFS(D164="Industrial", "Reinforced Concrete", D164 = "Commercial", CHOOSE(RANDBETWEEN(1, 2), "Reinforced Concrete", "Unreinforced Masonry"), D164 = "Residential", CHOOSE(RANDBETWEEN(1, 3), "Reinforced Concrete", "Unreinforced Masonry", "Adobe / Light Timber"))</f>
        <v>Reinforced Concrete</v>
      </c>
      <c r="F164" s="3">
        <f t="shared" ca="1" si="17"/>
        <v>1989</v>
      </c>
      <c r="G164" s="3">
        <f t="shared" ca="1" si="18"/>
        <v>1</v>
      </c>
      <c r="H164" s="2">
        <f t="shared" ca="1" si="19"/>
        <v>3</v>
      </c>
      <c r="I164" s="4">
        <f t="shared" ca="1" si="20"/>
        <v>53462695</v>
      </c>
    </row>
    <row r="165" spans="1:9">
      <c r="A165" s="1">
        <v>10000164</v>
      </c>
      <c r="B165" s="3" t="str">
        <f t="shared" ca="1" si="14"/>
        <v>Paschim Medinipur</v>
      </c>
      <c r="C165" s="3" t="str">
        <f t="shared" ca="1" si="15"/>
        <v>Moderate Risk</v>
      </c>
      <c r="D165" s="3" t="str">
        <f t="shared" ca="1" si="16"/>
        <v>Residential</v>
      </c>
      <c r="E165" s="3" t="str" cm="1">
        <f t="array" aca="1" ref="E165" ca="1">_xlfn.IFS(D165="Industrial", "Reinforced Concrete", D165 = "Commercial", CHOOSE(RANDBETWEEN(1, 2), "Reinforced Concrete", "Unreinforced Masonry"), D165 = "Residential", CHOOSE(RANDBETWEEN(1, 3), "Reinforced Concrete", "Unreinforced Masonry", "Adobe / Light Timber"))</f>
        <v>Unreinforced Masonry</v>
      </c>
      <c r="F165" s="3">
        <f t="shared" ca="1" si="17"/>
        <v>1989</v>
      </c>
      <c r="G165" s="3">
        <f t="shared" ca="1" si="18"/>
        <v>4</v>
      </c>
      <c r="H165" s="2">
        <f t="shared" ca="1" si="19"/>
        <v>2</v>
      </c>
      <c r="I165" s="4">
        <f t="shared" ca="1" si="20"/>
        <v>3973801</v>
      </c>
    </row>
    <row r="166" spans="1:9">
      <c r="A166" s="1">
        <v>10000165</v>
      </c>
      <c r="B166" s="3" t="str">
        <f t="shared" ca="1" si="14"/>
        <v>South 24 Parganas</v>
      </c>
      <c r="C166" s="3" t="str">
        <f t="shared" ca="1" si="15"/>
        <v>High Risk</v>
      </c>
      <c r="D166" s="3" t="str">
        <f t="shared" ca="1" si="16"/>
        <v>Residential</v>
      </c>
      <c r="E166" s="3" t="str" cm="1">
        <f t="array" aca="1" ref="E166" ca="1">_xlfn.IFS(D166="Industrial", "Reinforced Concrete", D166 = "Commercial", CHOOSE(RANDBETWEEN(1, 2), "Reinforced Concrete", "Unreinforced Masonry"), D166 = "Residential", CHOOSE(RANDBETWEEN(1, 3), "Reinforced Concrete", "Unreinforced Masonry", "Adobe / Light Timber"))</f>
        <v>Reinforced Concrete</v>
      </c>
      <c r="F166" s="3">
        <f t="shared" ca="1" si="17"/>
        <v>2017</v>
      </c>
      <c r="G166" s="3">
        <f t="shared" ca="1" si="18"/>
        <v>4</v>
      </c>
      <c r="H166" s="2">
        <f t="shared" ca="1" si="19"/>
        <v>5</v>
      </c>
      <c r="I166" s="4">
        <f t="shared" ca="1" si="20"/>
        <v>4491452</v>
      </c>
    </row>
    <row r="167" spans="1:9">
      <c r="A167" s="1">
        <v>10000166</v>
      </c>
      <c r="B167" s="3" t="str">
        <f t="shared" ca="1" si="14"/>
        <v>Paschim Medinipur</v>
      </c>
      <c r="C167" s="3" t="str">
        <f t="shared" ca="1" si="15"/>
        <v>Moderate Risk</v>
      </c>
      <c r="D167" s="3" t="str">
        <f t="shared" ca="1" si="16"/>
        <v>Commercial</v>
      </c>
      <c r="E167" s="3" t="str" cm="1">
        <f t="array" aca="1" ref="E167" ca="1">_xlfn.IFS(D167="Industrial", "Reinforced Concrete", D167 = "Commercial", CHOOSE(RANDBETWEEN(1, 2), "Reinforced Concrete", "Unreinforced Masonry"), D167 = "Residential", CHOOSE(RANDBETWEEN(1, 3), "Reinforced Concrete", "Unreinforced Masonry", "Adobe / Light Timber"))</f>
        <v>Unreinforced Masonry</v>
      </c>
      <c r="F167" s="3">
        <f t="shared" ca="1" si="17"/>
        <v>1988</v>
      </c>
      <c r="G167" s="3">
        <f t="shared" ca="1" si="18"/>
        <v>2</v>
      </c>
      <c r="H167" s="2">
        <f t="shared" ca="1" si="19"/>
        <v>2</v>
      </c>
      <c r="I167" s="4">
        <f t="shared" ca="1" si="20"/>
        <v>12519606</v>
      </c>
    </row>
    <row r="168" spans="1:9">
      <c r="A168" s="1">
        <v>10000167</v>
      </c>
      <c r="B168" s="3" t="str">
        <f t="shared" ca="1" si="14"/>
        <v>South 24 Parganas</v>
      </c>
      <c r="C168" s="3" t="str">
        <f t="shared" ca="1" si="15"/>
        <v>High Risk</v>
      </c>
      <c r="D168" s="3" t="str">
        <f t="shared" ca="1" si="16"/>
        <v>Industrial</v>
      </c>
      <c r="E168" s="3" t="str" cm="1">
        <f t="array" aca="1" ref="E168" ca="1">_xlfn.IFS(D168="Industrial", "Reinforced Concrete", D168 = "Commercial", CHOOSE(RANDBETWEEN(1, 2), "Reinforced Concrete", "Unreinforced Masonry"), D168 = "Residential", CHOOSE(RANDBETWEEN(1, 3), "Reinforced Concrete", "Unreinforced Masonry", "Adobe / Light Timber"))</f>
        <v>Reinforced Concrete</v>
      </c>
      <c r="F168" s="3">
        <f t="shared" ca="1" si="17"/>
        <v>2017</v>
      </c>
      <c r="G168" s="3">
        <f t="shared" ca="1" si="18"/>
        <v>2</v>
      </c>
      <c r="H168" s="2">
        <f t="shared" ca="1" si="19"/>
        <v>5</v>
      </c>
      <c r="I168" s="4">
        <f t="shared" ca="1" si="20"/>
        <v>38297029</v>
      </c>
    </row>
    <row r="169" spans="1:9">
      <c r="A169" s="1">
        <v>10000168</v>
      </c>
      <c r="B169" s="3" t="str">
        <f t="shared" ca="1" si="14"/>
        <v>Kolkata</v>
      </c>
      <c r="C169" s="3" t="str">
        <f t="shared" ca="1" si="15"/>
        <v>Moderate Risk</v>
      </c>
      <c r="D169" s="3" t="str">
        <f t="shared" ca="1" si="16"/>
        <v>Residential</v>
      </c>
      <c r="E169" s="3" t="str" cm="1">
        <f t="array" aca="1" ref="E169" ca="1">_xlfn.IFS(D169="Industrial", "Reinforced Concrete", D169 = "Commercial", CHOOSE(RANDBETWEEN(1, 2), "Reinforced Concrete", "Unreinforced Masonry"), D169 = "Residential", CHOOSE(RANDBETWEEN(1, 3), "Reinforced Concrete", "Unreinforced Masonry", "Adobe / Light Timber"))</f>
        <v>Unreinforced Masonry</v>
      </c>
      <c r="F169" s="3">
        <f t="shared" ca="1" si="17"/>
        <v>1990</v>
      </c>
      <c r="G169" s="3">
        <f t="shared" ca="1" si="18"/>
        <v>1</v>
      </c>
      <c r="H169" s="2">
        <f t="shared" ca="1" si="19"/>
        <v>1</v>
      </c>
      <c r="I169" s="4">
        <f t="shared" ca="1" si="20"/>
        <v>5702147</v>
      </c>
    </row>
    <row r="170" spans="1:9">
      <c r="A170" s="1">
        <v>10000169</v>
      </c>
      <c r="B170" s="3" t="str">
        <f t="shared" ca="1" si="14"/>
        <v>Hooghly</v>
      </c>
      <c r="C170" s="3" t="str">
        <f t="shared" ca="1" si="15"/>
        <v>Moderate Risk</v>
      </c>
      <c r="D170" s="3" t="str">
        <f t="shared" ca="1" si="16"/>
        <v>Residential</v>
      </c>
      <c r="E170" s="3" t="str" cm="1">
        <f t="array" aca="1" ref="E170" ca="1">_xlfn.IFS(D170="Industrial", "Reinforced Concrete", D170 = "Commercial", CHOOSE(RANDBETWEEN(1, 2), "Reinforced Concrete", "Unreinforced Masonry"), D170 = "Residential", CHOOSE(RANDBETWEEN(1, 3), "Reinforced Concrete", "Unreinforced Masonry", "Adobe / Light Timber"))</f>
        <v>Unreinforced Masonry</v>
      </c>
      <c r="F170" s="3">
        <f t="shared" ca="1" si="17"/>
        <v>1982</v>
      </c>
      <c r="G170" s="3">
        <f t="shared" ca="1" si="18"/>
        <v>5</v>
      </c>
      <c r="H170" s="2">
        <f t="shared" ca="1" si="19"/>
        <v>0</v>
      </c>
      <c r="I170" s="4">
        <f t="shared" ca="1" si="20"/>
        <v>4946844</v>
      </c>
    </row>
    <row r="171" spans="1:9">
      <c r="A171" s="1">
        <v>10000170</v>
      </c>
      <c r="B171" s="3" t="str">
        <f t="shared" ca="1" si="14"/>
        <v>Paschim Medinipur</v>
      </c>
      <c r="C171" s="3" t="str">
        <f t="shared" ca="1" si="15"/>
        <v>Moderate Risk</v>
      </c>
      <c r="D171" s="3" t="str">
        <f t="shared" ca="1" si="16"/>
        <v>Industrial</v>
      </c>
      <c r="E171" s="3" t="str" cm="1">
        <f t="array" aca="1" ref="E171" ca="1">_xlfn.IFS(D171="Industrial", "Reinforced Concrete", D171 = "Commercial", CHOOSE(RANDBETWEEN(1, 2), "Reinforced Concrete", "Unreinforced Masonry"), D171 = "Residential", CHOOSE(RANDBETWEEN(1, 3), "Reinforced Concrete", "Unreinforced Masonry", "Adobe / Light Timber"))</f>
        <v>Reinforced Concrete</v>
      </c>
      <c r="F171" s="3">
        <f t="shared" ca="1" si="17"/>
        <v>2013</v>
      </c>
      <c r="G171" s="3">
        <f t="shared" ca="1" si="18"/>
        <v>2</v>
      </c>
      <c r="H171" s="2">
        <f t="shared" ca="1" si="19"/>
        <v>3</v>
      </c>
      <c r="I171" s="4">
        <f t="shared" ca="1" si="20"/>
        <v>48203656</v>
      </c>
    </row>
    <row r="172" spans="1:9">
      <c r="A172" s="1">
        <v>10000171</v>
      </c>
      <c r="B172" s="3" t="str">
        <f t="shared" ca="1" si="14"/>
        <v>Kolkata</v>
      </c>
      <c r="C172" s="3" t="str">
        <f t="shared" ca="1" si="15"/>
        <v>Moderate Risk</v>
      </c>
      <c r="D172" s="3" t="str">
        <f t="shared" ca="1" si="16"/>
        <v>Residential</v>
      </c>
      <c r="E172" s="3" t="str" cm="1">
        <f t="array" aca="1" ref="E172" ca="1">_xlfn.IFS(D172="Industrial", "Reinforced Concrete", D172 = "Commercial", CHOOSE(RANDBETWEEN(1, 2), "Reinforced Concrete", "Unreinforced Masonry"), D172 = "Residential", CHOOSE(RANDBETWEEN(1, 3), "Reinforced Concrete", "Unreinforced Masonry", "Adobe / Light Timber"))</f>
        <v>Adobe / Light Timber</v>
      </c>
      <c r="F172" s="3">
        <f t="shared" ca="1" si="17"/>
        <v>1991</v>
      </c>
      <c r="G172" s="3">
        <f t="shared" ca="1" si="18"/>
        <v>1</v>
      </c>
      <c r="H172" s="2">
        <f t="shared" ca="1" si="19"/>
        <v>2</v>
      </c>
      <c r="I172" s="4">
        <f t="shared" ca="1" si="20"/>
        <v>679441</v>
      </c>
    </row>
    <row r="173" spans="1:9">
      <c r="A173" s="1">
        <v>10000172</v>
      </c>
      <c r="B173" s="3" t="str">
        <f t="shared" ca="1" si="14"/>
        <v>Malda</v>
      </c>
      <c r="C173" s="3" t="str">
        <f t="shared" ca="1" si="15"/>
        <v>High Risk</v>
      </c>
      <c r="D173" s="3" t="str">
        <f t="shared" ca="1" si="16"/>
        <v>Residential</v>
      </c>
      <c r="E173" s="3" t="str" cm="1">
        <f t="array" aca="1" ref="E173" ca="1">_xlfn.IFS(D173="Industrial", "Reinforced Concrete", D173 = "Commercial", CHOOSE(RANDBETWEEN(1, 2), "Reinforced Concrete", "Unreinforced Masonry"), D173 = "Residential", CHOOSE(RANDBETWEEN(1, 3), "Reinforced Concrete", "Unreinforced Masonry", "Adobe / Light Timber"))</f>
        <v>Adobe / Light Timber</v>
      </c>
      <c r="F173" s="3">
        <f t="shared" ca="1" si="17"/>
        <v>2021</v>
      </c>
      <c r="G173" s="3">
        <f t="shared" ca="1" si="18"/>
        <v>1</v>
      </c>
      <c r="H173" s="2">
        <f t="shared" ca="1" si="19"/>
        <v>1</v>
      </c>
      <c r="I173" s="4">
        <f t="shared" ca="1" si="20"/>
        <v>568636</v>
      </c>
    </row>
    <row r="174" spans="1:9">
      <c r="A174" s="1">
        <v>10000173</v>
      </c>
      <c r="B174" s="3" t="str">
        <f t="shared" ca="1" si="14"/>
        <v>Kolkata</v>
      </c>
      <c r="C174" s="3" t="str">
        <f t="shared" ca="1" si="15"/>
        <v>Moderate Risk</v>
      </c>
      <c r="D174" s="3" t="str">
        <f t="shared" ca="1" si="16"/>
        <v>Commercial</v>
      </c>
      <c r="E174" s="3" t="str" cm="1">
        <f t="array" aca="1" ref="E174" ca="1">_xlfn.IFS(D174="Industrial", "Reinforced Concrete", D174 = "Commercial", CHOOSE(RANDBETWEEN(1, 2), "Reinforced Concrete", "Unreinforced Masonry"), D174 = "Residential", CHOOSE(RANDBETWEEN(1, 3), "Reinforced Concrete", "Unreinforced Masonry", "Adobe / Light Timber"))</f>
        <v>Reinforced Concrete</v>
      </c>
      <c r="F174" s="3">
        <f t="shared" ca="1" si="17"/>
        <v>2011</v>
      </c>
      <c r="G174" s="3">
        <f t="shared" ca="1" si="18"/>
        <v>2</v>
      </c>
      <c r="H174" s="2">
        <f t="shared" ca="1" si="19"/>
        <v>3</v>
      </c>
      <c r="I174" s="4">
        <f t="shared" ca="1" si="20"/>
        <v>16111041</v>
      </c>
    </row>
    <row r="175" spans="1:9">
      <c r="A175" s="1">
        <v>10000174</v>
      </c>
      <c r="B175" s="3" t="str">
        <f t="shared" ca="1" si="14"/>
        <v>Malda</v>
      </c>
      <c r="C175" s="3" t="str">
        <f t="shared" ca="1" si="15"/>
        <v>High Risk</v>
      </c>
      <c r="D175" s="3" t="str">
        <f t="shared" ca="1" si="16"/>
        <v>Commercial</v>
      </c>
      <c r="E175" s="3" t="str" cm="1">
        <f t="array" aca="1" ref="E175" ca="1">_xlfn.IFS(D175="Industrial", "Reinforced Concrete", D175 = "Commercial", CHOOSE(RANDBETWEEN(1, 2), "Reinforced Concrete", "Unreinforced Masonry"), D175 = "Residential", CHOOSE(RANDBETWEEN(1, 3), "Reinforced Concrete", "Unreinforced Masonry", "Adobe / Light Timber"))</f>
        <v>Unreinforced Masonry</v>
      </c>
      <c r="F175" s="3">
        <f t="shared" ca="1" si="17"/>
        <v>2015</v>
      </c>
      <c r="G175" s="3">
        <f t="shared" ca="1" si="18"/>
        <v>5</v>
      </c>
      <c r="H175" s="2">
        <f t="shared" ca="1" si="19"/>
        <v>2</v>
      </c>
      <c r="I175" s="4">
        <f t="shared" ca="1" si="20"/>
        <v>21181559</v>
      </c>
    </row>
    <row r="176" spans="1:9">
      <c r="A176" s="1">
        <v>10000175</v>
      </c>
      <c r="B176" s="3" t="str">
        <f t="shared" ca="1" si="14"/>
        <v>Kolkata</v>
      </c>
      <c r="C176" s="3" t="str">
        <f t="shared" ca="1" si="15"/>
        <v>Moderate Risk</v>
      </c>
      <c r="D176" s="3" t="str">
        <f t="shared" ca="1" si="16"/>
        <v>Industrial</v>
      </c>
      <c r="E176" s="3" t="str" cm="1">
        <f t="array" aca="1" ref="E176" ca="1">_xlfn.IFS(D176="Industrial", "Reinforced Concrete", D176 = "Commercial", CHOOSE(RANDBETWEEN(1, 2), "Reinforced Concrete", "Unreinforced Masonry"), D176 = "Residential", CHOOSE(RANDBETWEEN(1, 3), "Reinforced Concrete", "Unreinforced Masonry", "Adobe / Light Timber"))</f>
        <v>Reinforced Concrete</v>
      </c>
      <c r="F176" s="3">
        <f t="shared" ca="1" si="17"/>
        <v>2018</v>
      </c>
      <c r="G176" s="3">
        <f t="shared" ca="1" si="18"/>
        <v>2</v>
      </c>
      <c r="H176" s="2">
        <f t="shared" ca="1" si="19"/>
        <v>5</v>
      </c>
      <c r="I176" s="4">
        <f t="shared" ca="1" si="20"/>
        <v>33146469</v>
      </c>
    </row>
    <row r="177" spans="1:9">
      <c r="A177" s="1">
        <v>10000176</v>
      </c>
      <c r="B177" s="3" t="str">
        <f t="shared" ca="1" si="14"/>
        <v>Malda</v>
      </c>
      <c r="C177" s="3" t="str">
        <f t="shared" ca="1" si="15"/>
        <v>High Risk</v>
      </c>
      <c r="D177" s="3" t="str">
        <f t="shared" ca="1" si="16"/>
        <v>Commercial</v>
      </c>
      <c r="E177" s="3" t="str" cm="1">
        <f t="array" aca="1" ref="E177" ca="1">_xlfn.IFS(D177="Industrial", "Reinforced Concrete", D177 = "Commercial", CHOOSE(RANDBETWEEN(1, 2), "Reinforced Concrete", "Unreinforced Masonry"), D177 = "Residential", CHOOSE(RANDBETWEEN(1, 3), "Reinforced Concrete", "Unreinforced Masonry", "Adobe / Light Timber"))</f>
        <v>Unreinforced Masonry</v>
      </c>
      <c r="F177" s="3">
        <f t="shared" ca="1" si="17"/>
        <v>1980</v>
      </c>
      <c r="G177" s="3">
        <f t="shared" ca="1" si="18"/>
        <v>3</v>
      </c>
      <c r="H177" s="2">
        <f t="shared" ca="1" si="19"/>
        <v>0</v>
      </c>
      <c r="I177" s="4">
        <f t="shared" ca="1" si="20"/>
        <v>18349395</v>
      </c>
    </row>
    <row r="178" spans="1:9">
      <c r="A178" s="1">
        <v>10000177</v>
      </c>
      <c r="B178" s="3" t="str">
        <f t="shared" ca="1" si="14"/>
        <v>Hooghly</v>
      </c>
      <c r="C178" s="3" t="str">
        <f t="shared" ca="1" si="15"/>
        <v>Moderate Risk</v>
      </c>
      <c r="D178" s="3" t="str">
        <f t="shared" ca="1" si="16"/>
        <v>Residential</v>
      </c>
      <c r="E178" s="3" t="str" cm="1">
        <f t="array" aca="1" ref="E178" ca="1">_xlfn.IFS(D178="Industrial", "Reinforced Concrete", D178 = "Commercial", CHOOSE(RANDBETWEEN(1, 2), "Reinforced Concrete", "Unreinforced Masonry"), D178 = "Residential", CHOOSE(RANDBETWEEN(1, 3), "Reinforced Concrete", "Unreinforced Masonry", "Adobe / Light Timber"))</f>
        <v>Reinforced Concrete</v>
      </c>
      <c r="F178" s="3">
        <f t="shared" ca="1" si="17"/>
        <v>2004</v>
      </c>
      <c r="G178" s="3">
        <f t="shared" ca="1" si="18"/>
        <v>2</v>
      </c>
      <c r="H178" s="2">
        <f t="shared" ca="1" si="19"/>
        <v>4</v>
      </c>
      <c r="I178" s="4">
        <f t="shared" ca="1" si="20"/>
        <v>3135095</v>
      </c>
    </row>
    <row r="179" spans="1:9">
      <c r="A179" s="1">
        <v>10000178</v>
      </c>
      <c r="B179" s="3" t="str">
        <f t="shared" ca="1" si="14"/>
        <v>Kolkata</v>
      </c>
      <c r="C179" s="3" t="str">
        <f t="shared" ca="1" si="15"/>
        <v>Moderate Risk</v>
      </c>
      <c r="D179" s="3" t="str">
        <f t="shared" ca="1" si="16"/>
        <v>Industrial</v>
      </c>
      <c r="E179" s="3" t="str" cm="1">
        <f t="array" aca="1" ref="E179" ca="1">_xlfn.IFS(D179="Industrial", "Reinforced Concrete", D179 = "Commercial", CHOOSE(RANDBETWEEN(1, 2), "Reinforced Concrete", "Unreinforced Masonry"), D179 = "Residential", CHOOSE(RANDBETWEEN(1, 3), "Reinforced Concrete", "Unreinforced Masonry", "Adobe / Light Timber"))</f>
        <v>Reinforced Concrete</v>
      </c>
      <c r="F179" s="3">
        <f t="shared" ca="1" si="17"/>
        <v>1996</v>
      </c>
      <c r="G179" s="3">
        <f t="shared" ca="1" si="18"/>
        <v>2</v>
      </c>
      <c r="H179" s="2">
        <f t="shared" ca="1" si="19"/>
        <v>5</v>
      </c>
      <c r="I179" s="4">
        <f t="shared" ca="1" si="20"/>
        <v>41980032</v>
      </c>
    </row>
    <row r="180" spans="1:9">
      <c r="A180" s="1">
        <v>10000179</v>
      </c>
      <c r="B180" s="3" t="str">
        <f t="shared" ca="1" si="14"/>
        <v>Jalpaiguri</v>
      </c>
      <c r="C180" s="3" t="str">
        <f t="shared" ca="1" si="15"/>
        <v>High Risk</v>
      </c>
      <c r="D180" s="3" t="str">
        <f t="shared" ca="1" si="16"/>
        <v>Commercial</v>
      </c>
      <c r="E180" s="3" t="str" cm="1">
        <f t="array" aca="1" ref="E180" ca="1">_xlfn.IFS(D180="Industrial", "Reinforced Concrete", D180 = "Commercial", CHOOSE(RANDBETWEEN(1, 2), "Reinforced Concrete", "Unreinforced Masonry"), D180 = "Residential", CHOOSE(RANDBETWEEN(1, 3), "Reinforced Concrete", "Unreinforced Masonry", "Adobe / Light Timber"))</f>
        <v>Reinforced Concrete</v>
      </c>
      <c r="F180" s="3">
        <f t="shared" ca="1" si="17"/>
        <v>1994</v>
      </c>
      <c r="G180" s="3">
        <f t="shared" ca="1" si="18"/>
        <v>4</v>
      </c>
      <c r="H180" s="2">
        <f t="shared" ca="1" si="19"/>
        <v>4</v>
      </c>
      <c r="I180" s="4">
        <f t="shared" ca="1" si="20"/>
        <v>13714806</v>
      </c>
    </row>
    <row r="181" spans="1:9">
      <c r="A181" s="1">
        <v>10000180</v>
      </c>
      <c r="B181" s="3" t="str">
        <f t="shared" ca="1" si="14"/>
        <v>Hooghly</v>
      </c>
      <c r="C181" s="3" t="str">
        <f t="shared" ca="1" si="15"/>
        <v>Moderate Risk</v>
      </c>
      <c r="D181" s="3" t="str">
        <f t="shared" ca="1" si="16"/>
        <v>Commercial</v>
      </c>
      <c r="E181" s="3" t="str" cm="1">
        <f t="array" aca="1" ref="E181" ca="1">_xlfn.IFS(D181="Industrial", "Reinforced Concrete", D181 = "Commercial", CHOOSE(RANDBETWEEN(1, 2), "Reinforced Concrete", "Unreinforced Masonry"), D181 = "Residential", CHOOSE(RANDBETWEEN(1, 3), "Reinforced Concrete", "Unreinforced Masonry", "Adobe / Light Timber"))</f>
        <v>Reinforced Concrete</v>
      </c>
      <c r="F181" s="3">
        <f t="shared" ca="1" si="17"/>
        <v>1983</v>
      </c>
      <c r="G181" s="3">
        <f t="shared" ca="1" si="18"/>
        <v>3</v>
      </c>
      <c r="H181" s="2">
        <f t="shared" ca="1" si="19"/>
        <v>5</v>
      </c>
      <c r="I181" s="4">
        <f t="shared" ca="1" si="20"/>
        <v>10114760</v>
      </c>
    </row>
    <row r="182" spans="1:9">
      <c r="A182" s="1">
        <v>10000181</v>
      </c>
      <c r="B182" s="3" t="str">
        <f t="shared" ca="1" si="14"/>
        <v>Malda</v>
      </c>
      <c r="C182" s="3" t="str">
        <f t="shared" ca="1" si="15"/>
        <v>High Risk</v>
      </c>
      <c r="D182" s="3" t="str">
        <f t="shared" ca="1" si="16"/>
        <v>Industrial</v>
      </c>
      <c r="E182" s="3" t="str" cm="1">
        <f t="array" aca="1" ref="E182" ca="1">_xlfn.IFS(D182="Industrial", "Reinforced Concrete", D182 = "Commercial", CHOOSE(RANDBETWEEN(1, 2), "Reinforced Concrete", "Unreinforced Masonry"), D182 = "Residential", CHOOSE(RANDBETWEEN(1, 3), "Reinforced Concrete", "Unreinforced Masonry", "Adobe / Light Timber"))</f>
        <v>Reinforced Concrete</v>
      </c>
      <c r="F182" s="3">
        <f t="shared" ca="1" si="17"/>
        <v>2011</v>
      </c>
      <c r="G182" s="3">
        <f t="shared" ca="1" si="18"/>
        <v>5</v>
      </c>
      <c r="H182" s="2">
        <f t="shared" ca="1" si="19"/>
        <v>4</v>
      </c>
      <c r="I182" s="4">
        <f t="shared" ca="1" si="20"/>
        <v>44347026</v>
      </c>
    </row>
    <row r="183" spans="1:9">
      <c r="A183" s="1">
        <v>10000182</v>
      </c>
      <c r="B183" s="3" t="str">
        <f t="shared" ca="1" si="14"/>
        <v>Paschim Medinipur</v>
      </c>
      <c r="C183" s="3" t="str">
        <f t="shared" ca="1" si="15"/>
        <v>Moderate Risk</v>
      </c>
      <c r="D183" s="3" t="str">
        <f t="shared" ca="1" si="16"/>
        <v>Industrial</v>
      </c>
      <c r="E183" s="3" t="str" cm="1">
        <f t="array" aca="1" ref="E183" ca="1">_xlfn.IFS(D183="Industrial", "Reinforced Concrete", D183 = "Commercial", CHOOSE(RANDBETWEEN(1, 2), "Reinforced Concrete", "Unreinforced Masonry"), D183 = "Residential", CHOOSE(RANDBETWEEN(1, 3), "Reinforced Concrete", "Unreinforced Masonry", "Adobe / Light Timber"))</f>
        <v>Reinforced Concrete</v>
      </c>
      <c r="F183" s="3">
        <f t="shared" ca="1" si="17"/>
        <v>2019</v>
      </c>
      <c r="G183" s="3">
        <f t="shared" ca="1" si="18"/>
        <v>5</v>
      </c>
      <c r="H183" s="2">
        <f t="shared" ca="1" si="19"/>
        <v>5</v>
      </c>
      <c r="I183" s="4">
        <f t="shared" ca="1" si="20"/>
        <v>53062823</v>
      </c>
    </row>
    <row r="184" spans="1:9">
      <c r="A184" s="1">
        <v>10000183</v>
      </c>
      <c r="B184" s="3" t="str">
        <f t="shared" ca="1" si="14"/>
        <v>Malda</v>
      </c>
      <c r="C184" s="3" t="str">
        <f t="shared" ca="1" si="15"/>
        <v>High Risk</v>
      </c>
      <c r="D184" s="3" t="str">
        <f t="shared" ca="1" si="16"/>
        <v>Commercial</v>
      </c>
      <c r="E184" s="3" t="str" cm="1">
        <f t="array" aca="1" ref="E184" ca="1">_xlfn.IFS(D184="Industrial", "Reinforced Concrete", D184 = "Commercial", CHOOSE(RANDBETWEEN(1, 2), "Reinforced Concrete", "Unreinforced Masonry"), D184 = "Residential", CHOOSE(RANDBETWEEN(1, 3), "Reinforced Concrete", "Unreinforced Masonry", "Adobe / Light Timber"))</f>
        <v>Unreinforced Masonry</v>
      </c>
      <c r="F184" s="3">
        <f t="shared" ca="1" si="17"/>
        <v>2021</v>
      </c>
      <c r="G184" s="3">
        <f t="shared" ca="1" si="18"/>
        <v>5</v>
      </c>
      <c r="H184" s="2">
        <f t="shared" ca="1" si="19"/>
        <v>0</v>
      </c>
      <c r="I184" s="4">
        <f t="shared" ca="1" si="20"/>
        <v>7082510</v>
      </c>
    </row>
    <row r="185" spans="1:9">
      <c r="A185" s="1">
        <v>10000184</v>
      </c>
      <c r="B185" s="3" t="str">
        <f t="shared" ca="1" si="14"/>
        <v>Paschim Medinipur</v>
      </c>
      <c r="C185" s="3" t="str">
        <f t="shared" ca="1" si="15"/>
        <v>Moderate Risk</v>
      </c>
      <c r="D185" s="3" t="str">
        <f t="shared" ca="1" si="16"/>
        <v>Industrial</v>
      </c>
      <c r="E185" s="3" t="str" cm="1">
        <f t="array" aca="1" ref="E185" ca="1">_xlfn.IFS(D185="Industrial", "Reinforced Concrete", D185 = "Commercial", CHOOSE(RANDBETWEEN(1, 2), "Reinforced Concrete", "Unreinforced Masonry"), D185 = "Residential", CHOOSE(RANDBETWEEN(1, 3), "Reinforced Concrete", "Unreinforced Masonry", "Adobe / Light Timber"))</f>
        <v>Reinforced Concrete</v>
      </c>
      <c r="F185" s="3">
        <f t="shared" ca="1" si="17"/>
        <v>2012</v>
      </c>
      <c r="G185" s="3">
        <f t="shared" ca="1" si="18"/>
        <v>3</v>
      </c>
      <c r="H185" s="2">
        <f t="shared" ca="1" si="19"/>
        <v>4</v>
      </c>
      <c r="I185" s="4">
        <f t="shared" ca="1" si="20"/>
        <v>42840137</v>
      </c>
    </row>
    <row r="186" spans="1:9">
      <c r="A186" s="1">
        <v>10000185</v>
      </c>
      <c r="B186" s="3" t="str">
        <f t="shared" ca="1" si="14"/>
        <v>Paschim Medinipur</v>
      </c>
      <c r="C186" s="3" t="str">
        <f t="shared" ca="1" si="15"/>
        <v>Moderate Risk</v>
      </c>
      <c r="D186" s="3" t="str">
        <f t="shared" ca="1" si="16"/>
        <v>Industrial</v>
      </c>
      <c r="E186" s="3" t="str" cm="1">
        <f t="array" aca="1" ref="E186" ca="1">_xlfn.IFS(D186="Industrial", "Reinforced Concrete", D186 = "Commercial", CHOOSE(RANDBETWEEN(1, 2), "Reinforced Concrete", "Unreinforced Masonry"), D186 = "Residential", CHOOSE(RANDBETWEEN(1, 3), "Reinforced Concrete", "Unreinforced Masonry", "Adobe / Light Timber"))</f>
        <v>Reinforced Concrete</v>
      </c>
      <c r="F186" s="3">
        <f t="shared" ca="1" si="17"/>
        <v>1985</v>
      </c>
      <c r="G186" s="3">
        <f t="shared" ca="1" si="18"/>
        <v>3</v>
      </c>
      <c r="H186" s="2">
        <f t="shared" ca="1" si="19"/>
        <v>4</v>
      </c>
      <c r="I186" s="4">
        <f t="shared" ca="1" si="20"/>
        <v>42883867</v>
      </c>
    </row>
    <row r="187" spans="1:9">
      <c r="A187" s="1">
        <v>10000186</v>
      </c>
      <c r="B187" s="3" t="str">
        <f t="shared" ca="1" si="14"/>
        <v>Jalpaiguri</v>
      </c>
      <c r="C187" s="3" t="str">
        <f t="shared" ca="1" si="15"/>
        <v>High Risk</v>
      </c>
      <c r="D187" s="3" t="str">
        <f t="shared" ca="1" si="16"/>
        <v>Industrial</v>
      </c>
      <c r="E187" s="3" t="str" cm="1">
        <f t="array" aca="1" ref="E187" ca="1">_xlfn.IFS(D187="Industrial", "Reinforced Concrete", D187 = "Commercial", CHOOSE(RANDBETWEEN(1, 2), "Reinforced Concrete", "Unreinforced Masonry"), D187 = "Residential", CHOOSE(RANDBETWEEN(1, 3), "Reinforced Concrete", "Unreinforced Masonry", "Adobe / Light Timber"))</f>
        <v>Reinforced Concrete</v>
      </c>
      <c r="F187" s="3">
        <f t="shared" ca="1" si="17"/>
        <v>2014</v>
      </c>
      <c r="G187" s="3">
        <f t="shared" ca="1" si="18"/>
        <v>1</v>
      </c>
      <c r="H187" s="2">
        <f t="shared" ca="1" si="19"/>
        <v>4</v>
      </c>
      <c r="I187" s="4">
        <f t="shared" ca="1" si="20"/>
        <v>50452811</v>
      </c>
    </row>
    <row r="188" spans="1:9">
      <c r="A188" s="1">
        <v>10000187</v>
      </c>
      <c r="B188" s="3" t="str">
        <f t="shared" ca="1" si="14"/>
        <v>Malda</v>
      </c>
      <c r="C188" s="3" t="str">
        <f t="shared" ca="1" si="15"/>
        <v>High Risk</v>
      </c>
      <c r="D188" s="3" t="str">
        <f t="shared" ca="1" si="16"/>
        <v>Commercial</v>
      </c>
      <c r="E188" s="3" t="str" cm="1">
        <f t="array" aca="1" ref="E188" ca="1">_xlfn.IFS(D188="Industrial", "Reinforced Concrete", D188 = "Commercial", CHOOSE(RANDBETWEEN(1, 2), "Reinforced Concrete", "Unreinforced Masonry"), D188 = "Residential", CHOOSE(RANDBETWEEN(1, 3), "Reinforced Concrete", "Unreinforced Masonry", "Adobe / Light Timber"))</f>
        <v>Unreinforced Masonry</v>
      </c>
      <c r="F188" s="3">
        <f t="shared" ca="1" si="17"/>
        <v>2004</v>
      </c>
      <c r="G188" s="3">
        <f t="shared" ca="1" si="18"/>
        <v>3</v>
      </c>
      <c r="H188" s="2">
        <f t="shared" ca="1" si="19"/>
        <v>1</v>
      </c>
      <c r="I188" s="4">
        <f t="shared" ca="1" si="20"/>
        <v>26396566</v>
      </c>
    </row>
    <row r="189" spans="1:9">
      <c r="A189" s="1">
        <v>10000188</v>
      </c>
      <c r="B189" s="3" t="str">
        <f t="shared" ca="1" si="14"/>
        <v>Hooghly</v>
      </c>
      <c r="C189" s="3" t="str">
        <f t="shared" ca="1" si="15"/>
        <v>Moderate Risk</v>
      </c>
      <c r="D189" s="3" t="str">
        <f t="shared" ca="1" si="16"/>
        <v>Residential</v>
      </c>
      <c r="E189" s="3" t="str" cm="1">
        <f t="array" aca="1" ref="E189" ca="1">_xlfn.IFS(D189="Industrial", "Reinforced Concrete", D189 = "Commercial", CHOOSE(RANDBETWEEN(1, 2), "Reinforced Concrete", "Unreinforced Masonry"), D189 = "Residential", CHOOSE(RANDBETWEEN(1, 3), "Reinforced Concrete", "Unreinforced Masonry", "Adobe / Light Timber"))</f>
        <v>Unreinforced Masonry</v>
      </c>
      <c r="F189" s="3">
        <f t="shared" ca="1" si="17"/>
        <v>2008</v>
      </c>
      <c r="G189" s="3">
        <f t="shared" ca="1" si="18"/>
        <v>2</v>
      </c>
      <c r="H189" s="2">
        <f t="shared" ca="1" si="19"/>
        <v>1</v>
      </c>
      <c r="I189" s="4">
        <f t="shared" ca="1" si="20"/>
        <v>3372296</v>
      </c>
    </row>
    <row r="190" spans="1:9">
      <c r="A190" s="1">
        <v>10000189</v>
      </c>
      <c r="B190" s="3" t="str">
        <f t="shared" ca="1" si="14"/>
        <v>Hooghly</v>
      </c>
      <c r="C190" s="3" t="str">
        <f t="shared" ca="1" si="15"/>
        <v>Moderate Risk</v>
      </c>
      <c r="D190" s="3" t="str">
        <f t="shared" ca="1" si="16"/>
        <v>Industrial</v>
      </c>
      <c r="E190" s="3" t="str" cm="1">
        <f t="array" aca="1" ref="E190" ca="1">_xlfn.IFS(D190="Industrial", "Reinforced Concrete", D190 = "Commercial", CHOOSE(RANDBETWEEN(1, 2), "Reinforced Concrete", "Unreinforced Masonry"), D190 = "Residential", CHOOSE(RANDBETWEEN(1, 3), "Reinforced Concrete", "Unreinforced Masonry", "Adobe / Light Timber"))</f>
        <v>Reinforced Concrete</v>
      </c>
      <c r="F190" s="3">
        <f t="shared" ca="1" si="17"/>
        <v>1993</v>
      </c>
      <c r="G190" s="3">
        <f t="shared" ca="1" si="18"/>
        <v>3</v>
      </c>
      <c r="H190" s="2">
        <f t="shared" ca="1" si="19"/>
        <v>4</v>
      </c>
      <c r="I190" s="4">
        <f t="shared" ca="1" si="20"/>
        <v>45523629</v>
      </c>
    </row>
    <row r="191" spans="1:9">
      <c r="A191" s="1">
        <v>10000190</v>
      </c>
      <c r="B191" s="3" t="str">
        <f t="shared" ca="1" si="14"/>
        <v>South 24 Parganas</v>
      </c>
      <c r="C191" s="3" t="str">
        <f t="shared" ca="1" si="15"/>
        <v>High Risk</v>
      </c>
      <c r="D191" s="3" t="str">
        <f t="shared" ca="1" si="16"/>
        <v>Residential</v>
      </c>
      <c r="E191" s="3" t="str" cm="1">
        <f t="array" aca="1" ref="E191" ca="1">_xlfn.IFS(D191="Industrial", "Reinforced Concrete", D191 = "Commercial", CHOOSE(RANDBETWEEN(1, 2), "Reinforced Concrete", "Unreinforced Masonry"), D191 = "Residential", CHOOSE(RANDBETWEEN(1, 3), "Reinforced Concrete", "Unreinforced Masonry", "Adobe / Light Timber"))</f>
        <v>Adobe / Light Timber</v>
      </c>
      <c r="F191" s="3">
        <f t="shared" ca="1" si="17"/>
        <v>1988</v>
      </c>
      <c r="G191" s="3">
        <f t="shared" ca="1" si="18"/>
        <v>1</v>
      </c>
      <c r="H191" s="2">
        <f t="shared" ca="1" si="19"/>
        <v>2</v>
      </c>
      <c r="I191" s="4">
        <f t="shared" ca="1" si="20"/>
        <v>383436</v>
      </c>
    </row>
    <row r="192" spans="1:9">
      <c r="A192" s="1">
        <v>10000191</v>
      </c>
      <c r="B192" s="3" t="str">
        <f t="shared" ca="1" si="14"/>
        <v>Malda</v>
      </c>
      <c r="C192" s="3" t="str">
        <f t="shared" ca="1" si="15"/>
        <v>High Risk</v>
      </c>
      <c r="D192" s="3" t="str">
        <f t="shared" ca="1" si="16"/>
        <v>Residential</v>
      </c>
      <c r="E192" s="3" t="str" cm="1">
        <f t="array" aca="1" ref="E192" ca="1">_xlfn.IFS(D192="Industrial", "Reinforced Concrete", D192 = "Commercial", CHOOSE(RANDBETWEEN(1, 2), "Reinforced Concrete", "Unreinforced Masonry"), D192 = "Residential", CHOOSE(RANDBETWEEN(1, 3), "Reinforced Concrete", "Unreinforced Masonry", "Adobe / Light Timber"))</f>
        <v>Reinforced Concrete</v>
      </c>
      <c r="F192" s="3">
        <f t="shared" ca="1" si="17"/>
        <v>1995</v>
      </c>
      <c r="G192" s="3">
        <f t="shared" ca="1" si="18"/>
        <v>3</v>
      </c>
      <c r="H192" s="2">
        <f t="shared" ca="1" si="19"/>
        <v>4</v>
      </c>
      <c r="I192" s="4">
        <f t="shared" ca="1" si="20"/>
        <v>3899370</v>
      </c>
    </row>
    <row r="193" spans="1:9">
      <c r="A193" s="1">
        <v>10000192</v>
      </c>
      <c r="B193" s="3" t="str">
        <f t="shared" ca="1" si="14"/>
        <v>Hooghly</v>
      </c>
      <c r="C193" s="3" t="str">
        <f t="shared" ca="1" si="15"/>
        <v>Moderate Risk</v>
      </c>
      <c r="D193" s="3" t="str">
        <f t="shared" ca="1" si="16"/>
        <v>Residential</v>
      </c>
      <c r="E193" s="3" t="str" cm="1">
        <f t="array" aca="1" ref="E193" ca="1">_xlfn.IFS(D193="Industrial", "Reinforced Concrete", D193 = "Commercial", CHOOSE(RANDBETWEEN(1, 2), "Reinforced Concrete", "Unreinforced Masonry"), D193 = "Residential", CHOOSE(RANDBETWEEN(1, 3), "Reinforced Concrete", "Unreinforced Masonry", "Adobe / Light Timber"))</f>
        <v>Adobe / Light Timber</v>
      </c>
      <c r="F193" s="3">
        <f t="shared" ca="1" si="17"/>
        <v>1989</v>
      </c>
      <c r="G193" s="3">
        <f t="shared" ca="1" si="18"/>
        <v>1</v>
      </c>
      <c r="H193" s="2">
        <f t="shared" ca="1" si="19"/>
        <v>1</v>
      </c>
      <c r="I193" s="4">
        <f t="shared" ca="1" si="20"/>
        <v>446531</v>
      </c>
    </row>
    <row r="194" spans="1:9">
      <c r="A194" s="1">
        <v>10000193</v>
      </c>
      <c r="B194" s="3" t="str">
        <f t="shared" ca="1" si="14"/>
        <v>South 24 Parganas</v>
      </c>
      <c r="C194" s="3" t="str">
        <f t="shared" ca="1" si="15"/>
        <v>High Risk</v>
      </c>
      <c r="D194" s="3" t="str">
        <f t="shared" ca="1" si="16"/>
        <v>Commercial</v>
      </c>
      <c r="E194" s="3" t="str" cm="1">
        <f t="array" aca="1" ref="E194" ca="1">_xlfn.IFS(D194="Industrial", "Reinforced Concrete", D194 = "Commercial", CHOOSE(RANDBETWEEN(1, 2), "Reinforced Concrete", "Unreinforced Masonry"), D194 = "Residential", CHOOSE(RANDBETWEEN(1, 3), "Reinforced Concrete", "Unreinforced Masonry", "Adobe / Light Timber"))</f>
        <v>Unreinforced Masonry</v>
      </c>
      <c r="F194" s="3">
        <f t="shared" ca="1" si="17"/>
        <v>1993</v>
      </c>
      <c r="G194" s="3">
        <f t="shared" ca="1" si="18"/>
        <v>2</v>
      </c>
      <c r="H194" s="2">
        <f t="shared" ca="1" si="19"/>
        <v>0</v>
      </c>
      <c r="I194" s="4">
        <f t="shared" ca="1" si="20"/>
        <v>14901548</v>
      </c>
    </row>
    <row r="195" spans="1:9">
      <c r="A195" s="1">
        <v>10000194</v>
      </c>
      <c r="B195" s="3" t="str">
        <f t="shared" ref="B195:B258" ca="1" si="21">CHOOSE(RANDBETWEEN(1, 6),"South 24 Parganas", "Malda", "Jalpaiguri","Kolkata","Hooghly","Paschim Medinipur")</f>
        <v>Paschim Medinipur</v>
      </c>
      <c r="C195" s="3" t="str">
        <f t="shared" ref="C195:C258" ca="1" si="22">IF(OR(B195 = "South 24 Parganas", B195 = "Malda", B195 = "Jalpaiguri"), "High Risk", "Moderate Risk")</f>
        <v>Moderate Risk</v>
      </c>
      <c r="D195" s="3" t="str">
        <f t="shared" ref="D195:D258" ca="1" si="23">CHOOSE(RANDBETWEEN(1, 3), "Residential","Commercial","Industrial")</f>
        <v>Commercial</v>
      </c>
      <c r="E195" s="3" t="str" cm="1">
        <f t="array" aca="1" ref="E195" ca="1">_xlfn.IFS(D195="Industrial", "Reinforced Concrete", D195 = "Commercial", CHOOSE(RANDBETWEEN(1, 2), "Reinforced Concrete", "Unreinforced Masonry"), D195 = "Residential", CHOOSE(RANDBETWEEN(1, 3), "Reinforced Concrete", "Unreinforced Masonry", "Adobe / Light Timber"))</f>
        <v>Unreinforced Masonry</v>
      </c>
      <c r="F195" s="3">
        <f t="shared" ref="F195:F258" ca="1" si="24">RANDBETWEEN(1980, 2024)</f>
        <v>1984</v>
      </c>
      <c r="G195" s="3">
        <f t="shared" ref="G195:G258" ca="1" si="25">IF(E195 = "Adobe / Light Timber", 1, RANDBETWEEN(1, 5))</f>
        <v>3</v>
      </c>
      <c r="H195" s="2">
        <f t="shared" ref="H195:H258" ca="1" si="26">IF(E195="Reinforced Concrete",RANDBETWEEN(3, 5),RANDBETWEEN(0,2))</f>
        <v>0</v>
      </c>
      <c r="I195" s="4">
        <f t="shared" ref="I195:I258" ca="1" si="27">MAX(200000, _xlfn.IFS(D195 = "Industrial", ROUND(_xlfn.NORM.INV(RAND(), 50000000, 10000000), 0), D195 = "Commercial",ROUND(_xlfn.NORM.INV(RAND(), 15000000, 5000000), 0),E195 = "Adobe / Light Timber", ROUND(_xlfn.NORM.INV(RAND(), 500000, 100000), 0),TRUE, ROUND(_xlfn.NORM.INV(RAND(), 4000000, 1500000), 0)))</f>
        <v>8715939</v>
      </c>
    </row>
    <row r="196" spans="1:9">
      <c r="A196" s="1">
        <v>10000195</v>
      </c>
      <c r="B196" s="3" t="str">
        <f t="shared" ca="1" si="21"/>
        <v>Paschim Medinipur</v>
      </c>
      <c r="C196" s="3" t="str">
        <f t="shared" ca="1" si="22"/>
        <v>Moderate Risk</v>
      </c>
      <c r="D196" s="3" t="str">
        <f t="shared" ca="1" si="23"/>
        <v>Industrial</v>
      </c>
      <c r="E196" s="3" t="str" cm="1">
        <f t="array" aca="1" ref="E196" ca="1">_xlfn.IFS(D196="Industrial", "Reinforced Concrete", D196 = "Commercial", CHOOSE(RANDBETWEEN(1, 2), "Reinforced Concrete", "Unreinforced Masonry"), D196 = "Residential", CHOOSE(RANDBETWEEN(1, 3), "Reinforced Concrete", "Unreinforced Masonry", "Adobe / Light Timber"))</f>
        <v>Reinforced Concrete</v>
      </c>
      <c r="F196" s="3">
        <f t="shared" ca="1" si="24"/>
        <v>2011</v>
      </c>
      <c r="G196" s="3">
        <f t="shared" ca="1" si="25"/>
        <v>2</v>
      </c>
      <c r="H196" s="2">
        <f t="shared" ca="1" si="26"/>
        <v>3</v>
      </c>
      <c r="I196" s="4">
        <f t="shared" ca="1" si="27"/>
        <v>57517601</v>
      </c>
    </row>
    <row r="197" spans="1:9">
      <c r="A197" s="1">
        <v>10000196</v>
      </c>
      <c r="B197" s="3" t="str">
        <f t="shared" ca="1" si="21"/>
        <v>Paschim Medinipur</v>
      </c>
      <c r="C197" s="3" t="str">
        <f t="shared" ca="1" si="22"/>
        <v>Moderate Risk</v>
      </c>
      <c r="D197" s="3" t="str">
        <f t="shared" ca="1" si="23"/>
        <v>Industrial</v>
      </c>
      <c r="E197" s="3" t="str" cm="1">
        <f t="array" aca="1" ref="E197" ca="1">_xlfn.IFS(D197="Industrial", "Reinforced Concrete", D197 = "Commercial", CHOOSE(RANDBETWEEN(1, 2), "Reinforced Concrete", "Unreinforced Masonry"), D197 = "Residential", CHOOSE(RANDBETWEEN(1, 3), "Reinforced Concrete", "Unreinforced Masonry", "Adobe / Light Timber"))</f>
        <v>Reinforced Concrete</v>
      </c>
      <c r="F197" s="3">
        <f t="shared" ca="1" si="24"/>
        <v>2016</v>
      </c>
      <c r="G197" s="3">
        <f t="shared" ca="1" si="25"/>
        <v>2</v>
      </c>
      <c r="H197" s="2">
        <f t="shared" ca="1" si="26"/>
        <v>3</v>
      </c>
      <c r="I197" s="4">
        <f t="shared" ca="1" si="27"/>
        <v>36916614</v>
      </c>
    </row>
    <row r="198" spans="1:9">
      <c r="A198" s="1">
        <v>10000197</v>
      </c>
      <c r="B198" s="3" t="str">
        <f t="shared" ca="1" si="21"/>
        <v>South 24 Parganas</v>
      </c>
      <c r="C198" s="3" t="str">
        <f t="shared" ca="1" si="22"/>
        <v>High Risk</v>
      </c>
      <c r="D198" s="3" t="str">
        <f t="shared" ca="1" si="23"/>
        <v>Industrial</v>
      </c>
      <c r="E198" s="3" t="str" cm="1">
        <f t="array" aca="1" ref="E198" ca="1">_xlfn.IFS(D198="Industrial", "Reinforced Concrete", D198 = "Commercial", CHOOSE(RANDBETWEEN(1, 2), "Reinforced Concrete", "Unreinforced Masonry"), D198 = "Residential", CHOOSE(RANDBETWEEN(1, 3), "Reinforced Concrete", "Unreinforced Masonry", "Adobe / Light Timber"))</f>
        <v>Reinforced Concrete</v>
      </c>
      <c r="F198" s="3">
        <f t="shared" ca="1" si="24"/>
        <v>1999</v>
      </c>
      <c r="G198" s="3">
        <f t="shared" ca="1" si="25"/>
        <v>3</v>
      </c>
      <c r="H198" s="2">
        <f t="shared" ca="1" si="26"/>
        <v>3</v>
      </c>
      <c r="I198" s="4">
        <f t="shared" ca="1" si="27"/>
        <v>50720860</v>
      </c>
    </row>
    <row r="199" spans="1:9">
      <c r="A199" s="1">
        <v>10000198</v>
      </c>
      <c r="B199" s="3" t="str">
        <f t="shared" ca="1" si="21"/>
        <v>Jalpaiguri</v>
      </c>
      <c r="C199" s="3" t="str">
        <f t="shared" ca="1" si="22"/>
        <v>High Risk</v>
      </c>
      <c r="D199" s="3" t="str">
        <f t="shared" ca="1" si="23"/>
        <v>Residential</v>
      </c>
      <c r="E199" s="3" t="str" cm="1">
        <f t="array" aca="1" ref="E199" ca="1">_xlfn.IFS(D199="Industrial", "Reinforced Concrete", D199 = "Commercial", CHOOSE(RANDBETWEEN(1, 2), "Reinforced Concrete", "Unreinforced Masonry"), D199 = "Residential", CHOOSE(RANDBETWEEN(1, 3), "Reinforced Concrete", "Unreinforced Masonry", "Adobe / Light Timber"))</f>
        <v>Unreinforced Masonry</v>
      </c>
      <c r="F199" s="3">
        <f t="shared" ca="1" si="24"/>
        <v>2013</v>
      </c>
      <c r="G199" s="3">
        <f t="shared" ca="1" si="25"/>
        <v>5</v>
      </c>
      <c r="H199" s="2">
        <f t="shared" ca="1" si="26"/>
        <v>0</v>
      </c>
      <c r="I199" s="4">
        <f t="shared" ca="1" si="27"/>
        <v>2641042</v>
      </c>
    </row>
    <row r="200" spans="1:9">
      <c r="A200" s="1">
        <v>10000199</v>
      </c>
      <c r="B200" s="3" t="str">
        <f t="shared" ca="1" si="21"/>
        <v>Jalpaiguri</v>
      </c>
      <c r="C200" s="3" t="str">
        <f t="shared" ca="1" si="22"/>
        <v>High Risk</v>
      </c>
      <c r="D200" s="3" t="str">
        <f t="shared" ca="1" si="23"/>
        <v>Residential</v>
      </c>
      <c r="E200" s="3" t="str" cm="1">
        <f t="array" aca="1" ref="E200" ca="1">_xlfn.IFS(D200="Industrial", "Reinforced Concrete", D200 = "Commercial", CHOOSE(RANDBETWEEN(1, 2), "Reinforced Concrete", "Unreinforced Masonry"), D200 = "Residential", CHOOSE(RANDBETWEEN(1, 3), "Reinforced Concrete", "Unreinforced Masonry", "Adobe / Light Timber"))</f>
        <v>Reinforced Concrete</v>
      </c>
      <c r="F200" s="3">
        <f t="shared" ca="1" si="24"/>
        <v>1997</v>
      </c>
      <c r="G200" s="3">
        <f t="shared" ca="1" si="25"/>
        <v>2</v>
      </c>
      <c r="H200" s="2">
        <f t="shared" ca="1" si="26"/>
        <v>4</v>
      </c>
      <c r="I200" s="4">
        <f t="shared" ca="1" si="27"/>
        <v>2960378</v>
      </c>
    </row>
    <row r="201" spans="1:9">
      <c r="A201" s="1">
        <v>10000200</v>
      </c>
      <c r="B201" s="3" t="str">
        <f t="shared" ca="1" si="21"/>
        <v>Paschim Medinipur</v>
      </c>
      <c r="C201" s="3" t="str">
        <f t="shared" ca="1" si="22"/>
        <v>Moderate Risk</v>
      </c>
      <c r="D201" s="3" t="str">
        <f t="shared" ca="1" si="23"/>
        <v>Residential</v>
      </c>
      <c r="E201" s="3" t="str" cm="1">
        <f t="array" aca="1" ref="E201" ca="1">_xlfn.IFS(D201="Industrial", "Reinforced Concrete", D201 = "Commercial", CHOOSE(RANDBETWEEN(1, 2), "Reinforced Concrete", "Unreinforced Masonry"), D201 = "Residential", CHOOSE(RANDBETWEEN(1, 3), "Reinforced Concrete", "Unreinforced Masonry", "Adobe / Light Timber"))</f>
        <v>Unreinforced Masonry</v>
      </c>
      <c r="F201" s="3">
        <f t="shared" ca="1" si="24"/>
        <v>1981</v>
      </c>
      <c r="G201" s="3">
        <f t="shared" ca="1" si="25"/>
        <v>3</v>
      </c>
      <c r="H201" s="2">
        <f t="shared" ca="1" si="26"/>
        <v>0</v>
      </c>
      <c r="I201" s="4">
        <f t="shared" ca="1" si="27"/>
        <v>1553944</v>
      </c>
    </row>
    <row r="202" spans="1:9">
      <c r="A202" s="1">
        <v>10000201</v>
      </c>
      <c r="B202" s="3" t="str">
        <f t="shared" ca="1" si="21"/>
        <v>Jalpaiguri</v>
      </c>
      <c r="C202" s="3" t="str">
        <f t="shared" ca="1" si="22"/>
        <v>High Risk</v>
      </c>
      <c r="D202" s="3" t="str">
        <f t="shared" ca="1" si="23"/>
        <v>Commercial</v>
      </c>
      <c r="E202" s="3" t="str" cm="1">
        <f t="array" aca="1" ref="E202" ca="1">_xlfn.IFS(D202="Industrial", "Reinforced Concrete", D202 = "Commercial", CHOOSE(RANDBETWEEN(1, 2), "Reinforced Concrete", "Unreinforced Masonry"), D202 = "Residential", CHOOSE(RANDBETWEEN(1, 3), "Reinforced Concrete", "Unreinforced Masonry", "Adobe / Light Timber"))</f>
        <v>Reinforced Concrete</v>
      </c>
      <c r="F202" s="3">
        <f t="shared" ca="1" si="24"/>
        <v>2021</v>
      </c>
      <c r="G202" s="3">
        <f t="shared" ca="1" si="25"/>
        <v>1</v>
      </c>
      <c r="H202" s="2">
        <f t="shared" ca="1" si="26"/>
        <v>5</v>
      </c>
      <c r="I202" s="4">
        <f t="shared" ca="1" si="27"/>
        <v>16271737</v>
      </c>
    </row>
    <row r="203" spans="1:9">
      <c r="A203" s="1">
        <v>10000202</v>
      </c>
      <c r="B203" s="3" t="str">
        <f t="shared" ca="1" si="21"/>
        <v>Jalpaiguri</v>
      </c>
      <c r="C203" s="3" t="str">
        <f t="shared" ca="1" si="22"/>
        <v>High Risk</v>
      </c>
      <c r="D203" s="3" t="str">
        <f t="shared" ca="1" si="23"/>
        <v>Commercial</v>
      </c>
      <c r="E203" s="3" t="str" cm="1">
        <f t="array" aca="1" ref="E203" ca="1">_xlfn.IFS(D203="Industrial", "Reinforced Concrete", D203 = "Commercial", CHOOSE(RANDBETWEEN(1, 2), "Reinforced Concrete", "Unreinforced Masonry"), D203 = "Residential", CHOOSE(RANDBETWEEN(1, 3), "Reinforced Concrete", "Unreinforced Masonry", "Adobe / Light Timber"))</f>
        <v>Reinforced Concrete</v>
      </c>
      <c r="F203" s="3">
        <f t="shared" ca="1" si="24"/>
        <v>2011</v>
      </c>
      <c r="G203" s="3">
        <f t="shared" ca="1" si="25"/>
        <v>2</v>
      </c>
      <c r="H203" s="2">
        <f t="shared" ca="1" si="26"/>
        <v>3</v>
      </c>
      <c r="I203" s="4">
        <f t="shared" ca="1" si="27"/>
        <v>17083910</v>
      </c>
    </row>
    <row r="204" spans="1:9">
      <c r="A204" s="1">
        <v>10000203</v>
      </c>
      <c r="B204" s="3" t="str">
        <f t="shared" ca="1" si="21"/>
        <v>Malda</v>
      </c>
      <c r="C204" s="3" t="str">
        <f t="shared" ca="1" si="22"/>
        <v>High Risk</v>
      </c>
      <c r="D204" s="3" t="str">
        <f t="shared" ca="1" si="23"/>
        <v>Commercial</v>
      </c>
      <c r="E204" s="3" t="str" cm="1">
        <f t="array" aca="1" ref="E204" ca="1">_xlfn.IFS(D204="Industrial", "Reinforced Concrete", D204 = "Commercial", CHOOSE(RANDBETWEEN(1, 2), "Reinforced Concrete", "Unreinforced Masonry"), D204 = "Residential", CHOOSE(RANDBETWEEN(1, 3), "Reinforced Concrete", "Unreinforced Masonry", "Adobe / Light Timber"))</f>
        <v>Reinforced Concrete</v>
      </c>
      <c r="F204" s="3">
        <f t="shared" ca="1" si="24"/>
        <v>1990</v>
      </c>
      <c r="G204" s="3">
        <f t="shared" ca="1" si="25"/>
        <v>3</v>
      </c>
      <c r="H204" s="2">
        <f t="shared" ca="1" si="26"/>
        <v>3</v>
      </c>
      <c r="I204" s="4">
        <f t="shared" ca="1" si="27"/>
        <v>9228089</v>
      </c>
    </row>
    <row r="205" spans="1:9">
      <c r="A205" s="1">
        <v>10000204</v>
      </c>
      <c r="B205" s="3" t="str">
        <f t="shared" ca="1" si="21"/>
        <v>South 24 Parganas</v>
      </c>
      <c r="C205" s="3" t="str">
        <f t="shared" ca="1" si="22"/>
        <v>High Risk</v>
      </c>
      <c r="D205" s="3" t="str">
        <f t="shared" ca="1" si="23"/>
        <v>Industrial</v>
      </c>
      <c r="E205" s="3" t="str" cm="1">
        <f t="array" aca="1" ref="E205" ca="1">_xlfn.IFS(D205="Industrial", "Reinforced Concrete", D205 = "Commercial", CHOOSE(RANDBETWEEN(1, 2), "Reinforced Concrete", "Unreinforced Masonry"), D205 = "Residential", CHOOSE(RANDBETWEEN(1, 3), "Reinforced Concrete", "Unreinforced Masonry", "Adobe / Light Timber"))</f>
        <v>Reinforced Concrete</v>
      </c>
      <c r="F205" s="3">
        <f t="shared" ca="1" si="24"/>
        <v>1984</v>
      </c>
      <c r="G205" s="3">
        <f t="shared" ca="1" si="25"/>
        <v>5</v>
      </c>
      <c r="H205" s="2">
        <f t="shared" ca="1" si="26"/>
        <v>5</v>
      </c>
      <c r="I205" s="4">
        <f t="shared" ca="1" si="27"/>
        <v>35658652</v>
      </c>
    </row>
    <row r="206" spans="1:9">
      <c r="A206" s="1">
        <v>10000205</v>
      </c>
      <c r="B206" s="3" t="str">
        <f t="shared" ca="1" si="21"/>
        <v>Jalpaiguri</v>
      </c>
      <c r="C206" s="3" t="str">
        <f t="shared" ca="1" si="22"/>
        <v>High Risk</v>
      </c>
      <c r="D206" s="3" t="str">
        <f t="shared" ca="1" si="23"/>
        <v>Residential</v>
      </c>
      <c r="E206" s="3" t="str" cm="1">
        <f t="array" aca="1" ref="E206" ca="1">_xlfn.IFS(D206="Industrial", "Reinforced Concrete", D206 = "Commercial", CHOOSE(RANDBETWEEN(1, 2), "Reinforced Concrete", "Unreinforced Masonry"), D206 = "Residential", CHOOSE(RANDBETWEEN(1, 3), "Reinforced Concrete", "Unreinforced Masonry", "Adobe / Light Timber"))</f>
        <v>Reinforced Concrete</v>
      </c>
      <c r="F206" s="3">
        <f t="shared" ca="1" si="24"/>
        <v>2023</v>
      </c>
      <c r="G206" s="3">
        <f t="shared" ca="1" si="25"/>
        <v>2</v>
      </c>
      <c r="H206" s="2">
        <f t="shared" ca="1" si="26"/>
        <v>4</v>
      </c>
      <c r="I206" s="4">
        <f t="shared" ca="1" si="27"/>
        <v>8467239</v>
      </c>
    </row>
    <row r="207" spans="1:9">
      <c r="A207" s="1">
        <v>10000206</v>
      </c>
      <c r="B207" s="3" t="str">
        <f t="shared" ca="1" si="21"/>
        <v>Malda</v>
      </c>
      <c r="C207" s="3" t="str">
        <f t="shared" ca="1" si="22"/>
        <v>High Risk</v>
      </c>
      <c r="D207" s="3" t="str">
        <f t="shared" ca="1" si="23"/>
        <v>Residential</v>
      </c>
      <c r="E207" s="3" t="str" cm="1">
        <f t="array" aca="1" ref="E207" ca="1">_xlfn.IFS(D207="Industrial", "Reinforced Concrete", D207 = "Commercial", CHOOSE(RANDBETWEEN(1, 2), "Reinforced Concrete", "Unreinforced Masonry"), D207 = "Residential", CHOOSE(RANDBETWEEN(1, 3), "Reinforced Concrete", "Unreinforced Masonry", "Adobe / Light Timber"))</f>
        <v>Adobe / Light Timber</v>
      </c>
      <c r="F207" s="3">
        <f t="shared" ca="1" si="24"/>
        <v>2016</v>
      </c>
      <c r="G207" s="3">
        <f t="shared" ca="1" si="25"/>
        <v>1</v>
      </c>
      <c r="H207" s="2">
        <f t="shared" ca="1" si="26"/>
        <v>1</v>
      </c>
      <c r="I207" s="4">
        <f t="shared" ca="1" si="27"/>
        <v>637456</v>
      </c>
    </row>
    <row r="208" spans="1:9">
      <c r="A208" s="1">
        <v>10000207</v>
      </c>
      <c r="B208" s="3" t="str">
        <f t="shared" ca="1" si="21"/>
        <v>Malda</v>
      </c>
      <c r="C208" s="3" t="str">
        <f t="shared" ca="1" si="22"/>
        <v>High Risk</v>
      </c>
      <c r="D208" s="3" t="str">
        <f t="shared" ca="1" si="23"/>
        <v>Residential</v>
      </c>
      <c r="E208" s="3" t="str" cm="1">
        <f t="array" aca="1" ref="E208" ca="1">_xlfn.IFS(D208="Industrial", "Reinforced Concrete", D208 = "Commercial", CHOOSE(RANDBETWEEN(1, 2), "Reinforced Concrete", "Unreinforced Masonry"), D208 = "Residential", CHOOSE(RANDBETWEEN(1, 3), "Reinforced Concrete", "Unreinforced Masonry", "Adobe / Light Timber"))</f>
        <v>Adobe / Light Timber</v>
      </c>
      <c r="F208" s="3">
        <f t="shared" ca="1" si="24"/>
        <v>2012</v>
      </c>
      <c r="G208" s="3">
        <f t="shared" ca="1" si="25"/>
        <v>1</v>
      </c>
      <c r="H208" s="2">
        <f t="shared" ca="1" si="26"/>
        <v>0</v>
      </c>
      <c r="I208" s="4">
        <f t="shared" ca="1" si="27"/>
        <v>516866</v>
      </c>
    </row>
    <row r="209" spans="1:9">
      <c r="A209" s="1">
        <v>10000208</v>
      </c>
      <c r="B209" s="3" t="str">
        <f t="shared" ca="1" si="21"/>
        <v>Jalpaiguri</v>
      </c>
      <c r="C209" s="3" t="str">
        <f t="shared" ca="1" si="22"/>
        <v>High Risk</v>
      </c>
      <c r="D209" s="3" t="str">
        <f t="shared" ca="1" si="23"/>
        <v>Industrial</v>
      </c>
      <c r="E209" s="3" t="str" cm="1">
        <f t="array" aca="1" ref="E209" ca="1">_xlfn.IFS(D209="Industrial", "Reinforced Concrete", D209 = "Commercial", CHOOSE(RANDBETWEEN(1, 2), "Reinforced Concrete", "Unreinforced Masonry"), D209 = "Residential", CHOOSE(RANDBETWEEN(1, 3), "Reinforced Concrete", "Unreinforced Masonry", "Adobe / Light Timber"))</f>
        <v>Reinforced Concrete</v>
      </c>
      <c r="F209" s="3">
        <f t="shared" ca="1" si="24"/>
        <v>2008</v>
      </c>
      <c r="G209" s="3">
        <f t="shared" ca="1" si="25"/>
        <v>1</v>
      </c>
      <c r="H209" s="2">
        <f t="shared" ca="1" si="26"/>
        <v>5</v>
      </c>
      <c r="I209" s="4">
        <f t="shared" ca="1" si="27"/>
        <v>53036523</v>
      </c>
    </row>
    <row r="210" spans="1:9">
      <c r="A210" s="1">
        <v>10000209</v>
      </c>
      <c r="B210" s="3" t="str">
        <f t="shared" ca="1" si="21"/>
        <v>South 24 Parganas</v>
      </c>
      <c r="C210" s="3" t="str">
        <f t="shared" ca="1" si="22"/>
        <v>High Risk</v>
      </c>
      <c r="D210" s="3" t="str">
        <f t="shared" ca="1" si="23"/>
        <v>Commercial</v>
      </c>
      <c r="E210" s="3" t="str" cm="1">
        <f t="array" aca="1" ref="E210" ca="1">_xlfn.IFS(D210="Industrial", "Reinforced Concrete", D210 = "Commercial", CHOOSE(RANDBETWEEN(1, 2), "Reinforced Concrete", "Unreinforced Masonry"), D210 = "Residential", CHOOSE(RANDBETWEEN(1, 3), "Reinforced Concrete", "Unreinforced Masonry", "Adobe / Light Timber"))</f>
        <v>Reinforced Concrete</v>
      </c>
      <c r="F210" s="3">
        <f t="shared" ca="1" si="24"/>
        <v>1985</v>
      </c>
      <c r="G210" s="3">
        <f t="shared" ca="1" si="25"/>
        <v>2</v>
      </c>
      <c r="H210" s="2">
        <f t="shared" ca="1" si="26"/>
        <v>5</v>
      </c>
      <c r="I210" s="4">
        <f t="shared" ca="1" si="27"/>
        <v>7771682</v>
      </c>
    </row>
    <row r="211" spans="1:9">
      <c r="A211" s="1">
        <v>10000210</v>
      </c>
      <c r="B211" s="3" t="str">
        <f t="shared" ca="1" si="21"/>
        <v>South 24 Parganas</v>
      </c>
      <c r="C211" s="3" t="str">
        <f t="shared" ca="1" si="22"/>
        <v>High Risk</v>
      </c>
      <c r="D211" s="3" t="str">
        <f t="shared" ca="1" si="23"/>
        <v>Residential</v>
      </c>
      <c r="E211" s="3" t="str" cm="1">
        <f t="array" aca="1" ref="E211" ca="1">_xlfn.IFS(D211="Industrial", "Reinforced Concrete", D211 = "Commercial", CHOOSE(RANDBETWEEN(1, 2), "Reinforced Concrete", "Unreinforced Masonry"), D211 = "Residential", CHOOSE(RANDBETWEEN(1, 3), "Reinforced Concrete", "Unreinforced Masonry", "Adobe / Light Timber"))</f>
        <v>Unreinforced Masonry</v>
      </c>
      <c r="F211" s="3">
        <f t="shared" ca="1" si="24"/>
        <v>1994</v>
      </c>
      <c r="G211" s="3">
        <f t="shared" ca="1" si="25"/>
        <v>4</v>
      </c>
      <c r="H211" s="2">
        <f t="shared" ca="1" si="26"/>
        <v>0</v>
      </c>
      <c r="I211" s="4">
        <f t="shared" ca="1" si="27"/>
        <v>3187896</v>
      </c>
    </row>
    <row r="212" spans="1:9">
      <c r="A212" s="1">
        <v>10000211</v>
      </c>
      <c r="B212" s="3" t="str">
        <f t="shared" ca="1" si="21"/>
        <v>Hooghly</v>
      </c>
      <c r="C212" s="3" t="str">
        <f t="shared" ca="1" si="22"/>
        <v>Moderate Risk</v>
      </c>
      <c r="D212" s="3" t="str">
        <f t="shared" ca="1" si="23"/>
        <v>Commercial</v>
      </c>
      <c r="E212" s="3" t="str" cm="1">
        <f t="array" aca="1" ref="E212" ca="1">_xlfn.IFS(D212="Industrial", "Reinforced Concrete", D212 = "Commercial", CHOOSE(RANDBETWEEN(1, 2), "Reinforced Concrete", "Unreinforced Masonry"), D212 = "Residential", CHOOSE(RANDBETWEEN(1, 3), "Reinforced Concrete", "Unreinforced Masonry", "Adobe / Light Timber"))</f>
        <v>Reinforced Concrete</v>
      </c>
      <c r="F212" s="3">
        <f t="shared" ca="1" si="24"/>
        <v>1999</v>
      </c>
      <c r="G212" s="3">
        <f t="shared" ca="1" si="25"/>
        <v>5</v>
      </c>
      <c r="H212" s="2">
        <f t="shared" ca="1" si="26"/>
        <v>5</v>
      </c>
      <c r="I212" s="4">
        <f t="shared" ca="1" si="27"/>
        <v>13636820</v>
      </c>
    </row>
    <row r="213" spans="1:9">
      <c r="A213" s="1">
        <v>10000212</v>
      </c>
      <c r="B213" s="3" t="str">
        <f t="shared" ca="1" si="21"/>
        <v>Kolkata</v>
      </c>
      <c r="C213" s="3" t="str">
        <f t="shared" ca="1" si="22"/>
        <v>Moderate Risk</v>
      </c>
      <c r="D213" s="3" t="str">
        <f t="shared" ca="1" si="23"/>
        <v>Industrial</v>
      </c>
      <c r="E213" s="3" t="str" cm="1">
        <f t="array" aca="1" ref="E213" ca="1">_xlfn.IFS(D213="Industrial", "Reinforced Concrete", D213 = "Commercial", CHOOSE(RANDBETWEEN(1, 2), "Reinforced Concrete", "Unreinforced Masonry"), D213 = "Residential", CHOOSE(RANDBETWEEN(1, 3), "Reinforced Concrete", "Unreinforced Masonry", "Adobe / Light Timber"))</f>
        <v>Reinforced Concrete</v>
      </c>
      <c r="F213" s="3">
        <f t="shared" ca="1" si="24"/>
        <v>2021</v>
      </c>
      <c r="G213" s="3">
        <f t="shared" ca="1" si="25"/>
        <v>4</v>
      </c>
      <c r="H213" s="2">
        <f t="shared" ca="1" si="26"/>
        <v>3</v>
      </c>
      <c r="I213" s="4">
        <f t="shared" ca="1" si="27"/>
        <v>45770931</v>
      </c>
    </row>
    <row r="214" spans="1:9">
      <c r="A214" s="1">
        <v>10000213</v>
      </c>
      <c r="B214" s="3" t="str">
        <f t="shared" ca="1" si="21"/>
        <v>South 24 Parganas</v>
      </c>
      <c r="C214" s="3" t="str">
        <f t="shared" ca="1" si="22"/>
        <v>High Risk</v>
      </c>
      <c r="D214" s="3" t="str">
        <f t="shared" ca="1" si="23"/>
        <v>Industrial</v>
      </c>
      <c r="E214" s="3" t="str" cm="1">
        <f t="array" aca="1" ref="E214" ca="1">_xlfn.IFS(D214="Industrial", "Reinforced Concrete", D214 = "Commercial", CHOOSE(RANDBETWEEN(1, 2), "Reinforced Concrete", "Unreinforced Masonry"), D214 = "Residential", CHOOSE(RANDBETWEEN(1, 3), "Reinforced Concrete", "Unreinforced Masonry", "Adobe / Light Timber"))</f>
        <v>Reinforced Concrete</v>
      </c>
      <c r="F214" s="3">
        <f t="shared" ca="1" si="24"/>
        <v>2022</v>
      </c>
      <c r="G214" s="3">
        <f t="shared" ca="1" si="25"/>
        <v>3</v>
      </c>
      <c r="H214" s="2">
        <f t="shared" ca="1" si="26"/>
        <v>3</v>
      </c>
      <c r="I214" s="4">
        <f t="shared" ca="1" si="27"/>
        <v>40278092</v>
      </c>
    </row>
    <row r="215" spans="1:9">
      <c r="A215" s="1">
        <v>10000214</v>
      </c>
      <c r="B215" s="3" t="str">
        <f t="shared" ca="1" si="21"/>
        <v>Kolkata</v>
      </c>
      <c r="C215" s="3" t="str">
        <f t="shared" ca="1" si="22"/>
        <v>Moderate Risk</v>
      </c>
      <c r="D215" s="3" t="str">
        <f t="shared" ca="1" si="23"/>
        <v>Industrial</v>
      </c>
      <c r="E215" s="3" t="str" cm="1">
        <f t="array" aca="1" ref="E215" ca="1">_xlfn.IFS(D215="Industrial", "Reinforced Concrete", D215 = "Commercial", CHOOSE(RANDBETWEEN(1, 2), "Reinforced Concrete", "Unreinforced Masonry"), D215 = "Residential", CHOOSE(RANDBETWEEN(1, 3), "Reinforced Concrete", "Unreinforced Masonry", "Adobe / Light Timber"))</f>
        <v>Reinforced Concrete</v>
      </c>
      <c r="F215" s="3">
        <f t="shared" ca="1" si="24"/>
        <v>2018</v>
      </c>
      <c r="G215" s="3">
        <f t="shared" ca="1" si="25"/>
        <v>3</v>
      </c>
      <c r="H215" s="2">
        <f t="shared" ca="1" si="26"/>
        <v>3</v>
      </c>
      <c r="I215" s="4">
        <f t="shared" ca="1" si="27"/>
        <v>27236195</v>
      </c>
    </row>
    <row r="216" spans="1:9">
      <c r="A216" s="1">
        <v>10000215</v>
      </c>
      <c r="B216" s="3" t="str">
        <f t="shared" ca="1" si="21"/>
        <v>Malda</v>
      </c>
      <c r="C216" s="3" t="str">
        <f t="shared" ca="1" si="22"/>
        <v>High Risk</v>
      </c>
      <c r="D216" s="3" t="str">
        <f t="shared" ca="1" si="23"/>
        <v>Industrial</v>
      </c>
      <c r="E216" s="3" t="str" cm="1">
        <f t="array" aca="1" ref="E216" ca="1">_xlfn.IFS(D216="Industrial", "Reinforced Concrete", D216 = "Commercial", CHOOSE(RANDBETWEEN(1, 2), "Reinforced Concrete", "Unreinforced Masonry"), D216 = "Residential", CHOOSE(RANDBETWEEN(1, 3), "Reinforced Concrete", "Unreinforced Masonry", "Adobe / Light Timber"))</f>
        <v>Reinforced Concrete</v>
      </c>
      <c r="F216" s="3">
        <f t="shared" ca="1" si="24"/>
        <v>1987</v>
      </c>
      <c r="G216" s="3">
        <f t="shared" ca="1" si="25"/>
        <v>2</v>
      </c>
      <c r="H216" s="2">
        <f t="shared" ca="1" si="26"/>
        <v>3</v>
      </c>
      <c r="I216" s="4">
        <f t="shared" ca="1" si="27"/>
        <v>57714463</v>
      </c>
    </row>
    <row r="217" spans="1:9">
      <c r="A217" s="1">
        <v>10000216</v>
      </c>
      <c r="B217" s="3" t="str">
        <f t="shared" ca="1" si="21"/>
        <v>Jalpaiguri</v>
      </c>
      <c r="C217" s="3" t="str">
        <f t="shared" ca="1" si="22"/>
        <v>High Risk</v>
      </c>
      <c r="D217" s="3" t="str">
        <f t="shared" ca="1" si="23"/>
        <v>Commercial</v>
      </c>
      <c r="E217" s="3" t="str" cm="1">
        <f t="array" aca="1" ref="E217" ca="1">_xlfn.IFS(D217="Industrial", "Reinforced Concrete", D217 = "Commercial", CHOOSE(RANDBETWEEN(1, 2), "Reinforced Concrete", "Unreinforced Masonry"), D217 = "Residential", CHOOSE(RANDBETWEEN(1, 3), "Reinforced Concrete", "Unreinforced Masonry", "Adobe / Light Timber"))</f>
        <v>Reinforced Concrete</v>
      </c>
      <c r="F217" s="3">
        <f t="shared" ca="1" si="24"/>
        <v>2024</v>
      </c>
      <c r="G217" s="3">
        <f t="shared" ca="1" si="25"/>
        <v>3</v>
      </c>
      <c r="H217" s="2">
        <f t="shared" ca="1" si="26"/>
        <v>4</v>
      </c>
      <c r="I217" s="4">
        <f t="shared" ca="1" si="27"/>
        <v>20378030</v>
      </c>
    </row>
    <row r="218" spans="1:9">
      <c r="A218" s="1">
        <v>10000217</v>
      </c>
      <c r="B218" s="3" t="str">
        <f t="shared" ca="1" si="21"/>
        <v>Malda</v>
      </c>
      <c r="C218" s="3" t="str">
        <f t="shared" ca="1" si="22"/>
        <v>High Risk</v>
      </c>
      <c r="D218" s="3" t="str">
        <f t="shared" ca="1" si="23"/>
        <v>Residential</v>
      </c>
      <c r="E218" s="3" t="str" cm="1">
        <f t="array" aca="1" ref="E218" ca="1">_xlfn.IFS(D218="Industrial", "Reinforced Concrete", D218 = "Commercial", CHOOSE(RANDBETWEEN(1, 2), "Reinforced Concrete", "Unreinforced Masonry"), D218 = "Residential", CHOOSE(RANDBETWEEN(1, 3), "Reinforced Concrete", "Unreinforced Masonry", "Adobe / Light Timber"))</f>
        <v>Unreinforced Masonry</v>
      </c>
      <c r="F218" s="3">
        <f t="shared" ca="1" si="24"/>
        <v>2006</v>
      </c>
      <c r="G218" s="3">
        <f t="shared" ca="1" si="25"/>
        <v>5</v>
      </c>
      <c r="H218" s="2">
        <f t="shared" ca="1" si="26"/>
        <v>2</v>
      </c>
      <c r="I218" s="4">
        <f t="shared" ca="1" si="27"/>
        <v>2449597</v>
      </c>
    </row>
    <row r="219" spans="1:9">
      <c r="A219" s="1">
        <v>10000218</v>
      </c>
      <c r="B219" s="3" t="str">
        <f t="shared" ca="1" si="21"/>
        <v>Malda</v>
      </c>
      <c r="C219" s="3" t="str">
        <f t="shared" ca="1" si="22"/>
        <v>High Risk</v>
      </c>
      <c r="D219" s="3" t="str">
        <f t="shared" ca="1" si="23"/>
        <v>Commercial</v>
      </c>
      <c r="E219" s="3" t="str" cm="1">
        <f t="array" aca="1" ref="E219" ca="1">_xlfn.IFS(D219="Industrial", "Reinforced Concrete", D219 = "Commercial", CHOOSE(RANDBETWEEN(1, 2), "Reinforced Concrete", "Unreinforced Masonry"), D219 = "Residential", CHOOSE(RANDBETWEEN(1, 3), "Reinforced Concrete", "Unreinforced Masonry", "Adobe / Light Timber"))</f>
        <v>Reinforced Concrete</v>
      </c>
      <c r="F219" s="3">
        <f t="shared" ca="1" si="24"/>
        <v>1990</v>
      </c>
      <c r="G219" s="3">
        <f t="shared" ca="1" si="25"/>
        <v>1</v>
      </c>
      <c r="H219" s="2">
        <f t="shared" ca="1" si="26"/>
        <v>5</v>
      </c>
      <c r="I219" s="4">
        <f t="shared" ca="1" si="27"/>
        <v>15109001</v>
      </c>
    </row>
    <row r="220" spans="1:9">
      <c r="A220" s="1">
        <v>10000219</v>
      </c>
      <c r="B220" s="3" t="str">
        <f t="shared" ca="1" si="21"/>
        <v>South 24 Parganas</v>
      </c>
      <c r="C220" s="3" t="str">
        <f t="shared" ca="1" si="22"/>
        <v>High Risk</v>
      </c>
      <c r="D220" s="3" t="str">
        <f t="shared" ca="1" si="23"/>
        <v>Commercial</v>
      </c>
      <c r="E220" s="3" t="str" cm="1">
        <f t="array" aca="1" ref="E220" ca="1">_xlfn.IFS(D220="Industrial", "Reinforced Concrete", D220 = "Commercial", CHOOSE(RANDBETWEEN(1, 2), "Reinforced Concrete", "Unreinforced Masonry"), D220 = "Residential", CHOOSE(RANDBETWEEN(1, 3), "Reinforced Concrete", "Unreinforced Masonry", "Adobe / Light Timber"))</f>
        <v>Unreinforced Masonry</v>
      </c>
      <c r="F220" s="3">
        <f t="shared" ca="1" si="24"/>
        <v>1990</v>
      </c>
      <c r="G220" s="3">
        <f t="shared" ca="1" si="25"/>
        <v>3</v>
      </c>
      <c r="H220" s="2">
        <f t="shared" ca="1" si="26"/>
        <v>0</v>
      </c>
      <c r="I220" s="4">
        <f t="shared" ca="1" si="27"/>
        <v>17623635</v>
      </c>
    </row>
    <row r="221" spans="1:9">
      <c r="A221" s="1">
        <v>10000220</v>
      </c>
      <c r="B221" s="3" t="str">
        <f t="shared" ca="1" si="21"/>
        <v>Hooghly</v>
      </c>
      <c r="C221" s="3" t="str">
        <f t="shared" ca="1" si="22"/>
        <v>Moderate Risk</v>
      </c>
      <c r="D221" s="3" t="str">
        <f t="shared" ca="1" si="23"/>
        <v>Commercial</v>
      </c>
      <c r="E221" s="3" t="str" cm="1">
        <f t="array" aca="1" ref="E221" ca="1">_xlfn.IFS(D221="Industrial", "Reinforced Concrete", D221 = "Commercial", CHOOSE(RANDBETWEEN(1, 2), "Reinforced Concrete", "Unreinforced Masonry"), D221 = "Residential", CHOOSE(RANDBETWEEN(1, 3), "Reinforced Concrete", "Unreinforced Masonry", "Adobe / Light Timber"))</f>
        <v>Reinforced Concrete</v>
      </c>
      <c r="F221" s="3">
        <f t="shared" ca="1" si="24"/>
        <v>1991</v>
      </c>
      <c r="G221" s="3">
        <f t="shared" ca="1" si="25"/>
        <v>3</v>
      </c>
      <c r="H221" s="2">
        <f t="shared" ca="1" si="26"/>
        <v>5</v>
      </c>
      <c r="I221" s="4">
        <f t="shared" ca="1" si="27"/>
        <v>15544578</v>
      </c>
    </row>
    <row r="222" spans="1:9">
      <c r="A222" s="1">
        <v>10000221</v>
      </c>
      <c r="B222" s="3" t="str">
        <f t="shared" ca="1" si="21"/>
        <v>Jalpaiguri</v>
      </c>
      <c r="C222" s="3" t="str">
        <f t="shared" ca="1" si="22"/>
        <v>High Risk</v>
      </c>
      <c r="D222" s="3" t="str">
        <f t="shared" ca="1" si="23"/>
        <v>Industrial</v>
      </c>
      <c r="E222" s="3" t="str" cm="1">
        <f t="array" aca="1" ref="E222" ca="1">_xlfn.IFS(D222="Industrial", "Reinforced Concrete", D222 = "Commercial", CHOOSE(RANDBETWEEN(1, 2), "Reinforced Concrete", "Unreinforced Masonry"), D222 = "Residential", CHOOSE(RANDBETWEEN(1, 3), "Reinforced Concrete", "Unreinforced Masonry", "Adobe / Light Timber"))</f>
        <v>Reinforced Concrete</v>
      </c>
      <c r="F222" s="3">
        <f t="shared" ca="1" si="24"/>
        <v>2006</v>
      </c>
      <c r="G222" s="3">
        <f t="shared" ca="1" si="25"/>
        <v>5</v>
      </c>
      <c r="H222" s="2">
        <f t="shared" ca="1" si="26"/>
        <v>3</v>
      </c>
      <c r="I222" s="4">
        <f t="shared" ca="1" si="27"/>
        <v>53645079</v>
      </c>
    </row>
    <row r="223" spans="1:9">
      <c r="A223" s="1">
        <v>10000222</v>
      </c>
      <c r="B223" s="3" t="str">
        <f t="shared" ca="1" si="21"/>
        <v>Hooghly</v>
      </c>
      <c r="C223" s="3" t="str">
        <f t="shared" ca="1" si="22"/>
        <v>Moderate Risk</v>
      </c>
      <c r="D223" s="3" t="str">
        <f t="shared" ca="1" si="23"/>
        <v>Commercial</v>
      </c>
      <c r="E223" s="3" t="str" cm="1">
        <f t="array" aca="1" ref="E223" ca="1">_xlfn.IFS(D223="Industrial", "Reinforced Concrete", D223 = "Commercial", CHOOSE(RANDBETWEEN(1, 2), "Reinforced Concrete", "Unreinforced Masonry"), D223 = "Residential", CHOOSE(RANDBETWEEN(1, 3), "Reinforced Concrete", "Unreinforced Masonry", "Adobe / Light Timber"))</f>
        <v>Reinforced Concrete</v>
      </c>
      <c r="F223" s="3">
        <f t="shared" ca="1" si="24"/>
        <v>2016</v>
      </c>
      <c r="G223" s="3">
        <f t="shared" ca="1" si="25"/>
        <v>5</v>
      </c>
      <c r="H223" s="2">
        <f t="shared" ca="1" si="26"/>
        <v>3</v>
      </c>
      <c r="I223" s="4">
        <f t="shared" ca="1" si="27"/>
        <v>22611871</v>
      </c>
    </row>
    <row r="224" spans="1:9">
      <c r="A224" s="1">
        <v>10000223</v>
      </c>
      <c r="B224" s="3" t="str">
        <f t="shared" ca="1" si="21"/>
        <v>Paschim Medinipur</v>
      </c>
      <c r="C224" s="3" t="str">
        <f t="shared" ca="1" si="22"/>
        <v>Moderate Risk</v>
      </c>
      <c r="D224" s="3" t="str">
        <f t="shared" ca="1" si="23"/>
        <v>Residential</v>
      </c>
      <c r="E224" s="3" t="str" cm="1">
        <f t="array" aca="1" ref="E224" ca="1">_xlfn.IFS(D224="Industrial", "Reinforced Concrete", D224 = "Commercial", CHOOSE(RANDBETWEEN(1, 2), "Reinforced Concrete", "Unreinforced Masonry"), D224 = "Residential", CHOOSE(RANDBETWEEN(1, 3), "Reinforced Concrete", "Unreinforced Masonry", "Adobe / Light Timber"))</f>
        <v>Unreinforced Masonry</v>
      </c>
      <c r="F224" s="3">
        <f t="shared" ca="1" si="24"/>
        <v>1981</v>
      </c>
      <c r="G224" s="3">
        <f t="shared" ca="1" si="25"/>
        <v>1</v>
      </c>
      <c r="H224" s="2">
        <f t="shared" ca="1" si="26"/>
        <v>0</v>
      </c>
      <c r="I224" s="4">
        <f t="shared" ca="1" si="27"/>
        <v>4243112</v>
      </c>
    </row>
    <row r="225" spans="1:9">
      <c r="A225" s="1">
        <v>10000224</v>
      </c>
      <c r="B225" s="3" t="str">
        <f t="shared" ca="1" si="21"/>
        <v>Jalpaiguri</v>
      </c>
      <c r="C225" s="3" t="str">
        <f t="shared" ca="1" si="22"/>
        <v>High Risk</v>
      </c>
      <c r="D225" s="3" t="str">
        <f t="shared" ca="1" si="23"/>
        <v>Residential</v>
      </c>
      <c r="E225" s="3" t="str" cm="1">
        <f t="array" aca="1" ref="E225" ca="1">_xlfn.IFS(D225="Industrial", "Reinforced Concrete", D225 = "Commercial", CHOOSE(RANDBETWEEN(1, 2), "Reinforced Concrete", "Unreinforced Masonry"), D225 = "Residential", CHOOSE(RANDBETWEEN(1, 3), "Reinforced Concrete", "Unreinforced Masonry", "Adobe / Light Timber"))</f>
        <v>Adobe / Light Timber</v>
      </c>
      <c r="F225" s="3">
        <f t="shared" ca="1" si="24"/>
        <v>2022</v>
      </c>
      <c r="G225" s="3">
        <f t="shared" ca="1" si="25"/>
        <v>1</v>
      </c>
      <c r="H225" s="2">
        <f t="shared" ca="1" si="26"/>
        <v>2</v>
      </c>
      <c r="I225" s="4">
        <f t="shared" ca="1" si="27"/>
        <v>561052</v>
      </c>
    </row>
    <row r="226" spans="1:9">
      <c r="A226" s="1">
        <v>10000225</v>
      </c>
      <c r="B226" s="3" t="str">
        <f t="shared" ca="1" si="21"/>
        <v>Jalpaiguri</v>
      </c>
      <c r="C226" s="3" t="str">
        <f t="shared" ca="1" si="22"/>
        <v>High Risk</v>
      </c>
      <c r="D226" s="3" t="str">
        <f t="shared" ca="1" si="23"/>
        <v>Commercial</v>
      </c>
      <c r="E226" s="3" t="str" cm="1">
        <f t="array" aca="1" ref="E226" ca="1">_xlfn.IFS(D226="Industrial", "Reinforced Concrete", D226 = "Commercial", CHOOSE(RANDBETWEEN(1, 2), "Reinforced Concrete", "Unreinforced Masonry"), D226 = "Residential", CHOOSE(RANDBETWEEN(1, 3), "Reinforced Concrete", "Unreinforced Masonry", "Adobe / Light Timber"))</f>
        <v>Unreinforced Masonry</v>
      </c>
      <c r="F226" s="3">
        <f t="shared" ca="1" si="24"/>
        <v>1983</v>
      </c>
      <c r="G226" s="3">
        <f t="shared" ca="1" si="25"/>
        <v>5</v>
      </c>
      <c r="H226" s="2">
        <f t="shared" ca="1" si="26"/>
        <v>2</v>
      </c>
      <c r="I226" s="4">
        <f t="shared" ca="1" si="27"/>
        <v>12910636</v>
      </c>
    </row>
    <row r="227" spans="1:9">
      <c r="A227" s="1">
        <v>10000226</v>
      </c>
      <c r="B227" s="3" t="str">
        <f t="shared" ca="1" si="21"/>
        <v>South 24 Parganas</v>
      </c>
      <c r="C227" s="3" t="str">
        <f t="shared" ca="1" si="22"/>
        <v>High Risk</v>
      </c>
      <c r="D227" s="3" t="str">
        <f t="shared" ca="1" si="23"/>
        <v>Residential</v>
      </c>
      <c r="E227" s="3" t="str" cm="1">
        <f t="array" aca="1" ref="E227" ca="1">_xlfn.IFS(D227="Industrial", "Reinforced Concrete", D227 = "Commercial", CHOOSE(RANDBETWEEN(1, 2), "Reinforced Concrete", "Unreinforced Masonry"), D227 = "Residential", CHOOSE(RANDBETWEEN(1, 3), "Reinforced Concrete", "Unreinforced Masonry", "Adobe / Light Timber"))</f>
        <v>Unreinforced Masonry</v>
      </c>
      <c r="F227" s="3">
        <f t="shared" ca="1" si="24"/>
        <v>1992</v>
      </c>
      <c r="G227" s="3">
        <f t="shared" ca="1" si="25"/>
        <v>4</v>
      </c>
      <c r="H227" s="2">
        <f t="shared" ca="1" si="26"/>
        <v>1</v>
      </c>
      <c r="I227" s="4">
        <f t="shared" ca="1" si="27"/>
        <v>4842729</v>
      </c>
    </row>
    <row r="228" spans="1:9">
      <c r="A228" s="1">
        <v>10000227</v>
      </c>
      <c r="B228" s="3" t="str">
        <f t="shared" ca="1" si="21"/>
        <v>Paschim Medinipur</v>
      </c>
      <c r="C228" s="3" t="str">
        <f t="shared" ca="1" si="22"/>
        <v>Moderate Risk</v>
      </c>
      <c r="D228" s="3" t="str">
        <f t="shared" ca="1" si="23"/>
        <v>Commercial</v>
      </c>
      <c r="E228" s="3" t="str" cm="1">
        <f t="array" aca="1" ref="E228" ca="1">_xlfn.IFS(D228="Industrial", "Reinforced Concrete", D228 = "Commercial", CHOOSE(RANDBETWEEN(1, 2), "Reinforced Concrete", "Unreinforced Masonry"), D228 = "Residential", CHOOSE(RANDBETWEEN(1, 3), "Reinforced Concrete", "Unreinforced Masonry", "Adobe / Light Timber"))</f>
        <v>Reinforced Concrete</v>
      </c>
      <c r="F228" s="3">
        <f t="shared" ca="1" si="24"/>
        <v>2009</v>
      </c>
      <c r="G228" s="3">
        <f t="shared" ca="1" si="25"/>
        <v>4</v>
      </c>
      <c r="H228" s="2">
        <f t="shared" ca="1" si="26"/>
        <v>4</v>
      </c>
      <c r="I228" s="4">
        <f t="shared" ca="1" si="27"/>
        <v>10847307</v>
      </c>
    </row>
    <row r="229" spans="1:9">
      <c r="A229" s="1">
        <v>10000228</v>
      </c>
      <c r="B229" s="3" t="str">
        <f t="shared" ca="1" si="21"/>
        <v>South 24 Parganas</v>
      </c>
      <c r="C229" s="3" t="str">
        <f t="shared" ca="1" si="22"/>
        <v>High Risk</v>
      </c>
      <c r="D229" s="3" t="str">
        <f t="shared" ca="1" si="23"/>
        <v>Industrial</v>
      </c>
      <c r="E229" s="3" t="str" cm="1">
        <f t="array" aca="1" ref="E229" ca="1">_xlfn.IFS(D229="Industrial", "Reinforced Concrete", D229 = "Commercial", CHOOSE(RANDBETWEEN(1, 2), "Reinforced Concrete", "Unreinforced Masonry"), D229 = "Residential", CHOOSE(RANDBETWEEN(1, 3), "Reinforced Concrete", "Unreinforced Masonry", "Adobe / Light Timber"))</f>
        <v>Reinforced Concrete</v>
      </c>
      <c r="F229" s="3">
        <f t="shared" ca="1" si="24"/>
        <v>1991</v>
      </c>
      <c r="G229" s="3">
        <f t="shared" ca="1" si="25"/>
        <v>4</v>
      </c>
      <c r="H229" s="2">
        <f t="shared" ca="1" si="26"/>
        <v>5</v>
      </c>
      <c r="I229" s="4">
        <f t="shared" ca="1" si="27"/>
        <v>55845520</v>
      </c>
    </row>
    <row r="230" spans="1:9">
      <c r="A230" s="1">
        <v>10000229</v>
      </c>
      <c r="B230" s="3" t="str">
        <f t="shared" ca="1" si="21"/>
        <v>Kolkata</v>
      </c>
      <c r="C230" s="3" t="str">
        <f t="shared" ca="1" si="22"/>
        <v>Moderate Risk</v>
      </c>
      <c r="D230" s="3" t="str">
        <f t="shared" ca="1" si="23"/>
        <v>Residential</v>
      </c>
      <c r="E230" s="3" t="str" cm="1">
        <f t="array" aca="1" ref="E230" ca="1">_xlfn.IFS(D230="Industrial", "Reinforced Concrete", D230 = "Commercial", CHOOSE(RANDBETWEEN(1, 2), "Reinforced Concrete", "Unreinforced Masonry"), D230 = "Residential", CHOOSE(RANDBETWEEN(1, 3), "Reinforced Concrete", "Unreinforced Masonry", "Adobe / Light Timber"))</f>
        <v>Unreinforced Masonry</v>
      </c>
      <c r="F230" s="3">
        <f t="shared" ca="1" si="24"/>
        <v>1981</v>
      </c>
      <c r="G230" s="3">
        <f t="shared" ca="1" si="25"/>
        <v>1</v>
      </c>
      <c r="H230" s="2">
        <f t="shared" ca="1" si="26"/>
        <v>2</v>
      </c>
      <c r="I230" s="4">
        <f t="shared" ca="1" si="27"/>
        <v>7701299</v>
      </c>
    </row>
    <row r="231" spans="1:9">
      <c r="A231" s="1">
        <v>10000230</v>
      </c>
      <c r="B231" s="3" t="str">
        <f t="shared" ca="1" si="21"/>
        <v>Jalpaiguri</v>
      </c>
      <c r="C231" s="3" t="str">
        <f t="shared" ca="1" si="22"/>
        <v>High Risk</v>
      </c>
      <c r="D231" s="3" t="str">
        <f t="shared" ca="1" si="23"/>
        <v>Commercial</v>
      </c>
      <c r="E231" s="3" t="str" cm="1">
        <f t="array" aca="1" ref="E231" ca="1">_xlfn.IFS(D231="Industrial", "Reinforced Concrete", D231 = "Commercial", CHOOSE(RANDBETWEEN(1, 2), "Reinforced Concrete", "Unreinforced Masonry"), D231 = "Residential", CHOOSE(RANDBETWEEN(1, 3), "Reinforced Concrete", "Unreinforced Masonry", "Adobe / Light Timber"))</f>
        <v>Reinforced Concrete</v>
      </c>
      <c r="F231" s="3">
        <f t="shared" ca="1" si="24"/>
        <v>1993</v>
      </c>
      <c r="G231" s="3">
        <f t="shared" ca="1" si="25"/>
        <v>5</v>
      </c>
      <c r="H231" s="2">
        <f t="shared" ca="1" si="26"/>
        <v>4</v>
      </c>
      <c r="I231" s="4">
        <f t="shared" ca="1" si="27"/>
        <v>16347961</v>
      </c>
    </row>
    <row r="232" spans="1:9">
      <c r="A232" s="1">
        <v>10000231</v>
      </c>
      <c r="B232" s="3" t="str">
        <f t="shared" ca="1" si="21"/>
        <v>Kolkata</v>
      </c>
      <c r="C232" s="3" t="str">
        <f t="shared" ca="1" si="22"/>
        <v>Moderate Risk</v>
      </c>
      <c r="D232" s="3" t="str">
        <f t="shared" ca="1" si="23"/>
        <v>Industrial</v>
      </c>
      <c r="E232" s="3" t="str" cm="1">
        <f t="array" aca="1" ref="E232" ca="1">_xlfn.IFS(D232="Industrial", "Reinforced Concrete", D232 = "Commercial", CHOOSE(RANDBETWEEN(1, 2), "Reinforced Concrete", "Unreinforced Masonry"), D232 = "Residential", CHOOSE(RANDBETWEEN(1, 3), "Reinforced Concrete", "Unreinforced Masonry", "Adobe / Light Timber"))</f>
        <v>Reinforced Concrete</v>
      </c>
      <c r="F232" s="3">
        <f t="shared" ca="1" si="24"/>
        <v>1981</v>
      </c>
      <c r="G232" s="3">
        <f t="shared" ca="1" si="25"/>
        <v>2</v>
      </c>
      <c r="H232" s="2">
        <f t="shared" ca="1" si="26"/>
        <v>4</v>
      </c>
      <c r="I232" s="4">
        <f t="shared" ca="1" si="27"/>
        <v>50105287</v>
      </c>
    </row>
    <row r="233" spans="1:9">
      <c r="A233" s="1">
        <v>10000232</v>
      </c>
      <c r="B233" s="3" t="str">
        <f t="shared" ca="1" si="21"/>
        <v>Kolkata</v>
      </c>
      <c r="C233" s="3" t="str">
        <f t="shared" ca="1" si="22"/>
        <v>Moderate Risk</v>
      </c>
      <c r="D233" s="3" t="str">
        <f t="shared" ca="1" si="23"/>
        <v>Residential</v>
      </c>
      <c r="E233" s="3" t="str" cm="1">
        <f t="array" aca="1" ref="E233" ca="1">_xlfn.IFS(D233="Industrial", "Reinforced Concrete", D233 = "Commercial", CHOOSE(RANDBETWEEN(1, 2), "Reinforced Concrete", "Unreinforced Masonry"), D233 = "Residential", CHOOSE(RANDBETWEEN(1, 3), "Reinforced Concrete", "Unreinforced Masonry", "Adobe / Light Timber"))</f>
        <v>Adobe / Light Timber</v>
      </c>
      <c r="F233" s="3">
        <f t="shared" ca="1" si="24"/>
        <v>2024</v>
      </c>
      <c r="G233" s="3">
        <f t="shared" ca="1" si="25"/>
        <v>1</v>
      </c>
      <c r="H233" s="2">
        <f t="shared" ca="1" si="26"/>
        <v>2</v>
      </c>
      <c r="I233" s="4">
        <f t="shared" ca="1" si="27"/>
        <v>563550</v>
      </c>
    </row>
    <row r="234" spans="1:9">
      <c r="A234" s="1">
        <v>10000233</v>
      </c>
      <c r="B234" s="3" t="str">
        <f t="shared" ca="1" si="21"/>
        <v>Hooghly</v>
      </c>
      <c r="C234" s="3" t="str">
        <f t="shared" ca="1" si="22"/>
        <v>Moderate Risk</v>
      </c>
      <c r="D234" s="3" t="str">
        <f t="shared" ca="1" si="23"/>
        <v>Industrial</v>
      </c>
      <c r="E234" s="3" t="str" cm="1">
        <f t="array" aca="1" ref="E234" ca="1">_xlfn.IFS(D234="Industrial", "Reinforced Concrete", D234 = "Commercial", CHOOSE(RANDBETWEEN(1, 2), "Reinforced Concrete", "Unreinforced Masonry"), D234 = "Residential", CHOOSE(RANDBETWEEN(1, 3), "Reinforced Concrete", "Unreinforced Masonry", "Adobe / Light Timber"))</f>
        <v>Reinforced Concrete</v>
      </c>
      <c r="F234" s="3">
        <f t="shared" ca="1" si="24"/>
        <v>1988</v>
      </c>
      <c r="G234" s="3">
        <f t="shared" ca="1" si="25"/>
        <v>5</v>
      </c>
      <c r="H234" s="2">
        <f t="shared" ca="1" si="26"/>
        <v>3</v>
      </c>
      <c r="I234" s="4">
        <f t="shared" ca="1" si="27"/>
        <v>52206308</v>
      </c>
    </row>
    <row r="235" spans="1:9">
      <c r="A235" s="1">
        <v>10000234</v>
      </c>
      <c r="B235" s="3" t="str">
        <f t="shared" ca="1" si="21"/>
        <v>Hooghly</v>
      </c>
      <c r="C235" s="3" t="str">
        <f t="shared" ca="1" si="22"/>
        <v>Moderate Risk</v>
      </c>
      <c r="D235" s="3" t="str">
        <f t="shared" ca="1" si="23"/>
        <v>Industrial</v>
      </c>
      <c r="E235" s="3" t="str" cm="1">
        <f t="array" aca="1" ref="E235" ca="1">_xlfn.IFS(D235="Industrial", "Reinforced Concrete", D235 = "Commercial", CHOOSE(RANDBETWEEN(1, 2), "Reinforced Concrete", "Unreinforced Masonry"), D235 = "Residential", CHOOSE(RANDBETWEEN(1, 3), "Reinforced Concrete", "Unreinforced Masonry", "Adobe / Light Timber"))</f>
        <v>Reinforced Concrete</v>
      </c>
      <c r="F235" s="3">
        <f t="shared" ca="1" si="24"/>
        <v>1988</v>
      </c>
      <c r="G235" s="3">
        <f t="shared" ca="1" si="25"/>
        <v>3</v>
      </c>
      <c r="H235" s="2">
        <f t="shared" ca="1" si="26"/>
        <v>3</v>
      </c>
      <c r="I235" s="4">
        <f t="shared" ca="1" si="27"/>
        <v>61942302</v>
      </c>
    </row>
    <row r="236" spans="1:9">
      <c r="A236" s="1">
        <v>10000235</v>
      </c>
      <c r="B236" s="3" t="str">
        <f t="shared" ca="1" si="21"/>
        <v>Kolkata</v>
      </c>
      <c r="C236" s="3" t="str">
        <f t="shared" ca="1" si="22"/>
        <v>Moderate Risk</v>
      </c>
      <c r="D236" s="3" t="str">
        <f t="shared" ca="1" si="23"/>
        <v>Commercial</v>
      </c>
      <c r="E236" s="3" t="str" cm="1">
        <f t="array" aca="1" ref="E236" ca="1">_xlfn.IFS(D236="Industrial", "Reinforced Concrete", D236 = "Commercial", CHOOSE(RANDBETWEEN(1, 2), "Reinforced Concrete", "Unreinforced Masonry"), D236 = "Residential", CHOOSE(RANDBETWEEN(1, 3), "Reinforced Concrete", "Unreinforced Masonry", "Adobe / Light Timber"))</f>
        <v>Reinforced Concrete</v>
      </c>
      <c r="F236" s="3">
        <f t="shared" ca="1" si="24"/>
        <v>1993</v>
      </c>
      <c r="G236" s="3">
        <f t="shared" ca="1" si="25"/>
        <v>1</v>
      </c>
      <c r="H236" s="2">
        <f t="shared" ca="1" si="26"/>
        <v>5</v>
      </c>
      <c r="I236" s="4">
        <f t="shared" ca="1" si="27"/>
        <v>8616439</v>
      </c>
    </row>
    <row r="237" spans="1:9">
      <c r="A237" s="1">
        <v>10000236</v>
      </c>
      <c r="B237" s="3" t="str">
        <f t="shared" ca="1" si="21"/>
        <v>Malda</v>
      </c>
      <c r="C237" s="3" t="str">
        <f t="shared" ca="1" si="22"/>
        <v>High Risk</v>
      </c>
      <c r="D237" s="3" t="str">
        <f t="shared" ca="1" si="23"/>
        <v>Industrial</v>
      </c>
      <c r="E237" s="3" t="str" cm="1">
        <f t="array" aca="1" ref="E237" ca="1">_xlfn.IFS(D237="Industrial", "Reinforced Concrete", D237 = "Commercial", CHOOSE(RANDBETWEEN(1, 2), "Reinforced Concrete", "Unreinforced Masonry"), D237 = "Residential", CHOOSE(RANDBETWEEN(1, 3), "Reinforced Concrete", "Unreinforced Masonry", "Adobe / Light Timber"))</f>
        <v>Reinforced Concrete</v>
      </c>
      <c r="F237" s="3">
        <f t="shared" ca="1" si="24"/>
        <v>2024</v>
      </c>
      <c r="G237" s="3">
        <f t="shared" ca="1" si="25"/>
        <v>4</v>
      </c>
      <c r="H237" s="2">
        <f t="shared" ca="1" si="26"/>
        <v>4</v>
      </c>
      <c r="I237" s="4">
        <f t="shared" ca="1" si="27"/>
        <v>60095841</v>
      </c>
    </row>
    <row r="238" spans="1:9">
      <c r="A238" s="1">
        <v>10000237</v>
      </c>
      <c r="B238" s="3" t="str">
        <f t="shared" ca="1" si="21"/>
        <v>Kolkata</v>
      </c>
      <c r="C238" s="3" t="str">
        <f t="shared" ca="1" si="22"/>
        <v>Moderate Risk</v>
      </c>
      <c r="D238" s="3" t="str">
        <f t="shared" ca="1" si="23"/>
        <v>Residential</v>
      </c>
      <c r="E238" s="3" t="str" cm="1">
        <f t="array" aca="1" ref="E238" ca="1">_xlfn.IFS(D238="Industrial", "Reinforced Concrete", D238 = "Commercial", CHOOSE(RANDBETWEEN(1, 2), "Reinforced Concrete", "Unreinforced Masonry"), D238 = "Residential", CHOOSE(RANDBETWEEN(1, 3), "Reinforced Concrete", "Unreinforced Masonry", "Adobe / Light Timber"))</f>
        <v>Reinforced Concrete</v>
      </c>
      <c r="F238" s="3">
        <f t="shared" ca="1" si="24"/>
        <v>2008</v>
      </c>
      <c r="G238" s="3">
        <f t="shared" ca="1" si="25"/>
        <v>4</v>
      </c>
      <c r="H238" s="2">
        <f t="shared" ca="1" si="26"/>
        <v>3</v>
      </c>
      <c r="I238" s="4">
        <f t="shared" ca="1" si="27"/>
        <v>5982992</v>
      </c>
    </row>
    <row r="239" spans="1:9">
      <c r="A239" s="1">
        <v>10000238</v>
      </c>
      <c r="B239" s="3" t="str">
        <f t="shared" ca="1" si="21"/>
        <v>Kolkata</v>
      </c>
      <c r="C239" s="3" t="str">
        <f t="shared" ca="1" si="22"/>
        <v>Moderate Risk</v>
      </c>
      <c r="D239" s="3" t="str">
        <f t="shared" ca="1" si="23"/>
        <v>Commercial</v>
      </c>
      <c r="E239" s="3" t="str" cm="1">
        <f t="array" aca="1" ref="E239" ca="1">_xlfn.IFS(D239="Industrial", "Reinforced Concrete", D239 = "Commercial", CHOOSE(RANDBETWEEN(1, 2), "Reinforced Concrete", "Unreinforced Masonry"), D239 = "Residential", CHOOSE(RANDBETWEEN(1, 3), "Reinforced Concrete", "Unreinforced Masonry", "Adobe / Light Timber"))</f>
        <v>Unreinforced Masonry</v>
      </c>
      <c r="F239" s="3">
        <f t="shared" ca="1" si="24"/>
        <v>1999</v>
      </c>
      <c r="G239" s="3">
        <f t="shared" ca="1" si="25"/>
        <v>4</v>
      </c>
      <c r="H239" s="2">
        <f t="shared" ca="1" si="26"/>
        <v>1</v>
      </c>
      <c r="I239" s="4">
        <f t="shared" ca="1" si="27"/>
        <v>15991449</v>
      </c>
    </row>
    <row r="240" spans="1:9">
      <c r="A240" s="1">
        <v>10000239</v>
      </c>
      <c r="B240" s="3" t="str">
        <f t="shared" ca="1" si="21"/>
        <v>Kolkata</v>
      </c>
      <c r="C240" s="3" t="str">
        <f t="shared" ca="1" si="22"/>
        <v>Moderate Risk</v>
      </c>
      <c r="D240" s="3" t="str">
        <f t="shared" ca="1" si="23"/>
        <v>Commercial</v>
      </c>
      <c r="E240" s="3" t="str" cm="1">
        <f t="array" aca="1" ref="E240" ca="1">_xlfn.IFS(D240="Industrial", "Reinforced Concrete", D240 = "Commercial", CHOOSE(RANDBETWEEN(1, 2), "Reinforced Concrete", "Unreinforced Masonry"), D240 = "Residential", CHOOSE(RANDBETWEEN(1, 3), "Reinforced Concrete", "Unreinforced Masonry", "Adobe / Light Timber"))</f>
        <v>Unreinforced Masonry</v>
      </c>
      <c r="F240" s="3">
        <f t="shared" ca="1" si="24"/>
        <v>2023</v>
      </c>
      <c r="G240" s="3">
        <f t="shared" ca="1" si="25"/>
        <v>4</v>
      </c>
      <c r="H240" s="2">
        <f t="shared" ca="1" si="26"/>
        <v>0</v>
      </c>
      <c r="I240" s="4">
        <f t="shared" ca="1" si="27"/>
        <v>8956628</v>
      </c>
    </row>
    <row r="241" spans="1:9">
      <c r="A241" s="1">
        <v>10000240</v>
      </c>
      <c r="B241" s="3" t="str">
        <f t="shared" ca="1" si="21"/>
        <v>Kolkata</v>
      </c>
      <c r="C241" s="3" t="str">
        <f t="shared" ca="1" si="22"/>
        <v>Moderate Risk</v>
      </c>
      <c r="D241" s="3" t="str">
        <f t="shared" ca="1" si="23"/>
        <v>Commercial</v>
      </c>
      <c r="E241" s="3" t="str" cm="1">
        <f t="array" aca="1" ref="E241" ca="1">_xlfn.IFS(D241="Industrial", "Reinforced Concrete", D241 = "Commercial", CHOOSE(RANDBETWEEN(1, 2), "Reinforced Concrete", "Unreinforced Masonry"), D241 = "Residential", CHOOSE(RANDBETWEEN(1, 3), "Reinforced Concrete", "Unreinforced Masonry", "Adobe / Light Timber"))</f>
        <v>Unreinforced Masonry</v>
      </c>
      <c r="F241" s="3">
        <f t="shared" ca="1" si="24"/>
        <v>2001</v>
      </c>
      <c r="G241" s="3">
        <f t="shared" ca="1" si="25"/>
        <v>2</v>
      </c>
      <c r="H241" s="2">
        <f t="shared" ca="1" si="26"/>
        <v>2</v>
      </c>
      <c r="I241" s="4">
        <f t="shared" ca="1" si="27"/>
        <v>19607790</v>
      </c>
    </row>
    <row r="242" spans="1:9">
      <c r="A242" s="1">
        <v>10000241</v>
      </c>
      <c r="B242" s="3" t="str">
        <f t="shared" ca="1" si="21"/>
        <v>Jalpaiguri</v>
      </c>
      <c r="C242" s="3" t="str">
        <f t="shared" ca="1" si="22"/>
        <v>High Risk</v>
      </c>
      <c r="D242" s="3" t="str">
        <f t="shared" ca="1" si="23"/>
        <v>Commercial</v>
      </c>
      <c r="E242" s="3" t="str" cm="1">
        <f t="array" aca="1" ref="E242" ca="1">_xlfn.IFS(D242="Industrial", "Reinforced Concrete", D242 = "Commercial", CHOOSE(RANDBETWEEN(1, 2), "Reinforced Concrete", "Unreinforced Masonry"), D242 = "Residential", CHOOSE(RANDBETWEEN(1, 3), "Reinforced Concrete", "Unreinforced Masonry", "Adobe / Light Timber"))</f>
        <v>Unreinforced Masonry</v>
      </c>
      <c r="F242" s="3">
        <f t="shared" ca="1" si="24"/>
        <v>2005</v>
      </c>
      <c r="G242" s="3">
        <f t="shared" ca="1" si="25"/>
        <v>4</v>
      </c>
      <c r="H242" s="2">
        <f t="shared" ca="1" si="26"/>
        <v>1</v>
      </c>
      <c r="I242" s="4">
        <f t="shared" ca="1" si="27"/>
        <v>8661701</v>
      </c>
    </row>
    <row r="243" spans="1:9">
      <c r="A243" s="1">
        <v>10000242</v>
      </c>
      <c r="B243" s="3" t="str">
        <f t="shared" ca="1" si="21"/>
        <v>Hooghly</v>
      </c>
      <c r="C243" s="3" t="str">
        <f t="shared" ca="1" si="22"/>
        <v>Moderate Risk</v>
      </c>
      <c r="D243" s="3" t="str">
        <f t="shared" ca="1" si="23"/>
        <v>Commercial</v>
      </c>
      <c r="E243" s="3" t="str" cm="1">
        <f t="array" aca="1" ref="E243" ca="1">_xlfn.IFS(D243="Industrial", "Reinforced Concrete", D243 = "Commercial", CHOOSE(RANDBETWEEN(1, 2), "Reinforced Concrete", "Unreinforced Masonry"), D243 = "Residential", CHOOSE(RANDBETWEEN(1, 3), "Reinforced Concrete", "Unreinforced Masonry", "Adobe / Light Timber"))</f>
        <v>Reinforced Concrete</v>
      </c>
      <c r="F243" s="3">
        <f t="shared" ca="1" si="24"/>
        <v>1989</v>
      </c>
      <c r="G243" s="3">
        <f t="shared" ca="1" si="25"/>
        <v>3</v>
      </c>
      <c r="H243" s="2">
        <f t="shared" ca="1" si="26"/>
        <v>4</v>
      </c>
      <c r="I243" s="4">
        <f t="shared" ca="1" si="27"/>
        <v>19335619</v>
      </c>
    </row>
    <row r="244" spans="1:9">
      <c r="A244" s="1">
        <v>10000243</v>
      </c>
      <c r="B244" s="3" t="str">
        <f t="shared" ca="1" si="21"/>
        <v>Jalpaiguri</v>
      </c>
      <c r="C244" s="3" t="str">
        <f t="shared" ca="1" si="22"/>
        <v>High Risk</v>
      </c>
      <c r="D244" s="3" t="str">
        <f t="shared" ca="1" si="23"/>
        <v>Commercial</v>
      </c>
      <c r="E244" s="3" t="str" cm="1">
        <f t="array" aca="1" ref="E244" ca="1">_xlfn.IFS(D244="Industrial", "Reinforced Concrete", D244 = "Commercial", CHOOSE(RANDBETWEEN(1, 2), "Reinforced Concrete", "Unreinforced Masonry"), D244 = "Residential", CHOOSE(RANDBETWEEN(1, 3), "Reinforced Concrete", "Unreinforced Masonry", "Adobe / Light Timber"))</f>
        <v>Reinforced Concrete</v>
      </c>
      <c r="F244" s="3">
        <f t="shared" ca="1" si="24"/>
        <v>1996</v>
      </c>
      <c r="G244" s="3">
        <f t="shared" ca="1" si="25"/>
        <v>3</v>
      </c>
      <c r="H244" s="2">
        <f t="shared" ca="1" si="26"/>
        <v>5</v>
      </c>
      <c r="I244" s="4">
        <f t="shared" ca="1" si="27"/>
        <v>9607391</v>
      </c>
    </row>
    <row r="245" spans="1:9">
      <c r="A245" s="1">
        <v>10000244</v>
      </c>
      <c r="B245" s="3" t="str">
        <f t="shared" ca="1" si="21"/>
        <v>Kolkata</v>
      </c>
      <c r="C245" s="3" t="str">
        <f t="shared" ca="1" si="22"/>
        <v>Moderate Risk</v>
      </c>
      <c r="D245" s="3" t="str">
        <f t="shared" ca="1" si="23"/>
        <v>Industrial</v>
      </c>
      <c r="E245" s="3" t="str" cm="1">
        <f t="array" aca="1" ref="E245" ca="1">_xlfn.IFS(D245="Industrial", "Reinforced Concrete", D245 = "Commercial", CHOOSE(RANDBETWEEN(1, 2), "Reinforced Concrete", "Unreinforced Masonry"), D245 = "Residential", CHOOSE(RANDBETWEEN(1, 3), "Reinforced Concrete", "Unreinforced Masonry", "Adobe / Light Timber"))</f>
        <v>Reinforced Concrete</v>
      </c>
      <c r="F245" s="3">
        <f t="shared" ca="1" si="24"/>
        <v>1989</v>
      </c>
      <c r="G245" s="3">
        <f t="shared" ca="1" si="25"/>
        <v>1</v>
      </c>
      <c r="H245" s="2">
        <f t="shared" ca="1" si="26"/>
        <v>3</v>
      </c>
      <c r="I245" s="4">
        <f t="shared" ca="1" si="27"/>
        <v>58489635</v>
      </c>
    </row>
    <row r="246" spans="1:9">
      <c r="A246" s="1">
        <v>10000245</v>
      </c>
      <c r="B246" s="3" t="str">
        <f t="shared" ca="1" si="21"/>
        <v>Jalpaiguri</v>
      </c>
      <c r="C246" s="3" t="str">
        <f t="shared" ca="1" si="22"/>
        <v>High Risk</v>
      </c>
      <c r="D246" s="3" t="str">
        <f t="shared" ca="1" si="23"/>
        <v>Industrial</v>
      </c>
      <c r="E246" s="3" t="str" cm="1">
        <f t="array" aca="1" ref="E246" ca="1">_xlfn.IFS(D246="Industrial", "Reinforced Concrete", D246 = "Commercial", CHOOSE(RANDBETWEEN(1, 2), "Reinforced Concrete", "Unreinforced Masonry"), D246 = "Residential", CHOOSE(RANDBETWEEN(1, 3), "Reinforced Concrete", "Unreinforced Masonry", "Adobe / Light Timber"))</f>
        <v>Reinforced Concrete</v>
      </c>
      <c r="F246" s="3">
        <f t="shared" ca="1" si="24"/>
        <v>2020</v>
      </c>
      <c r="G246" s="3">
        <f t="shared" ca="1" si="25"/>
        <v>1</v>
      </c>
      <c r="H246" s="2">
        <f t="shared" ca="1" si="26"/>
        <v>5</v>
      </c>
      <c r="I246" s="4">
        <f t="shared" ca="1" si="27"/>
        <v>50446437</v>
      </c>
    </row>
    <row r="247" spans="1:9">
      <c r="A247" s="1">
        <v>10000246</v>
      </c>
      <c r="B247" s="3" t="str">
        <f t="shared" ca="1" si="21"/>
        <v>Jalpaiguri</v>
      </c>
      <c r="C247" s="3" t="str">
        <f t="shared" ca="1" si="22"/>
        <v>High Risk</v>
      </c>
      <c r="D247" s="3" t="str">
        <f t="shared" ca="1" si="23"/>
        <v>Residential</v>
      </c>
      <c r="E247" s="3" t="str" cm="1">
        <f t="array" aca="1" ref="E247" ca="1">_xlfn.IFS(D247="Industrial", "Reinforced Concrete", D247 = "Commercial", CHOOSE(RANDBETWEEN(1, 2), "Reinforced Concrete", "Unreinforced Masonry"), D247 = "Residential", CHOOSE(RANDBETWEEN(1, 3), "Reinforced Concrete", "Unreinforced Masonry", "Adobe / Light Timber"))</f>
        <v>Unreinforced Masonry</v>
      </c>
      <c r="F247" s="3">
        <f t="shared" ca="1" si="24"/>
        <v>2005</v>
      </c>
      <c r="G247" s="3">
        <f t="shared" ca="1" si="25"/>
        <v>2</v>
      </c>
      <c r="H247" s="2">
        <f t="shared" ca="1" si="26"/>
        <v>1</v>
      </c>
      <c r="I247" s="4">
        <f t="shared" ca="1" si="27"/>
        <v>2736210</v>
      </c>
    </row>
    <row r="248" spans="1:9">
      <c r="A248" s="1">
        <v>10000247</v>
      </c>
      <c r="B248" s="3" t="str">
        <f t="shared" ca="1" si="21"/>
        <v>Jalpaiguri</v>
      </c>
      <c r="C248" s="3" t="str">
        <f t="shared" ca="1" si="22"/>
        <v>High Risk</v>
      </c>
      <c r="D248" s="3" t="str">
        <f t="shared" ca="1" si="23"/>
        <v>Commercial</v>
      </c>
      <c r="E248" s="3" t="str" cm="1">
        <f t="array" aca="1" ref="E248" ca="1">_xlfn.IFS(D248="Industrial", "Reinforced Concrete", D248 = "Commercial", CHOOSE(RANDBETWEEN(1, 2), "Reinforced Concrete", "Unreinforced Masonry"), D248 = "Residential", CHOOSE(RANDBETWEEN(1, 3), "Reinforced Concrete", "Unreinforced Masonry", "Adobe / Light Timber"))</f>
        <v>Reinforced Concrete</v>
      </c>
      <c r="F248" s="3">
        <f t="shared" ca="1" si="24"/>
        <v>2005</v>
      </c>
      <c r="G248" s="3">
        <f t="shared" ca="1" si="25"/>
        <v>5</v>
      </c>
      <c r="H248" s="2">
        <f t="shared" ca="1" si="26"/>
        <v>5</v>
      </c>
      <c r="I248" s="4">
        <f t="shared" ca="1" si="27"/>
        <v>17292237</v>
      </c>
    </row>
    <row r="249" spans="1:9">
      <c r="A249" s="1">
        <v>10000248</v>
      </c>
      <c r="B249" s="3" t="str">
        <f t="shared" ca="1" si="21"/>
        <v>Jalpaiguri</v>
      </c>
      <c r="C249" s="3" t="str">
        <f t="shared" ca="1" si="22"/>
        <v>High Risk</v>
      </c>
      <c r="D249" s="3" t="str">
        <f t="shared" ca="1" si="23"/>
        <v>Residential</v>
      </c>
      <c r="E249" s="3" t="str" cm="1">
        <f t="array" aca="1" ref="E249" ca="1">_xlfn.IFS(D249="Industrial", "Reinforced Concrete", D249 = "Commercial", CHOOSE(RANDBETWEEN(1, 2), "Reinforced Concrete", "Unreinforced Masonry"), D249 = "Residential", CHOOSE(RANDBETWEEN(1, 3), "Reinforced Concrete", "Unreinforced Masonry", "Adobe / Light Timber"))</f>
        <v>Adobe / Light Timber</v>
      </c>
      <c r="F249" s="3">
        <f t="shared" ca="1" si="24"/>
        <v>2019</v>
      </c>
      <c r="G249" s="3">
        <f t="shared" ca="1" si="25"/>
        <v>1</v>
      </c>
      <c r="H249" s="2">
        <f t="shared" ca="1" si="26"/>
        <v>0</v>
      </c>
      <c r="I249" s="4">
        <f t="shared" ca="1" si="27"/>
        <v>471256</v>
      </c>
    </row>
    <row r="250" spans="1:9">
      <c r="A250" s="1">
        <v>10000249</v>
      </c>
      <c r="B250" s="3" t="str">
        <f t="shared" ca="1" si="21"/>
        <v>Hooghly</v>
      </c>
      <c r="C250" s="3" t="str">
        <f t="shared" ca="1" si="22"/>
        <v>Moderate Risk</v>
      </c>
      <c r="D250" s="3" t="str">
        <f t="shared" ca="1" si="23"/>
        <v>Residential</v>
      </c>
      <c r="E250" s="3" t="str" cm="1">
        <f t="array" aca="1" ref="E250" ca="1">_xlfn.IFS(D250="Industrial", "Reinforced Concrete", D250 = "Commercial", CHOOSE(RANDBETWEEN(1, 2), "Reinforced Concrete", "Unreinforced Masonry"), D250 = "Residential", CHOOSE(RANDBETWEEN(1, 3), "Reinforced Concrete", "Unreinforced Masonry", "Adobe / Light Timber"))</f>
        <v>Reinforced Concrete</v>
      </c>
      <c r="F250" s="3">
        <f t="shared" ca="1" si="24"/>
        <v>1988</v>
      </c>
      <c r="G250" s="3">
        <f t="shared" ca="1" si="25"/>
        <v>3</v>
      </c>
      <c r="H250" s="2">
        <f t="shared" ca="1" si="26"/>
        <v>5</v>
      </c>
      <c r="I250" s="4">
        <f t="shared" ca="1" si="27"/>
        <v>6375932</v>
      </c>
    </row>
    <row r="251" spans="1:9">
      <c r="A251" s="1">
        <v>10000250</v>
      </c>
      <c r="B251" s="3" t="str">
        <f t="shared" ca="1" si="21"/>
        <v>Hooghly</v>
      </c>
      <c r="C251" s="3" t="str">
        <f t="shared" ca="1" si="22"/>
        <v>Moderate Risk</v>
      </c>
      <c r="D251" s="3" t="str">
        <f t="shared" ca="1" si="23"/>
        <v>Commercial</v>
      </c>
      <c r="E251" s="3" t="str" cm="1">
        <f t="array" aca="1" ref="E251" ca="1">_xlfn.IFS(D251="Industrial", "Reinforced Concrete", D251 = "Commercial", CHOOSE(RANDBETWEEN(1, 2), "Reinforced Concrete", "Unreinforced Masonry"), D251 = "Residential", CHOOSE(RANDBETWEEN(1, 3), "Reinforced Concrete", "Unreinforced Masonry", "Adobe / Light Timber"))</f>
        <v>Unreinforced Masonry</v>
      </c>
      <c r="F251" s="3">
        <f t="shared" ca="1" si="24"/>
        <v>2002</v>
      </c>
      <c r="G251" s="3">
        <f t="shared" ca="1" si="25"/>
        <v>3</v>
      </c>
      <c r="H251" s="2">
        <f t="shared" ca="1" si="26"/>
        <v>1</v>
      </c>
      <c r="I251" s="4">
        <f t="shared" ca="1" si="27"/>
        <v>16752228</v>
      </c>
    </row>
    <row r="252" spans="1:9">
      <c r="A252" s="1">
        <v>10000251</v>
      </c>
      <c r="B252" s="3" t="str">
        <f t="shared" ca="1" si="21"/>
        <v>Kolkata</v>
      </c>
      <c r="C252" s="3" t="str">
        <f t="shared" ca="1" si="22"/>
        <v>Moderate Risk</v>
      </c>
      <c r="D252" s="3" t="str">
        <f t="shared" ca="1" si="23"/>
        <v>Commercial</v>
      </c>
      <c r="E252" s="3" t="str" cm="1">
        <f t="array" aca="1" ref="E252" ca="1">_xlfn.IFS(D252="Industrial", "Reinforced Concrete", D252 = "Commercial", CHOOSE(RANDBETWEEN(1, 2), "Reinforced Concrete", "Unreinforced Masonry"), D252 = "Residential", CHOOSE(RANDBETWEEN(1, 3), "Reinforced Concrete", "Unreinforced Masonry", "Adobe / Light Timber"))</f>
        <v>Unreinforced Masonry</v>
      </c>
      <c r="F252" s="3">
        <f t="shared" ca="1" si="24"/>
        <v>1996</v>
      </c>
      <c r="G252" s="3">
        <f t="shared" ca="1" si="25"/>
        <v>2</v>
      </c>
      <c r="H252" s="2">
        <f t="shared" ca="1" si="26"/>
        <v>0</v>
      </c>
      <c r="I252" s="4">
        <f t="shared" ca="1" si="27"/>
        <v>11058893</v>
      </c>
    </row>
    <row r="253" spans="1:9">
      <c r="A253" s="1">
        <v>10000252</v>
      </c>
      <c r="B253" s="3" t="str">
        <f t="shared" ca="1" si="21"/>
        <v>Jalpaiguri</v>
      </c>
      <c r="C253" s="3" t="str">
        <f t="shared" ca="1" si="22"/>
        <v>High Risk</v>
      </c>
      <c r="D253" s="3" t="str">
        <f t="shared" ca="1" si="23"/>
        <v>Commercial</v>
      </c>
      <c r="E253" s="3" t="str" cm="1">
        <f t="array" aca="1" ref="E253" ca="1">_xlfn.IFS(D253="Industrial", "Reinforced Concrete", D253 = "Commercial", CHOOSE(RANDBETWEEN(1, 2), "Reinforced Concrete", "Unreinforced Masonry"), D253 = "Residential", CHOOSE(RANDBETWEEN(1, 3), "Reinforced Concrete", "Unreinforced Masonry", "Adobe / Light Timber"))</f>
        <v>Unreinforced Masonry</v>
      </c>
      <c r="F253" s="3">
        <f t="shared" ca="1" si="24"/>
        <v>1992</v>
      </c>
      <c r="G253" s="3">
        <f t="shared" ca="1" si="25"/>
        <v>2</v>
      </c>
      <c r="H253" s="2">
        <f t="shared" ca="1" si="26"/>
        <v>0</v>
      </c>
      <c r="I253" s="4">
        <f t="shared" ca="1" si="27"/>
        <v>9357381</v>
      </c>
    </row>
    <row r="254" spans="1:9">
      <c r="A254" s="1">
        <v>10000253</v>
      </c>
      <c r="B254" s="3" t="str">
        <f t="shared" ca="1" si="21"/>
        <v>Kolkata</v>
      </c>
      <c r="C254" s="3" t="str">
        <f t="shared" ca="1" si="22"/>
        <v>Moderate Risk</v>
      </c>
      <c r="D254" s="3" t="str">
        <f t="shared" ca="1" si="23"/>
        <v>Residential</v>
      </c>
      <c r="E254" s="3" t="str" cm="1">
        <f t="array" aca="1" ref="E254" ca="1">_xlfn.IFS(D254="Industrial", "Reinforced Concrete", D254 = "Commercial", CHOOSE(RANDBETWEEN(1, 2), "Reinforced Concrete", "Unreinforced Masonry"), D254 = "Residential", CHOOSE(RANDBETWEEN(1, 3), "Reinforced Concrete", "Unreinforced Masonry", "Adobe / Light Timber"))</f>
        <v>Reinforced Concrete</v>
      </c>
      <c r="F254" s="3">
        <f t="shared" ca="1" si="24"/>
        <v>2007</v>
      </c>
      <c r="G254" s="3">
        <f t="shared" ca="1" si="25"/>
        <v>2</v>
      </c>
      <c r="H254" s="2">
        <f t="shared" ca="1" si="26"/>
        <v>5</v>
      </c>
      <c r="I254" s="4">
        <f t="shared" ca="1" si="27"/>
        <v>4334967</v>
      </c>
    </row>
    <row r="255" spans="1:9">
      <c r="A255" s="1">
        <v>10000254</v>
      </c>
      <c r="B255" s="3" t="str">
        <f t="shared" ca="1" si="21"/>
        <v>Malda</v>
      </c>
      <c r="C255" s="3" t="str">
        <f t="shared" ca="1" si="22"/>
        <v>High Risk</v>
      </c>
      <c r="D255" s="3" t="str">
        <f t="shared" ca="1" si="23"/>
        <v>Residential</v>
      </c>
      <c r="E255" s="3" t="str" cm="1">
        <f t="array" aca="1" ref="E255" ca="1">_xlfn.IFS(D255="Industrial", "Reinforced Concrete", D255 = "Commercial", CHOOSE(RANDBETWEEN(1, 2), "Reinforced Concrete", "Unreinforced Masonry"), D255 = "Residential", CHOOSE(RANDBETWEEN(1, 3), "Reinforced Concrete", "Unreinforced Masonry", "Adobe / Light Timber"))</f>
        <v>Unreinforced Masonry</v>
      </c>
      <c r="F255" s="3">
        <f t="shared" ca="1" si="24"/>
        <v>1997</v>
      </c>
      <c r="G255" s="3">
        <f t="shared" ca="1" si="25"/>
        <v>1</v>
      </c>
      <c r="H255" s="2">
        <f t="shared" ca="1" si="26"/>
        <v>2</v>
      </c>
      <c r="I255" s="4">
        <f t="shared" ca="1" si="27"/>
        <v>5883869</v>
      </c>
    </row>
    <row r="256" spans="1:9">
      <c r="A256" s="1">
        <v>10000255</v>
      </c>
      <c r="B256" s="3" t="str">
        <f t="shared" ca="1" si="21"/>
        <v>Hooghly</v>
      </c>
      <c r="C256" s="3" t="str">
        <f t="shared" ca="1" si="22"/>
        <v>Moderate Risk</v>
      </c>
      <c r="D256" s="3" t="str">
        <f t="shared" ca="1" si="23"/>
        <v>Commercial</v>
      </c>
      <c r="E256" s="3" t="str" cm="1">
        <f t="array" aca="1" ref="E256" ca="1">_xlfn.IFS(D256="Industrial", "Reinforced Concrete", D256 = "Commercial", CHOOSE(RANDBETWEEN(1, 2), "Reinforced Concrete", "Unreinforced Masonry"), D256 = "Residential", CHOOSE(RANDBETWEEN(1, 3), "Reinforced Concrete", "Unreinforced Masonry", "Adobe / Light Timber"))</f>
        <v>Unreinforced Masonry</v>
      </c>
      <c r="F256" s="3">
        <f t="shared" ca="1" si="24"/>
        <v>1998</v>
      </c>
      <c r="G256" s="3">
        <f t="shared" ca="1" si="25"/>
        <v>2</v>
      </c>
      <c r="H256" s="2">
        <f t="shared" ca="1" si="26"/>
        <v>0</v>
      </c>
      <c r="I256" s="4">
        <f t="shared" ca="1" si="27"/>
        <v>16425017</v>
      </c>
    </row>
    <row r="257" spans="1:9">
      <c r="A257" s="1">
        <v>10000256</v>
      </c>
      <c r="B257" s="3" t="str">
        <f t="shared" ca="1" si="21"/>
        <v>Hooghly</v>
      </c>
      <c r="C257" s="3" t="str">
        <f t="shared" ca="1" si="22"/>
        <v>Moderate Risk</v>
      </c>
      <c r="D257" s="3" t="str">
        <f t="shared" ca="1" si="23"/>
        <v>Commercial</v>
      </c>
      <c r="E257" s="3" t="str" cm="1">
        <f t="array" aca="1" ref="E257" ca="1">_xlfn.IFS(D257="Industrial", "Reinforced Concrete", D257 = "Commercial", CHOOSE(RANDBETWEEN(1, 2), "Reinforced Concrete", "Unreinforced Masonry"), D257 = "Residential", CHOOSE(RANDBETWEEN(1, 3), "Reinforced Concrete", "Unreinforced Masonry", "Adobe / Light Timber"))</f>
        <v>Reinforced Concrete</v>
      </c>
      <c r="F257" s="3">
        <f t="shared" ca="1" si="24"/>
        <v>2020</v>
      </c>
      <c r="G257" s="3">
        <f t="shared" ca="1" si="25"/>
        <v>4</v>
      </c>
      <c r="H257" s="2">
        <f t="shared" ca="1" si="26"/>
        <v>5</v>
      </c>
      <c r="I257" s="4">
        <f t="shared" ca="1" si="27"/>
        <v>15821608</v>
      </c>
    </row>
    <row r="258" spans="1:9">
      <c r="A258" s="1">
        <v>10000257</v>
      </c>
      <c r="B258" s="3" t="str">
        <f t="shared" ca="1" si="21"/>
        <v>Malda</v>
      </c>
      <c r="C258" s="3" t="str">
        <f t="shared" ca="1" si="22"/>
        <v>High Risk</v>
      </c>
      <c r="D258" s="3" t="str">
        <f t="shared" ca="1" si="23"/>
        <v>Commercial</v>
      </c>
      <c r="E258" s="3" t="str" cm="1">
        <f t="array" aca="1" ref="E258" ca="1">_xlfn.IFS(D258="Industrial", "Reinforced Concrete", D258 = "Commercial", CHOOSE(RANDBETWEEN(1, 2), "Reinforced Concrete", "Unreinforced Masonry"), D258 = "Residential", CHOOSE(RANDBETWEEN(1, 3), "Reinforced Concrete", "Unreinforced Masonry", "Adobe / Light Timber"))</f>
        <v>Unreinforced Masonry</v>
      </c>
      <c r="F258" s="3">
        <f t="shared" ca="1" si="24"/>
        <v>1993</v>
      </c>
      <c r="G258" s="3">
        <f t="shared" ca="1" si="25"/>
        <v>1</v>
      </c>
      <c r="H258" s="2">
        <f t="shared" ca="1" si="26"/>
        <v>0</v>
      </c>
      <c r="I258" s="4">
        <f t="shared" ca="1" si="27"/>
        <v>9244456</v>
      </c>
    </row>
    <row r="259" spans="1:9">
      <c r="A259" s="1">
        <v>10000258</v>
      </c>
      <c r="B259" s="3" t="str">
        <f t="shared" ref="B259:B322" ca="1" si="28">CHOOSE(RANDBETWEEN(1, 6),"South 24 Parganas", "Malda", "Jalpaiguri","Kolkata","Hooghly","Paschim Medinipur")</f>
        <v>Malda</v>
      </c>
      <c r="C259" s="3" t="str">
        <f t="shared" ref="C259:C322" ca="1" si="29">IF(OR(B259 = "South 24 Parganas", B259 = "Malda", B259 = "Jalpaiguri"), "High Risk", "Moderate Risk")</f>
        <v>High Risk</v>
      </c>
      <c r="D259" s="3" t="str">
        <f t="shared" ref="D259:D322" ca="1" si="30">CHOOSE(RANDBETWEEN(1, 3), "Residential","Commercial","Industrial")</f>
        <v>Residential</v>
      </c>
      <c r="E259" s="3" t="str" cm="1">
        <f t="array" aca="1" ref="E259" ca="1">_xlfn.IFS(D259="Industrial", "Reinforced Concrete", D259 = "Commercial", CHOOSE(RANDBETWEEN(1, 2), "Reinforced Concrete", "Unreinforced Masonry"), D259 = "Residential", CHOOSE(RANDBETWEEN(1, 3), "Reinforced Concrete", "Unreinforced Masonry", "Adobe / Light Timber"))</f>
        <v>Adobe / Light Timber</v>
      </c>
      <c r="F259" s="3">
        <f t="shared" ref="F259:F322" ca="1" si="31">RANDBETWEEN(1980, 2024)</f>
        <v>1988</v>
      </c>
      <c r="G259" s="3">
        <f t="shared" ref="G259:G322" ca="1" si="32">IF(E259 = "Adobe / Light Timber", 1, RANDBETWEEN(1, 5))</f>
        <v>1</v>
      </c>
      <c r="H259" s="2">
        <f t="shared" ref="H259:H322" ca="1" si="33">IF(E259="Reinforced Concrete",RANDBETWEEN(3, 5),RANDBETWEEN(0,2))</f>
        <v>0</v>
      </c>
      <c r="I259" s="4">
        <f t="shared" ref="I259:I322" ca="1" si="34">MAX(200000, _xlfn.IFS(D259 = "Industrial", ROUND(_xlfn.NORM.INV(RAND(), 50000000, 10000000), 0), D259 = "Commercial",ROUND(_xlfn.NORM.INV(RAND(), 15000000, 5000000), 0),E259 = "Adobe / Light Timber", ROUND(_xlfn.NORM.INV(RAND(), 500000, 100000), 0),TRUE, ROUND(_xlfn.NORM.INV(RAND(), 4000000, 1500000), 0)))</f>
        <v>540813</v>
      </c>
    </row>
    <row r="260" spans="1:9">
      <c r="A260" s="1">
        <v>10000259</v>
      </c>
      <c r="B260" s="3" t="str">
        <f t="shared" ca="1" si="28"/>
        <v>Kolkata</v>
      </c>
      <c r="C260" s="3" t="str">
        <f t="shared" ca="1" si="29"/>
        <v>Moderate Risk</v>
      </c>
      <c r="D260" s="3" t="str">
        <f t="shared" ca="1" si="30"/>
        <v>Residential</v>
      </c>
      <c r="E260" s="3" t="str" cm="1">
        <f t="array" aca="1" ref="E260" ca="1">_xlfn.IFS(D260="Industrial", "Reinforced Concrete", D260 = "Commercial", CHOOSE(RANDBETWEEN(1, 2), "Reinforced Concrete", "Unreinforced Masonry"), D260 = "Residential", CHOOSE(RANDBETWEEN(1, 3), "Reinforced Concrete", "Unreinforced Masonry", "Adobe / Light Timber"))</f>
        <v>Adobe / Light Timber</v>
      </c>
      <c r="F260" s="3">
        <f t="shared" ca="1" si="31"/>
        <v>1983</v>
      </c>
      <c r="G260" s="3">
        <f t="shared" ca="1" si="32"/>
        <v>1</v>
      </c>
      <c r="H260" s="2">
        <f t="shared" ca="1" si="33"/>
        <v>0</v>
      </c>
      <c r="I260" s="4">
        <f t="shared" ca="1" si="34"/>
        <v>523355</v>
      </c>
    </row>
    <row r="261" spans="1:9">
      <c r="A261" s="1">
        <v>10000260</v>
      </c>
      <c r="B261" s="3" t="str">
        <f t="shared" ca="1" si="28"/>
        <v>Malda</v>
      </c>
      <c r="C261" s="3" t="str">
        <f t="shared" ca="1" si="29"/>
        <v>High Risk</v>
      </c>
      <c r="D261" s="3" t="str">
        <f t="shared" ca="1" si="30"/>
        <v>Industrial</v>
      </c>
      <c r="E261" s="3" t="str" cm="1">
        <f t="array" aca="1" ref="E261" ca="1">_xlfn.IFS(D261="Industrial", "Reinforced Concrete", D261 = "Commercial", CHOOSE(RANDBETWEEN(1, 2), "Reinforced Concrete", "Unreinforced Masonry"), D261 = "Residential", CHOOSE(RANDBETWEEN(1, 3), "Reinforced Concrete", "Unreinforced Masonry", "Adobe / Light Timber"))</f>
        <v>Reinforced Concrete</v>
      </c>
      <c r="F261" s="3">
        <f t="shared" ca="1" si="31"/>
        <v>1990</v>
      </c>
      <c r="G261" s="3">
        <f t="shared" ca="1" si="32"/>
        <v>5</v>
      </c>
      <c r="H261" s="2">
        <f t="shared" ca="1" si="33"/>
        <v>4</v>
      </c>
      <c r="I261" s="4">
        <f t="shared" ca="1" si="34"/>
        <v>53029635</v>
      </c>
    </row>
    <row r="262" spans="1:9">
      <c r="A262" s="1">
        <v>10000261</v>
      </c>
      <c r="B262" s="3" t="str">
        <f t="shared" ca="1" si="28"/>
        <v>South 24 Parganas</v>
      </c>
      <c r="C262" s="3" t="str">
        <f t="shared" ca="1" si="29"/>
        <v>High Risk</v>
      </c>
      <c r="D262" s="3" t="str">
        <f t="shared" ca="1" si="30"/>
        <v>Residential</v>
      </c>
      <c r="E262" s="3" t="str" cm="1">
        <f t="array" aca="1" ref="E262" ca="1">_xlfn.IFS(D262="Industrial", "Reinforced Concrete", D262 = "Commercial", CHOOSE(RANDBETWEEN(1, 2), "Reinforced Concrete", "Unreinforced Masonry"), D262 = "Residential", CHOOSE(RANDBETWEEN(1, 3), "Reinforced Concrete", "Unreinforced Masonry", "Adobe / Light Timber"))</f>
        <v>Reinforced Concrete</v>
      </c>
      <c r="F262" s="3">
        <f t="shared" ca="1" si="31"/>
        <v>2020</v>
      </c>
      <c r="G262" s="3">
        <f t="shared" ca="1" si="32"/>
        <v>3</v>
      </c>
      <c r="H262" s="2">
        <f t="shared" ca="1" si="33"/>
        <v>5</v>
      </c>
      <c r="I262" s="4">
        <f t="shared" ca="1" si="34"/>
        <v>1422277</v>
      </c>
    </row>
    <row r="263" spans="1:9">
      <c r="A263" s="1">
        <v>10000262</v>
      </c>
      <c r="B263" s="3" t="str">
        <f t="shared" ca="1" si="28"/>
        <v>Kolkata</v>
      </c>
      <c r="C263" s="3" t="str">
        <f t="shared" ca="1" si="29"/>
        <v>Moderate Risk</v>
      </c>
      <c r="D263" s="3" t="str">
        <f t="shared" ca="1" si="30"/>
        <v>Commercial</v>
      </c>
      <c r="E263" s="3" t="str" cm="1">
        <f t="array" aca="1" ref="E263" ca="1">_xlfn.IFS(D263="Industrial", "Reinforced Concrete", D263 = "Commercial", CHOOSE(RANDBETWEEN(1, 2), "Reinforced Concrete", "Unreinforced Masonry"), D263 = "Residential", CHOOSE(RANDBETWEEN(1, 3), "Reinforced Concrete", "Unreinforced Masonry", "Adobe / Light Timber"))</f>
        <v>Reinforced Concrete</v>
      </c>
      <c r="F263" s="3">
        <f t="shared" ca="1" si="31"/>
        <v>1995</v>
      </c>
      <c r="G263" s="3">
        <f t="shared" ca="1" si="32"/>
        <v>4</v>
      </c>
      <c r="H263" s="2">
        <f t="shared" ca="1" si="33"/>
        <v>4</v>
      </c>
      <c r="I263" s="4">
        <f t="shared" ca="1" si="34"/>
        <v>9942432</v>
      </c>
    </row>
    <row r="264" spans="1:9">
      <c r="A264" s="1">
        <v>10000263</v>
      </c>
      <c r="B264" s="3" t="str">
        <f t="shared" ca="1" si="28"/>
        <v>Malda</v>
      </c>
      <c r="C264" s="3" t="str">
        <f t="shared" ca="1" si="29"/>
        <v>High Risk</v>
      </c>
      <c r="D264" s="3" t="str">
        <f t="shared" ca="1" si="30"/>
        <v>Commercial</v>
      </c>
      <c r="E264" s="3" t="str" cm="1">
        <f t="array" aca="1" ref="E264" ca="1">_xlfn.IFS(D264="Industrial", "Reinforced Concrete", D264 = "Commercial", CHOOSE(RANDBETWEEN(1, 2), "Reinforced Concrete", "Unreinforced Masonry"), D264 = "Residential", CHOOSE(RANDBETWEEN(1, 3), "Reinforced Concrete", "Unreinforced Masonry", "Adobe / Light Timber"))</f>
        <v>Reinforced Concrete</v>
      </c>
      <c r="F264" s="3">
        <f t="shared" ca="1" si="31"/>
        <v>2007</v>
      </c>
      <c r="G264" s="3">
        <f t="shared" ca="1" si="32"/>
        <v>4</v>
      </c>
      <c r="H264" s="2">
        <f t="shared" ca="1" si="33"/>
        <v>5</v>
      </c>
      <c r="I264" s="4">
        <f t="shared" ca="1" si="34"/>
        <v>11284446</v>
      </c>
    </row>
    <row r="265" spans="1:9">
      <c r="A265" s="1">
        <v>10000264</v>
      </c>
      <c r="B265" s="3" t="str">
        <f t="shared" ca="1" si="28"/>
        <v>South 24 Parganas</v>
      </c>
      <c r="C265" s="3" t="str">
        <f t="shared" ca="1" si="29"/>
        <v>High Risk</v>
      </c>
      <c r="D265" s="3" t="str">
        <f t="shared" ca="1" si="30"/>
        <v>Residential</v>
      </c>
      <c r="E265" s="3" t="str" cm="1">
        <f t="array" aca="1" ref="E265" ca="1">_xlfn.IFS(D265="Industrial", "Reinforced Concrete", D265 = "Commercial", CHOOSE(RANDBETWEEN(1, 2), "Reinforced Concrete", "Unreinforced Masonry"), D265 = "Residential", CHOOSE(RANDBETWEEN(1, 3), "Reinforced Concrete", "Unreinforced Masonry", "Adobe / Light Timber"))</f>
        <v>Reinforced Concrete</v>
      </c>
      <c r="F265" s="3">
        <f t="shared" ca="1" si="31"/>
        <v>2017</v>
      </c>
      <c r="G265" s="3">
        <f t="shared" ca="1" si="32"/>
        <v>3</v>
      </c>
      <c r="H265" s="2">
        <f t="shared" ca="1" si="33"/>
        <v>4</v>
      </c>
      <c r="I265" s="4">
        <f t="shared" ca="1" si="34"/>
        <v>4981845</v>
      </c>
    </row>
    <row r="266" spans="1:9">
      <c r="A266" s="1">
        <v>10000265</v>
      </c>
      <c r="B266" s="3" t="str">
        <f t="shared" ca="1" si="28"/>
        <v>Jalpaiguri</v>
      </c>
      <c r="C266" s="3" t="str">
        <f t="shared" ca="1" si="29"/>
        <v>High Risk</v>
      </c>
      <c r="D266" s="3" t="str">
        <f t="shared" ca="1" si="30"/>
        <v>Commercial</v>
      </c>
      <c r="E266" s="3" t="str" cm="1">
        <f t="array" aca="1" ref="E266" ca="1">_xlfn.IFS(D266="Industrial", "Reinforced Concrete", D266 = "Commercial", CHOOSE(RANDBETWEEN(1, 2), "Reinforced Concrete", "Unreinforced Masonry"), D266 = "Residential", CHOOSE(RANDBETWEEN(1, 3), "Reinforced Concrete", "Unreinforced Masonry", "Adobe / Light Timber"))</f>
        <v>Unreinforced Masonry</v>
      </c>
      <c r="F266" s="3">
        <f t="shared" ca="1" si="31"/>
        <v>2010</v>
      </c>
      <c r="G266" s="3">
        <f t="shared" ca="1" si="32"/>
        <v>5</v>
      </c>
      <c r="H266" s="2">
        <f t="shared" ca="1" si="33"/>
        <v>0</v>
      </c>
      <c r="I266" s="4">
        <f t="shared" ca="1" si="34"/>
        <v>10113708</v>
      </c>
    </row>
    <row r="267" spans="1:9">
      <c r="A267" s="1">
        <v>10000266</v>
      </c>
      <c r="B267" s="3" t="str">
        <f t="shared" ca="1" si="28"/>
        <v>Paschim Medinipur</v>
      </c>
      <c r="C267" s="3" t="str">
        <f t="shared" ca="1" si="29"/>
        <v>Moderate Risk</v>
      </c>
      <c r="D267" s="3" t="str">
        <f t="shared" ca="1" si="30"/>
        <v>Commercial</v>
      </c>
      <c r="E267" s="3" t="str" cm="1">
        <f t="array" aca="1" ref="E267" ca="1">_xlfn.IFS(D267="Industrial", "Reinforced Concrete", D267 = "Commercial", CHOOSE(RANDBETWEEN(1, 2), "Reinforced Concrete", "Unreinforced Masonry"), D267 = "Residential", CHOOSE(RANDBETWEEN(1, 3), "Reinforced Concrete", "Unreinforced Masonry", "Adobe / Light Timber"))</f>
        <v>Unreinforced Masonry</v>
      </c>
      <c r="F267" s="3">
        <f t="shared" ca="1" si="31"/>
        <v>1993</v>
      </c>
      <c r="G267" s="3">
        <f t="shared" ca="1" si="32"/>
        <v>5</v>
      </c>
      <c r="H267" s="2">
        <f t="shared" ca="1" si="33"/>
        <v>0</v>
      </c>
      <c r="I267" s="4">
        <f t="shared" ca="1" si="34"/>
        <v>15267885</v>
      </c>
    </row>
    <row r="268" spans="1:9">
      <c r="A268" s="1">
        <v>10000267</v>
      </c>
      <c r="B268" s="3" t="str">
        <f t="shared" ca="1" si="28"/>
        <v>Hooghly</v>
      </c>
      <c r="C268" s="3" t="str">
        <f t="shared" ca="1" si="29"/>
        <v>Moderate Risk</v>
      </c>
      <c r="D268" s="3" t="str">
        <f t="shared" ca="1" si="30"/>
        <v>Commercial</v>
      </c>
      <c r="E268" s="3" t="str" cm="1">
        <f t="array" aca="1" ref="E268" ca="1">_xlfn.IFS(D268="Industrial", "Reinforced Concrete", D268 = "Commercial", CHOOSE(RANDBETWEEN(1, 2), "Reinforced Concrete", "Unreinforced Masonry"), D268 = "Residential", CHOOSE(RANDBETWEEN(1, 3), "Reinforced Concrete", "Unreinforced Masonry", "Adobe / Light Timber"))</f>
        <v>Unreinforced Masonry</v>
      </c>
      <c r="F268" s="3">
        <f t="shared" ca="1" si="31"/>
        <v>2023</v>
      </c>
      <c r="G268" s="3">
        <f t="shared" ca="1" si="32"/>
        <v>3</v>
      </c>
      <c r="H268" s="2">
        <f t="shared" ca="1" si="33"/>
        <v>0</v>
      </c>
      <c r="I268" s="4">
        <f t="shared" ca="1" si="34"/>
        <v>14711509</v>
      </c>
    </row>
    <row r="269" spans="1:9">
      <c r="A269" s="1">
        <v>10000268</v>
      </c>
      <c r="B269" s="3" t="str">
        <f t="shared" ca="1" si="28"/>
        <v>Kolkata</v>
      </c>
      <c r="C269" s="3" t="str">
        <f t="shared" ca="1" si="29"/>
        <v>Moderate Risk</v>
      </c>
      <c r="D269" s="3" t="str">
        <f t="shared" ca="1" si="30"/>
        <v>Commercial</v>
      </c>
      <c r="E269" s="3" t="str" cm="1">
        <f t="array" aca="1" ref="E269" ca="1">_xlfn.IFS(D269="Industrial", "Reinforced Concrete", D269 = "Commercial", CHOOSE(RANDBETWEEN(1, 2), "Reinforced Concrete", "Unreinforced Masonry"), D269 = "Residential", CHOOSE(RANDBETWEEN(1, 3), "Reinforced Concrete", "Unreinforced Masonry", "Adobe / Light Timber"))</f>
        <v>Reinforced Concrete</v>
      </c>
      <c r="F269" s="3">
        <f t="shared" ca="1" si="31"/>
        <v>1988</v>
      </c>
      <c r="G269" s="3">
        <f t="shared" ca="1" si="32"/>
        <v>2</v>
      </c>
      <c r="H269" s="2">
        <f t="shared" ca="1" si="33"/>
        <v>5</v>
      </c>
      <c r="I269" s="4">
        <f t="shared" ca="1" si="34"/>
        <v>20738644</v>
      </c>
    </row>
    <row r="270" spans="1:9">
      <c r="A270" s="1">
        <v>10000269</v>
      </c>
      <c r="B270" s="3" t="str">
        <f t="shared" ca="1" si="28"/>
        <v>Jalpaiguri</v>
      </c>
      <c r="C270" s="3" t="str">
        <f t="shared" ca="1" si="29"/>
        <v>High Risk</v>
      </c>
      <c r="D270" s="3" t="str">
        <f t="shared" ca="1" si="30"/>
        <v>Commercial</v>
      </c>
      <c r="E270" s="3" t="str" cm="1">
        <f t="array" aca="1" ref="E270" ca="1">_xlfn.IFS(D270="Industrial", "Reinforced Concrete", D270 = "Commercial", CHOOSE(RANDBETWEEN(1, 2), "Reinforced Concrete", "Unreinforced Masonry"), D270 = "Residential", CHOOSE(RANDBETWEEN(1, 3), "Reinforced Concrete", "Unreinforced Masonry", "Adobe / Light Timber"))</f>
        <v>Reinforced Concrete</v>
      </c>
      <c r="F270" s="3">
        <f t="shared" ca="1" si="31"/>
        <v>2001</v>
      </c>
      <c r="G270" s="3">
        <f t="shared" ca="1" si="32"/>
        <v>5</v>
      </c>
      <c r="H270" s="2">
        <f t="shared" ca="1" si="33"/>
        <v>3</v>
      </c>
      <c r="I270" s="4">
        <f t="shared" ca="1" si="34"/>
        <v>20352005</v>
      </c>
    </row>
    <row r="271" spans="1:9">
      <c r="A271" s="1">
        <v>10000270</v>
      </c>
      <c r="B271" s="3" t="str">
        <f t="shared" ca="1" si="28"/>
        <v>South 24 Parganas</v>
      </c>
      <c r="C271" s="3" t="str">
        <f t="shared" ca="1" si="29"/>
        <v>High Risk</v>
      </c>
      <c r="D271" s="3" t="str">
        <f t="shared" ca="1" si="30"/>
        <v>Residential</v>
      </c>
      <c r="E271" s="3" t="str" cm="1">
        <f t="array" aca="1" ref="E271" ca="1">_xlfn.IFS(D271="Industrial", "Reinforced Concrete", D271 = "Commercial", CHOOSE(RANDBETWEEN(1, 2), "Reinforced Concrete", "Unreinforced Masonry"), D271 = "Residential", CHOOSE(RANDBETWEEN(1, 3), "Reinforced Concrete", "Unreinforced Masonry", "Adobe / Light Timber"))</f>
        <v>Reinforced Concrete</v>
      </c>
      <c r="F271" s="3">
        <f t="shared" ca="1" si="31"/>
        <v>1983</v>
      </c>
      <c r="G271" s="3">
        <f t="shared" ca="1" si="32"/>
        <v>3</v>
      </c>
      <c r="H271" s="2">
        <f t="shared" ca="1" si="33"/>
        <v>3</v>
      </c>
      <c r="I271" s="4">
        <f t="shared" ca="1" si="34"/>
        <v>4734037</v>
      </c>
    </row>
    <row r="272" spans="1:9">
      <c r="A272" s="1">
        <v>10000271</v>
      </c>
      <c r="B272" s="3" t="str">
        <f t="shared" ca="1" si="28"/>
        <v>Kolkata</v>
      </c>
      <c r="C272" s="3" t="str">
        <f t="shared" ca="1" si="29"/>
        <v>Moderate Risk</v>
      </c>
      <c r="D272" s="3" t="str">
        <f t="shared" ca="1" si="30"/>
        <v>Commercial</v>
      </c>
      <c r="E272" s="3" t="str" cm="1">
        <f t="array" aca="1" ref="E272" ca="1">_xlfn.IFS(D272="Industrial", "Reinforced Concrete", D272 = "Commercial", CHOOSE(RANDBETWEEN(1, 2), "Reinforced Concrete", "Unreinforced Masonry"), D272 = "Residential", CHOOSE(RANDBETWEEN(1, 3), "Reinforced Concrete", "Unreinforced Masonry", "Adobe / Light Timber"))</f>
        <v>Unreinforced Masonry</v>
      </c>
      <c r="F272" s="3">
        <f t="shared" ca="1" si="31"/>
        <v>2010</v>
      </c>
      <c r="G272" s="3">
        <f t="shared" ca="1" si="32"/>
        <v>1</v>
      </c>
      <c r="H272" s="2">
        <f t="shared" ca="1" si="33"/>
        <v>1</v>
      </c>
      <c r="I272" s="4">
        <f t="shared" ca="1" si="34"/>
        <v>16622729</v>
      </c>
    </row>
    <row r="273" spans="1:9">
      <c r="A273" s="1">
        <v>10000272</v>
      </c>
      <c r="B273" s="3" t="str">
        <f t="shared" ca="1" si="28"/>
        <v>Jalpaiguri</v>
      </c>
      <c r="C273" s="3" t="str">
        <f t="shared" ca="1" si="29"/>
        <v>High Risk</v>
      </c>
      <c r="D273" s="3" t="str">
        <f t="shared" ca="1" si="30"/>
        <v>Residential</v>
      </c>
      <c r="E273" s="3" t="str" cm="1">
        <f t="array" aca="1" ref="E273" ca="1">_xlfn.IFS(D273="Industrial", "Reinforced Concrete", D273 = "Commercial", CHOOSE(RANDBETWEEN(1, 2), "Reinforced Concrete", "Unreinforced Masonry"), D273 = "Residential", CHOOSE(RANDBETWEEN(1, 3), "Reinforced Concrete", "Unreinforced Masonry", "Adobe / Light Timber"))</f>
        <v>Unreinforced Masonry</v>
      </c>
      <c r="F273" s="3">
        <f t="shared" ca="1" si="31"/>
        <v>1980</v>
      </c>
      <c r="G273" s="3">
        <f t="shared" ca="1" si="32"/>
        <v>1</v>
      </c>
      <c r="H273" s="2">
        <f t="shared" ca="1" si="33"/>
        <v>0</v>
      </c>
      <c r="I273" s="4">
        <f t="shared" ca="1" si="34"/>
        <v>3866786</v>
      </c>
    </row>
    <row r="274" spans="1:9">
      <c r="A274" s="1">
        <v>10000273</v>
      </c>
      <c r="B274" s="3" t="str">
        <f t="shared" ca="1" si="28"/>
        <v>South 24 Parganas</v>
      </c>
      <c r="C274" s="3" t="str">
        <f t="shared" ca="1" si="29"/>
        <v>High Risk</v>
      </c>
      <c r="D274" s="3" t="str">
        <f t="shared" ca="1" si="30"/>
        <v>Commercial</v>
      </c>
      <c r="E274" s="3" t="str" cm="1">
        <f t="array" aca="1" ref="E274" ca="1">_xlfn.IFS(D274="Industrial", "Reinforced Concrete", D274 = "Commercial", CHOOSE(RANDBETWEEN(1, 2), "Reinforced Concrete", "Unreinforced Masonry"), D274 = "Residential", CHOOSE(RANDBETWEEN(1, 3), "Reinforced Concrete", "Unreinforced Masonry", "Adobe / Light Timber"))</f>
        <v>Reinforced Concrete</v>
      </c>
      <c r="F274" s="3">
        <f t="shared" ca="1" si="31"/>
        <v>1997</v>
      </c>
      <c r="G274" s="3">
        <f t="shared" ca="1" si="32"/>
        <v>2</v>
      </c>
      <c r="H274" s="2">
        <f t="shared" ca="1" si="33"/>
        <v>5</v>
      </c>
      <c r="I274" s="4">
        <f t="shared" ca="1" si="34"/>
        <v>14753840</v>
      </c>
    </row>
    <row r="275" spans="1:9">
      <c r="A275" s="1">
        <v>10000274</v>
      </c>
      <c r="B275" s="3" t="str">
        <f t="shared" ca="1" si="28"/>
        <v>Hooghly</v>
      </c>
      <c r="C275" s="3" t="str">
        <f t="shared" ca="1" si="29"/>
        <v>Moderate Risk</v>
      </c>
      <c r="D275" s="3" t="str">
        <f t="shared" ca="1" si="30"/>
        <v>Residential</v>
      </c>
      <c r="E275" s="3" t="str" cm="1">
        <f t="array" aca="1" ref="E275" ca="1">_xlfn.IFS(D275="Industrial", "Reinforced Concrete", D275 = "Commercial", CHOOSE(RANDBETWEEN(1, 2), "Reinforced Concrete", "Unreinforced Masonry"), D275 = "Residential", CHOOSE(RANDBETWEEN(1, 3), "Reinforced Concrete", "Unreinforced Masonry", "Adobe / Light Timber"))</f>
        <v>Unreinforced Masonry</v>
      </c>
      <c r="F275" s="3">
        <f t="shared" ca="1" si="31"/>
        <v>1984</v>
      </c>
      <c r="G275" s="3">
        <f t="shared" ca="1" si="32"/>
        <v>5</v>
      </c>
      <c r="H275" s="2">
        <f t="shared" ca="1" si="33"/>
        <v>0</v>
      </c>
      <c r="I275" s="4">
        <f t="shared" ca="1" si="34"/>
        <v>2885352</v>
      </c>
    </row>
    <row r="276" spans="1:9">
      <c r="A276" s="1">
        <v>10000275</v>
      </c>
      <c r="B276" s="3" t="str">
        <f t="shared" ca="1" si="28"/>
        <v>Malda</v>
      </c>
      <c r="C276" s="3" t="str">
        <f t="shared" ca="1" si="29"/>
        <v>High Risk</v>
      </c>
      <c r="D276" s="3" t="str">
        <f t="shared" ca="1" si="30"/>
        <v>Residential</v>
      </c>
      <c r="E276" s="3" t="str" cm="1">
        <f t="array" aca="1" ref="E276" ca="1">_xlfn.IFS(D276="Industrial", "Reinforced Concrete", D276 = "Commercial", CHOOSE(RANDBETWEEN(1, 2), "Reinforced Concrete", "Unreinforced Masonry"), D276 = "Residential", CHOOSE(RANDBETWEEN(1, 3), "Reinforced Concrete", "Unreinforced Masonry", "Adobe / Light Timber"))</f>
        <v>Adobe / Light Timber</v>
      </c>
      <c r="F276" s="3">
        <f t="shared" ca="1" si="31"/>
        <v>1990</v>
      </c>
      <c r="G276" s="3">
        <f t="shared" ca="1" si="32"/>
        <v>1</v>
      </c>
      <c r="H276" s="2">
        <f t="shared" ca="1" si="33"/>
        <v>0</v>
      </c>
      <c r="I276" s="4">
        <f t="shared" ca="1" si="34"/>
        <v>389826</v>
      </c>
    </row>
    <row r="277" spans="1:9">
      <c r="A277" s="1">
        <v>10000276</v>
      </c>
      <c r="B277" s="3" t="str">
        <f t="shared" ca="1" si="28"/>
        <v>Jalpaiguri</v>
      </c>
      <c r="C277" s="3" t="str">
        <f t="shared" ca="1" si="29"/>
        <v>High Risk</v>
      </c>
      <c r="D277" s="3" t="str">
        <f t="shared" ca="1" si="30"/>
        <v>Industrial</v>
      </c>
      <c r="E277" s="3" t="str" cm="1">
        <f t="array" aca="1" ref="E277" ca="1">_xlfn.IFS(D277="Industrial", "Reinforced Concrete", D277 = "Commercial", CHOOSE(RANDBETWEEN(1, 2), "Reinforced Concrete", "Unreinforced Masonry"), D277 = "Residential", CHOOSE(RANDBETWEEN(1, 3), "Reinforced Concrete", "Unreinforced Masonry", "Adobe / Light Timber"))</f>
        <v>Reinforced Concrete</v>
      </c>
      <c r="F277" s="3">
        <f t="shared" ca="1" si="31"/>
        <v>1999</v>
      </c>
      <c r="G277" s="3">
        <f t="shared" ca="1" si="32"/>
        <v>1</v>
      </c>
      <c r="H277" s="2">
        <f t="shared" ca="1" si="33"/>
        <v>3</v>
      </c>
      <c r="I277" s="4">
        <f t="shared" ca="1" si="34"/>
        <v>42153244</v>
      </c>
    </row>
    <row r="278" spans="1:9">
      <c r="A278" s="1">
        <v>10000277</v>
      </c>
      <c r="B278" s="3" t="str">
        <f t="shared" ca="1" si="28"/>
        <v>Paschim Medinipur</v>
      </c>
      <c r="C278" s="3" t="str">
        <f t="shared" ca="1" si="29"/>
        <v>Moderate Risk</v>
      </c>
      <c r="D278" s="3" t="str">
        <f t="shared" ca="1" si="30"/>
        <v>Commercial</v>
      </c>
      <c r="E278" s="3" t="str" cm="1">
        <f t="array" aca="1" ref="E278" ca="1">_xlfn.IFS(D278="Industrial", "Reinforced Concrete", D278 = "Commercial", CHOOSE(RANDBETWEEN(1, 2), "Reinforced Concrete", "Unreinforced Masonry"), D278 = "Residential", CHOOSE(RANDBETWEEN(1, 3), "Reinforced Concrete", "Unreinforced Masonry", "Adobe / Light Timber"))</f>
        <v>Unreinforced Masonry</v>
      </c>
      <c r="F278" s="3">
        <f t="shared" ca="1" si="31"/>
        <v>1995</v>
      </c>
      <c r="G278" s="3">
        <f t="shared" ca="1" si="32"/>
        <v>1</v>
      </c>
      <c r="H278" s="2">
        <f t="shared" ca="1" si="33"/>
        <v>1</v>
      </c>
      <c r="I278" s="4">
        <f t="shared" ca="1" si="34"/>
        <v>16619495</v>
      </c>
    </row>
    <row r="279" spans="1:9">
      <c r="A279" s="1">
        <v>10000278</v>
      </c>
      <c r="B279" s="3" t="str">
        <f t="shared" ca="1" si="28"/>
        <v>Malda</v>
      </c>
      <c r="C279" s="3" t="str">
        <f t="shared" ca="1" si="29"/>
        <v>High Risk</v>
      </c>
      <c r="D279" s="3" t="str">
        <f t="shared" ca="1" si="30"/>
        <v>Industrial</v>
      </c>
      <c r="E279" s="3" t="str" cm="1">
        <f t="array" aca="1" ref="E279" ca="1">_xlfn.IFS(D279="Industrial", "Reinforced Concrete", D279 = "Commercial", CHOOSE(RANDBETWEEN(1, 2), "Reinforced Concrete", "Unreinforced Masonry"), D279 = "Residential", CHOOSE(RANDBETWEEN(1, 3), "Reinforced Concrete", "Unreinforced Masonry", "Adobe / Light Timber"))</f>
        <v>Reinforced Concrete</v>
      </c>
      <c r="F279" s="3">
        <f t="shared" ca="1" si="31"/>
        <v>2023</v>
      </c>
      <c r="G279" s="3">
        <f t="shared" ca="1" si="32"/>
        <v>2</v>
      </c>
      <c r="H279" s="2">
        <f t="shared" ca="1" si="33"/>
        <v>5</v>
      </c>
      <c r="I279" s="4">
        <f t="shared" ca="1" si="34"/>
        <v>50436649</v>
      </c>
    </row>
    <row r="280" spans="1:9">
      <c r="A280" s="1">
        <v>10000279</v>
      </c>
      <c r="B280" s="3" t="str">
        <f t="shared" ca="1" si="28"/>
        <v>South 24 Parganas</v>
      </c>
      <c r="C280" s="3" t="str">
        <f t="shared" ca="1" si="29"/>
        <v>High Risk</v>
      </c>
      <c r="D280" s="3" t="str">
        <f t="shared" ca="1" si="30"/>
        <v>Industrial</v>
      </c>
      <c r="E280" s="3" t="str" cm="1">
        <f t="array" aca="1" ref="E280" ca="1">_xlfn.IFS(D280="Industrial", "Reinforced Concrete", D280 = "Commercial", CHOOSE(RANDBETWEEN(1, 2), "Reinforced Concrete", "Unreinforced Masonry"), D280 = "Residential", CHOOSE(RANDBETWEEN(1, 3), "Reinforced Concrete", "Unreinforced Masonry", "Adobe / Light Timber"))</f>
        <v>Reinforced Concrete</v>
      </c>
      <c r="F280" s="3">
        <f t="shared" ca="1" si="31"/>
        <v>2008</v>
      </c>
      <c r="G280" s="3">
        <f t="shared" ca="1" si="32"/>
        <v>5</v>
      </c>
      <c r="H280" s="2">
        <f t="shared" ca="1" si="33"/>
        <v>5</v>
      </c>
      <c r="I280" s="4">
        <f t="shared" ca="1" si="34"/>
        <v>42024961</v>
      </c>
    </row>
    <row r="281" spans="1:9">
      <c r="A281" s="1">
        <v>10000280</v>
      </c>
      <c r="B281" s="3" t="str">
        <f t="shared" ca="1" si="28"/>
        <v>Jalpaiguri</v>
      </c>
      <c r="C281" s="3" t="str">
        <f t="shared" ca="1" si="29"/>
        <v>High Risk</v>
      </c>
      <c r="D281" s="3" t="str">
        <f t="shared" ca="1" si="30"/>
        <v>Industrial</v>
      </c>
      <c r="E281" s="3" t="str" cm="1">
        <f t="array" aca="1" ref="E281" ca="1">_xlfn.IFS(D281="Industrial", "Reinforced Concrete", D281 = "Commercial", CHOOSE(RANDBETWEEN(1, 2), "Reinforced Concrete", "Unreinforced Masonry"), D281 = "Residential", CHOOSE(RANDBETWEEN(1, 3), "Reinforced Concrete", "Unreinforced Masonry", "Adobe / Light Timber"))</f>
        <v>Reinforced Concrete</v>
      </c>
      <c r="F281" s="3">
        <f t="shared" ca="1" si="31"/>
        <v>1988</v>
      </c>
      <c r="G281" s="3">
        <f t="shared" ca="1" si="32"/>
        <v>5</v>
      </c>
      <c r="H281" s="2">
        <f t="shared" ca="1" si="33"/>
        <v>4</v>
      </c>
      <c r="I281" s="4">
        <f t="shared" ca="1" si="34"/>
        <v>66018556</v>
      </c>
    </row>
    <row r="282" spans="1:9">
      <c r="A282" s="1">
        <v>10000281</v>
      </c>
      <c r="B282" s="3" t="str">
        <f t="shared" ca="1" si="28"/>
        <v>Jalpaiguri</v>
      </c>
      <c r="C282" s="3" t="str">
        <f t="shared" ca="1" si="29"/>
        <v>High Risk</v>
      </c>
      <c r="D282" s="3" t="str">
        <f t="shared" ca="1" si="30"/>
        <v>Industrial</v>
      </c>
      <c r="E282" s="3" t="str" cm="1">
        <f t="array" aca="1" ref="E282" ca="1">_xlfn.IFS(D282="Industrial", "Reinforced Concrete", D282 = "Commercial", CHOOSE(RANDBETWEEN(1, 2), "Reinforced Concrete", "Unreinforced Masonry"), D282 = "Residential", CHOOSE(RANDBETWEEN(1, 3), "Reinforced Concrete", "Unreinforced Masonry", "Adobe / Light Timber"))</f>
        <v>Reinforced Concrete</v>
      </c>
      <c r="F282" s="3">
        <f t="shared" ca="1" si="31"/>
        <v>2000</v>
      </c>
      <c r="G282" s="3">
        <f t="shared" ca="1" si="32"/>
        <v>2</v>
      </c>
      <c r="H282" s="2">
        <f t="shared" ca="1" si="33"/>
        <v>4</v>
      </c>
      <c r="I282" s="4">
        <f t="shared" ca="1" si="34"/>
        <v>44464939</v>
      </c>
    </row>
    <row r="283" spans="1:9">
      <c r="A283" s="1">
        <v>10000282</v>
      </c>
      <c r="B283" s="3" t="str">
        <f t="shared" ca="1" si="28"/>
        <v>South 24 Parganas</v>
      </c>
      <c r="C283" s="3" t="str">
        <f t="shared" ca="1" si="29"/>
        <v>High Risk</v>
      </c>
      <c r="D283" s="3" t="str">
        <f t="shared" ca="1" si="30"/>
        <v>Industrial</v>
      </c>
      <c r="E283" s="3" t="str" cm="1">
        <f t="array" aca="1" ref="E283" ca="1">_xlfn.IFS(D283="Industrial", "Reinforced Concrete", D283 = "Commercial", CHOOSE(RANDBETWEEN(1, 2), "Reinforced Concrete", "Unreinforced Masonry"), D283 = "Residential", CHOOSE(RANDBETWEEN(1, 3), "Reinforced Concrete", "Unreinforced Masonry", "Adobe / Light Timber"))</f>
        <v>Reinforced Concrete</v>
      </c>
      <c r="F283" s="3">
        <f t="shared" ca="1" si="31"/>
        <v>2012</v>
      </c>
      <c r="G283" s="3">
        <f t="shared" ca="1" si="32"/>
        <v>5</v>
      </c>
      <c r="H283" s="2">
        <f t="shared" ca="1" si="33"/>
        <v>4</v>
      </c>
      <c r="I283" s="4">
        <f t="shared" ca="1" si="34"/>
        <v>57801671</v>
      </c>
    </row>
    <row r="284" spans="1:9">
      <c r="A284" s="1">
        <v>10000283</v>
      </c>
      <c r="B284" s="3" t="str">
        <f t="shared" ca="1" si="28"/>
        <v>South 24 Parganas</v>
      </c>
      <c r="C284" s="3" t="str">
        <f t="shared" ca="1" si="29"/>
        <v>High Risk</v>
      </c>
      <c r="D284" s="3" t="str">
        <f t="shared" ca="1" si="30"/>
        <v>Residential</v>
      </c>
      <c r="E284" s="3" t="str" cm="1">
        <f t="array" aca="1" ref="E284" ca="1">_xlfn.IFS(D284="Industrial", "Reinforced Concrete", D284 = "Commercial", CHOOSE(RANDBETWEEN(1, 2), "Reinforced Concrete", "Unreinforced Masonry"), D284 = "Residential", CHOOSE(RANDBETWEEN(1, 3), "Reinforced Concrete", "Unreinforced Masonry", "Adobe / Light Timber"))</f>
        <v>Reinforced Concrete</v>
      </c>
      <c r="F284" s="3">
        <f t="shared" ca="1" si="31"/>
        <v>2019</v>
      </c>
      <c r="G284" s="3">
        <f t="shared" ca="1" si="32"/>
        <v>3</v>
      </c>
      <c r="H284" s="2">
        <f t="shared" ca="1" si="33"/>
        <v>5</v>
      </c>
      <c r="I284" s="4">
        <f t="shared" ca="1" si="34"/>
        <v>2990322</v>
      </c>
    </row>
    <row r="285" spans="1:9">
      <c r="A285" s="1">
        <v>10000284</v>
      </c>
      <c r="B285" s="3" t="str">
        <f t="shared" ca="1" si="28"/>
        <v>Hooghly</v>
      </c>
      <c r="C285" s="3" t="str">
        <f t="shared" ca="1" si="29"/>
        <v>Moderate Risk</v>
      </c>
      <c r="D285" s="3" t="str">
        <f t="shared" ca="1" si="30"/>
        <v>Commercial</v>
      </c>
      <c r="E285" s="3" t="str" cm="1">
        <f t="array" aca="1" ref="E285" ca="1">_xlfn.IFS(D285="Industrial", "Reinforced Concrete", D285 = "Commercial", CHOOSE(RANDBETWEEN(1, 2), "Reinforced Concrete", "Unreinforced Masonry"), D285 = "Residential", CHOOSE(RANDBETWEEN(1, 3), "Reinforced Concrete", "Unreinforced Masonry", "Adobe / Light Timber"))</f>
        <v>Unreinforced Masonry</v>
      </c>
      <c r="F285" s="3">
        <f t="shared" ca="1" si="31"/>
        <v>1983</v>
      </c>
      <c r="G285" s="3">
        <f t="shared" ca="1" si="32"/>
        <v>4</v>
      </c>
      <c r="H285" s="2">
        <f t="shared" ca="1" si="33"/>
        <v>1</v>
      </c>
      <c r="I285" s="4">
        <f t="shared" ca="1" si="34"/>
        <v>12163521</v>
      </c>
    </row>
    <row r="286" spans="1:9">
      <c r="A286" s="1">
        <v>10000285</v>
      </c>
      <c r="B286" s="3" t="str">
        <f t="shared" ca="1" si="28"/>
        <v>Paschim Medinipur</v>
      </c>
      <c r="C286" s="3" t="str">
        <f t="shared" ca="1" si="29"/>
        <v>Moderate Risk</v>
      </c>
      <c r="D286" s="3" t="str">
        <f t="shared" ca="1" si="30"/>
        <v>Industrial</v>
      </c>
      <c r="E286" s="3" t="str" cm="1">
        <f t="array" aca="1" ref="E286" ca="1">_xlfn.IFS(D286="Industrial", "Reinforced Concrete", D286 = "Commercial", CHOOSE(RANDBETWEEN(1, 2), "Reinforced Concrete", "Unreinforced Masonry"), D286 = "Residential", CHOOSE(RANDBETWEEN(1, 3), "Reinforced Concrete", "Unreinforced Masonry", "Adobe / Light Timber"))</f>
        <v>Reinforced Concrete</v>
      </c>
      <c r="F286" s="3">
        <f t="shared" ca="1" si="31"/>
        <v>2000</v>
      </c>
      <c r="G286" s="3">
        <f t="shared" ca="1" si="32"/>
        <v>2</v>
      </c>
      <c r="H286" s="2">
        <f t="shared" ca="1" si="33"/>
        <v>4</v>
      </c>
      <c r="I286" s="4">
        <f t="shared" ca="1" si="34"/>
        <v>57532299</v>
      </c>
    </row>
    <row r="287" spans="1:9">
      <c r="A287" s="1">
        <v>10000286</v>
      </c>
      <c r="B287" s="3" t="str">
        <f t="shared" ca="1" si="28"/>
        <v>Kolkata</v>
      </c>
      <c r="C287" s="3" t="str">
        <f t="shared" ca="1" si="29"/>
        <v>Moderate Risk</v>
      </c>
      <c r="D287" s="3" t="str">
        <f t="shared" ca="1" si="30"/>
        <v>Residential</v>
      </c>
      <c r="E287" s="3" t="str" cm="1">
        <f t="array" aca="1" ref="E287" ca="1">_xlfn.IFS(D287="Industrial", "Reinforced Concrete", D287 = "Commercial", CHOOSE(RANDBETWEEN(1, 2), "Reinforced Concrete", "Unreinforced Masonry"), D287 = "Residential", CHOOSE(RANDBETWEEN(1, 3), "Reinforced Concrete", "Unreinforced Masonry", "Adobe / Light Timber"))</f>
        <v>Reinforced Concrete</v>
      </c>
      <c r="F287" s="3">
        <f t="shared" ca="1" si="31"/>
        <v>2000</v>
      </c>
      <c r="G287" s="3">
        <f t="shared" ca="1" si="32"/>
        <v>1</v>
      </c>
      <c r="H287" s="2">
        <f t="shared" ca="1" si="33"/>
        <v>5</v>
      </c>
      <c r="I287" s="4">
        <f t="shared" ca="1" si="34"/>
        <v>4965128</v>
      </c>
    </row>
    <row r="288" spans="1:9">
      <c r="A288" s="1">
        <v>10000287</v>
      </c>
      <c r="B288" s="3" t="str">
        <f t="shared" ca="1" si="28"/>
        <v>Paschim Medinipur</v>
      </c>
      <c r="C288" s="3" t="str">
        <f t="shared" ca="1" si="29"/>
        <v>Moderate Risk</v>
      </c>
      <c r="D288" s="3" t="str">
        <f t="shared" ca="1" si="30"/>
        <v>Industrial</v>
      </c>
      <c r="E288" s="3" t="str" cm="1">
        <f t="array" aca="1" ref="E288" ca="1">_xlfn.IFS(D288="Industrial", "Reinforced Concrete", D288 = "Commercial", CHOOSE(RANDBETWEEN(1, 2), "Reinforced Concrete", "Unreinforced Masonry"), D288 = "Residential", CHOOSE(RANDBETWEEN(1, 3), "Reinforced Concrete", "Unreinforced Masonry", "Adobe / Light Timber"))</f>
        <v>Reinforced Concrete</v>
      </c>
      <c r="F288" s="3">
        <f t="shared" ca="1" si="31"/>
        <v>1985</v>
      </c>
      <c r="G288" s="3">
        <f t="shared" ca="1" si="32"/>
        <v>2</v>
      </c>
      <c r="H288" s="2">
        <f t="shared" ca="1" si="33"/>
        <v>3</v>
      </c>
      <c r="I288" s="4">
        <f t="shared" ca="1" si="34"/>
        <v>56102312</v>
      </c>
    </row>
    <row r="289" spans="1:9">
      <c r="A289" s="1">
        <v>10000288</v>
      </c>
      <c r="B289" s="3" t="str">
        <f t="shared" ca="1" si="28"/>
        <v>Hooghly</v>
      </c>
      <c r="C289" s="3" t="str">
        <f t="shared" ca="1" si="29"/>
        <v>Moderate Risk</v>
      </c>
      <c r="D289" s="3" t="str">
        <f t="shared" ca="1" si="30"/>
        <v>Commercial</v>
      </c>
      <c r="E289" s="3" t="str" cm="1">
        <f t="array" aca="1" ref="E289" ca="1">_xlfn.IFS(D289="Industrial", "Reinforced Concrete", D289 = "Commercial", CHOOSE(RANDBETWEEN(1, 2), "Reinforced Concrete", "Unreinforced Masonry"), D289 = "Residential", CHOOSE(RANDBETWEEN(1, 3), "Reinforced Concrete", "Unreinforced Masonry", "Adobe / Light Timber"))</f>
        <v>Unreinforced Masonry</v>
      </c>
      <c r="F289" s="3">
        <f t="shared" ca="1" si="31"/>
        <v>1997</v>
      </c>
      <c r="G289" s="3">
        <f t="shared" ca="1" si="32"/>
        <v>3</v>
      </c>
      <c r="H289" s="2">
        <f t="shared" ca="1" si="33"/>
        <v>0</v>
      </c>
      <c r="I289" s="4">
        <f t="shared" ca="1" si="34"/>
        <v>1379480</v>
      </c>
    </row>
    <row r="290" spans="1:9">
      <c r="A290" s="1">
        <v>10000289</v>
      </c>
      <c r="B290" s="3" t="str">
        <f t="shared" ca="1" si="28"/>
        <v>Hooghly</v>
      </c>
      <c r="C290" s="3" t="str">
        <f t="shared" ca="1" si="29"/>
        <v>Moderate Risk</v>
      </c>
      <c r="D290" s="3" t="str">
        <f t="shared" ca="1" si="30"/>
        <v>Residential</v>
      </c>
      <c r="E290" s="3" t="str" cm="1">
        <f t="array" aca="1" ref="E290" ca="1">_xlfn.IFS(D290="Industrial", "Reinforced Concrete", D290 = "Commercial", CHOOSE(RANDBETWEEN(1, 2), "Reinforced Concrete", "Unreinforced Masonry"), D290 = "Residential", CHOOSE(RANDBETWEEN(1, 3), "Reinforced Concrete", "Unreinforced Masonry", "Adobe / Light Timber"))</f>
        <v>Reinforced Concrete</v>
      </c>
      <c r="F290" s="3">
        <f t="shared" ca="1" si="31"/>
        <v>2013</v>
      </c>
      <c r="G290" s="3">
        <f t="shared" ca="1" si="32"/>
        <v>5</v>
      </c>
      <c r="H290" s="2">
        <f t="shared" ca="1" si="33"/>
        <v>4</v>
      </c>
      <c r="I290" s="4">
        <f t="shared" ca="1" si="34"/>
        <v>5768594</v>
      </c>
    </row>
    <row r="291" spans="1:9">
      <c r="A291" s="1">
        <v>10000290</v>
      </c>
      <c r="B291" s="3" t="str">
        <f t="shared" ca="1" si="28"/>
        <v>Malda</v>
      </c>
      <c r="C291" s="3" t="str">
        <f t="shared" ca="1" si="29"/>
        <v>High Risk</v>
      </c>
      <c r="D291" s="3" t="str">
        <f t="shared" ca="1" si="30"/>
        <v>Industrial</v>
      </c>
      <c r="E291" s="3" t="str" cm="1">
        <f t="array" aca="1" ref="E291" ca="1">_xlfn.IFS(D291="Industrial", "Reinforced Concrete", D291 = "Commercial", CHOOSE(RANDBETWEEN(1, 2), "Reinforced Concrete", "Unreinforced Masonry"), D291 = "Residential", CHOOSE(RANDBETWEEN(1, 3), "Reinforced Concrete", "Unreinforced Masonry", "Adobe / Light Timber"))</f>
        <v>Reinforced Concrete</v>
      </c>
      <c r="F291" s="3">
        <f t="shared" ca="1" si="31"/>
        <v>1993</v>
      </c>
      <c r="G291" s="3">
        <f t="shared" ca="1" si="32"/>
        <v>4</v>
      </c>
      <c r="H291" s="2">
        <f t="shared" ca="1" si="33"/>
        <v>5</v>
      </c>
      <c r="I291" s="4">
        <f t="shared" ca="1" si="34"/>
        <v>47380665</v>
      </c>
    </row>
    <row r="292" spans="1:9">
      <c r="A292" s="1">
        <v>10000291</v>
      </c>
      <c r="B292" s="3" t="str">
        <f t="shared" ca="1" si="28"/>
        <v>Hooghly</v>
      </c>
      <c r="C292" s="3" t="str">
        <f t="shared" ca="1" si="29"/>
        <v>Moderate Risk</v>
      </c>
      <c r="D292" s="3" t="str">
        <f t="shared" ca="1" si="30"/>
        <v>Residential</v>
      </c>
      <c r="E292" s="3" t="str" cm="1">
        <f t="array" aca="1" ref="E292" ca="1">_xlfn.IFS(D292="Industrial", "Reinforced Concrete", D292 = "Commercial", CHOOSE(RANDBETWEEN(1, 2), "Reinforced Concrete", "Unreinforced Masonry"), D292 = "Residential", CHOOSE(RANDBETWEEN(1, 3), "Reinforced Concrete", "Unreinforced Masonry", "Adobe / Light Timber"))</f>
        <v>Reinforced Concrete</v>
      </c>
      <c r="F292" s="3">
        <f t="shared" ca="1" si="31"/>
        <v>2014</v>
      </c>
      <c r="G292" s="3">
        <f t="shared" ca="1" si="32"/>
        <v>3</v>
      </c>
      <c r="H292" s="2">
        <f t="shared" ca="1" si="33"/>
        <v>3</v>
      </c>
      <c r="I292" s="4">
        <f t="shared" ca="1" si="34"/>
        <v>3773243</v>
      </c>
    </row>
    <row r="293" spans="1:9">
      <c r="A293" s="1">
        <v>10000292</v>
      </c>
      <c r="B293" s="3" t="str">
        <f t="shared" ca="1" si="28"/>
        <v>Malda</v>
      </c>
      <c r="C293" s="3" t="str">
        <f t="shared" ca="1" si="29"/>
        <v>High Risk</v>
      </c>
      <c r="D293" s="3" t="str">
        <f t="shared" ca="1" si="30"/>
        <v>Commercial</v>
      </c>
      <c r="E293" s="3" t="str" cm="1">
        <f t="array" aca="1" ref="E293" ca="1">_xlfn.IFS(D293="Industrial", "Reinforced Concrete", D293 = "Commercial", CHOOSE(RANDBETWEEN(1, 2), "Reinforced Concrete", "Unreinforced Masonry"), D293 = "Residential", CHOOSE(RANDBETWEEN(1, 3), "Reinforced Concrete", "Unreinforced Masonry", "Adobe / Light Timber"))</f>
        <v>Unreinforced Masonry</v>
      </c>
      <c r="F293" s="3">
        <f t="shared" ca="1" si="31"/>
        <v>2003</v>
      </c>
      <c r="G293" s="3">
        <f t="shared" ca="1" si="32"/>
        <v>2</v>
      </c>
      <c r="H293" s="2">
        <f t="shared" ca="1" si="33"/>
        <v>2</v>
      </c>
      <c r="I293" s="4">
        <f t="shared" ca="1" si="34"/>
        <v>14088303</v>
      </c>
    </row>
    <row r="294" spans="1:9">
      <c r="A294" s="1">
        <v>10000293</v>
      </c>
      <c r="B294" s="3" t="str">
        <f t="shared" ca="1" si="28"/>
        <v>Paschim Medinipur</v>
      </c>
      <c r="C294" s="3" t="str">
        <f t="shared" ca="1" si="29"/>
        <v>Moderate Risk</v>
      </c>
      <c r="D294" s="3" t="str">
        <f t="shared" ca="1" si="30"/>
        <v>Residential</v>
      </c>
      <c r="E294" s="3" t="str" cm="1">
        <f t="array" aca="1" ref="E294" ca="1">_xlfn.IFS(D294="Industrial", "Reinforced Concrete", D294 = "Commercial", CHOOSE(RANDBETWEEN(1, 2), "Reinforced Concrete", "Unreinforced Masonry"), D294 = "Residential", CHOOSE(RANDBETWEEN(1, 3), "Reinforced Concrete", "Unreinforced Masonry", "Adobe / Light Timber"))</f>
        <v>Unreinforced Masonry</v>
      </c>
      <c r="F294" s="3">
        <f t="shared" ca="1" si="31"/>
        <v>2005</v>
      </c>
      <c r="G294" s="3">
        <f t="shared" ca="1" si="32"/>
        <v>1</v>
      </c>
      <c r="H294" s="2">
        <f t="shared" ca="1" si="33"/>
        <v>1</v>
      </c>
      <c r="I294" s="4">
        <f t="shared" ca="1" si="34"/>
        <v>5235269</v>
      </c>
    </row>
    <row r="295" spans="1:9">
      <c r="A295" s="1">
        <v>10000294</v>
      </c>
      <c r="B295" s="3" t="str">
        <f t="shared" ca="1" si="28"/>
        <v>Malda</v>
      </c>
      <c r="C295" s="3" t="str">
        <f t="shared" ca="1" si="29"/>
        <v>High Risk</v>
      </c>
      <c r="D295" s="3" t="str">
        <f t="shared" ca="1" si="30"/>
        <v>Commercial</v>
      </c>
      <c r="E295" s="3" t="str" cm="1">
        <f t="array" aca="1" ref="E295" ca="1">_xlfn.IFS(D295="Industrial", "Reinforced Concrete", D295 = "Commercial", CHOOSE(RANDBETWEEN(1, 2), "Reinforced Concrete", "Unreinforced Masonry"), D295 = "Residential", CHOOSE(RANDBETWEEN(1, 3), "Reinforced Concrete", "Unreinforced Masonry", "Adobe / Light Timber"))</f>
        <v>Unreinforced Masonry</v>
      </c>
      <c r="F295" s="3">
        <f t="shared" ca="1" si="31"/>
        <v>1991</v>
      </c>
      <c r="G295" s="3">
        <f t="shared" ca="1" si="32"/>
        <v>5</v>
      </c>
      <c r="H295" s="2">
        <f t="shared" ca="1" si="33"/>
        <v>0</v>
      </c>
      <c r="I295" s="4">
        <f t="shared" ca="1" si="34"/>
        <v>17388148</v>
      </c>
    </row>
    <row r="296" spans="1:9">
      <c r="A296" s="1">
        <v>10000295</v>
      </c>
      <c r="B296" s="3" t="str">
        <f t="shared" ca="1" si="28"/>
        <v>Jalpaiguri</v>
      </c>
      <c r="C296" s="3" t="str">
        <f t="shared" ca="1" si="29"/>
        <v>High Risk</v>
      </c>
      <c r="D296" s="3" t="str">
        <f t="shared" ca="1" si="30"/>
        <v>Commercial</v>
      </c>
      <c r="E296" s="3" t="str" cm="1">
        <f t="array" aca="1" ref="E296" ca="1">_xlfn.IFS(D296="Industrial", "Reinforced Concrete", D296 = "Commercial", CHOOSE(RANDBETWEEN(1, 2), "Reinforced Concrete", "Unreinforced Masonry"), D296 = "Residential", CHOOSE(RANDBETWEEN(1, 3), "Reinforced Concrete", "Unreinforced Masonry", "Adobe / Light Timber"))</f>
        <v>Unreinforced Masonry</v>
      </c>
      <c r="F296" s="3">
        <f t="shared" ca="1" si="31"/>
        <v>1989</v>
      </c>
      <c r="G296" s="3">
        <f t="shared" ca="1" si="32"/>
        <v>3</v>
      </c>
      <c r="H296" s="2">
        <f t="shared" ca="1" si="33"/>
        <v>1</v>
      </c>
      <c r="I296" s="4">
        <f t="shared" ca="1" si="34"/>
        <v>13637924</v>
      </c>
    </row>
    <row r="297" spans="1:9">
      <c r="A297" s="1">
        <v>10000296</v>
      </c>
      <c r="B297" s="3" t="str">
        <f t="shared" ca="1" si="28"/>
        <v>Kolkata</v>
      </c>
      <c r="C297" s="3" t="str">
        <f t="shared" ca="1" si="29"/>
        <v>Moderate Risk</v>
      </c>
      <c r="D297" s="3" t="str">
        <f t="shared" ca="1" si="30"/>
        <v>Industrial</v>
      </c>
      <c r="E297" s="3" t="str" cm="1">
        <f t="array" aca="1" ref="E297" ca="1">_xlfn.IFS(D297="Industrial", "Reinforced Concrete", D297 = "Commercial", CHOOSE(RANDBETWEEN(1, 2), "Reinforced Concrete", "Unreinforced Masonry"), D297 = "Residential", CHOOSE(RANDBETWEEN(1, 3), "Reinforced Concrete", "Unreinforced Masonry", "Adobe / Light Timber"))</f>
        <v>Reinforced Concrete</v>
      </c>
      <c r="F297" s="3">
        <f t="shared" ca="1" si="31"/>
        <v>2007</v>
      </c>
      <c r="G297" s="3">
        <f t="shared" ca="1" si="32"/>
        <v>4</v>
      </c>
      <c r="H297" s="2">
        <f t="shared" ca="1" si="33"/>
        <v>3</v>
      </c>
      <c r="I297" s="4">
        <f t="shared" ca="1" si="34"/>
        <v>50117967</v>
      </c>
    </row>
    <row r="298" spans="1:9">
      <c r="A298" s="1">
        <v>10000297</v>
      </c>
      <c r="B298" s="3" t="str">
        <f t="shared" ca="1" si="28"/>
        <v>Paschim Medinipur</v>
      </c>
      <c r="C298" s="3" t="str">
        <f t="shared" ca="1" si="29"/>
        <v>Moderate Risk</v>
      </c>
      <c r="D298" s="3" t="str">
        <f t="shared" ca="1" si="30"/>
        <v>Industrial</v>
      </c>
      <c r="E298" s="3" t="str" cm="1">
        <f t="array" aca="1" ref="E298" ca="1">_xlfn.IFS(D298="Industrial", "Reinforced Concrete", D298 = "Commercial", CHOOSE(RANDBETWEEN(1, 2), "Reinforced Concrete", "Unreinforced Masonry"), D298 = "Residential", CHOOSE(RANDBETWEEN(1, 3), "Reinforced Concrete", "Unreinforced Masonry", "Adobe / Light Timber"))</f>
        <v>Reinforced Concrete</v>
      </c>
      <c r="F298" s="3">
        <f t="shared" ca="1" si="31"/>
        <v>2021</v>
      </c>
      <c r="G298" s="3">
        <f t="shared" ca="1" si="32"/>
        <v>2</v>
      </c>
      <c r="H298" s="2">
        <f t="shared" ca="1" si="33"/>
        <v>5</v>
      </c>
      <c r="I298" s="4">
        <f t="shared" ca="1" si="34"/>
        <v>47191929</v>
      </c>
    </row>
    <row r="299" spans="1:9">
      <c r="A299" s="1">
        <v>10000298</v>
      </c>
      <c r="B299" s="3" t="str">
        <f t="shared" ca="1" si="28"/>
        <v>Malda</v>
      </c>
      <c r="C299" s="3" t="str">
        <f t="shared" ca="1" si="29"/>
        <v>High Risk</v>
      </c>
      <c r="D299" s="3" t="str">
        <f t="shared" ca="1" si="30"/>
        <v>Commercial</v>
      </c>
      <c r="E299" s="3" t="str" cm="1">
        <f t="array" aca="1" ref="E299" ca="1">_xlfn.IFS(D299="Industrial", "Reinforced Concrete", D299 = "Commercial", CHOOSE(RANDBETWEEN(1, 2), "Reinforced Concrete", "Unreinforced Masonry"), D299 = "Residential", CHOOSE(RANDBETWEEN(1, 3), "Reinforced Concrete", "Unreinforced Masonry", "Adobe / Light Timber"))</f>
        <v>Unreinforced Masonry</v>
      </c>
      <c r="F299" s="3">
        <f t="shared" ca="1" si="31"/>
        <v>1984</v>
      </c>
      <c r="G299" s="3">
        <f t="shared" ca="1" si="32"/>
        <v>3</v>
      </c>
      <c r="H299" s="2">
        <f t="shared" ca="1" si="33"/>
        <v>0</v>
      </c>
      <c r="I299" s="4">
        <f t="shared" ca="1" si="34"/>
        <v>13791799</v>
      </c>
    </row>
    <row r="300" spans="1:9">
      <c r="A300" s="1">
        <v>10000299</v>
      </c>
      <c r="B300" s="3" t="str">
        <f t="shared" ca="1" si="28"/>
        <v>Paschim Medinipur</v>
      </c>
      <c r="C300" s="3" t="str">
        <f t="shared" ca="1" si="29"/>
        <v>Moderate Risk</v>
      </c>
      <c r="D300" s="3" t="str">
        <f t="shared" ca="1" si="30"/>
        <v>Commercial</v>
      </c>
      <c r="E300" s="3" t="str" cm="1">
        <f t="array" aca="1" ref="E300" ca="1">_xlfn.IFS(D300="Industrial", "Reinforced Concrete", D300 = "Commercial", CHOOSE(RANDBETWEEN(1, 2), "Reinforced Concrete", "Unreinforced Masonry"), D300 = "Residential", CHOOSE(RANDBETWEEN(1, 3), "Reinforced Concrete", "Unreinforced Masonry", "Adobe / Light Timber"))</f>
        <v>Reinforced Concrete</v>
      </c>
      <c r="F300" s="3">
        <f t="shared" ca="1" si="31"/>
        <v>2019</v>
      </c>
      <c r="G300" s="3">
        <f t="shared" ca="1" si="32"/>
        <v>1</v>
      </c>
      <c r="H300" s="2">
        <f t="shared" ca="1" si="33"/>
        <v>5</v>
      </c>
      <c r="I300" s="4">
        <f t="shared" ca="1" si="34"/>
        <v>12163477</v>
      </c>
    </row>
    <row r="301" spans="1:9">
      <c r="A301" s="1">
        <v>10000300</v>
      </c>
      <c r="B301" s="3" t="str">
        <f t="shared" ca="1" si="28"/>
        <v>Kolkata</v>
      </c>
      <c r="C301" s="3" t="str">
        <f t="shared" ca="1" si="29"/>
        <v>Moderate Risk</v>
      </c>
      <c r="D301" s="3" t="str">
        <f t="shared" ca="1" si="30"/>
        <v>Residential</v>
      </c>
      <c r="E301" s="3" t="str" cm="1">
        <f t="array" aca="1" ref="E301" ca="1">_xlfn.IFS(D301="Industrial", "Reinforced Concrete", D301 = "Commercial", CHOOSE(RANDBETWEEN(1, 2), "Reinforced Concrete", "Unreinforced Masonry"), D301 = "Residential", CHOOSE(RANDBETWEEN(1, 3), "Reinforced Concrete", "Unreinforced Masonry", "Adobe / Light Timber"))</f>
        <v>Reinforced Concrete</v>
      </c>
      <c r="F301" s="3">
        <f t="shared" ca="1" si="31"/>
        <v>1988</v>
      </c>
      <c r="G301" s="3">
        <f t="shared" ca="1" si="32"/>
        <v>5</v>
      </c>
      <c r="H301" s="2">
        <f t="shared" ca="1" si="33"/>
        <v>5</v>
      </c>
      <c r="I301" s="4">
        <f t="shared" ca="1" si="34"/>
        <v>5229370</v>
      </c>
    </row>
    <row r="302" spans="1:9">
      <c r="A302" s="1">
        <v>10000301</v>
      </c>
      <c r="B302" s="3" t="str">
        <f t="shared" ca="1" si="28"/>
        <v>South 24 Parganas</v>
      </c>
      <c r="C302" s="3" t="str">
        <f t="shared" ca="1" si="29"/>
        <v>High Risk</v>
      </c>
      <c r="D302" s="3" t="str">
        <f t="shared" ca="1" si="30"/>
        <v>Commercial</v>
      </c>
      <c r="E302" s="3" t="str" cm="1">
        <f t="array" aca="1" ref="E302" ca="1">_xlfn.IFS(D302="Industrial", "Reinforced Concrete", D302 = "Commercial", CHOOSE(RANDBETWEEN(1, 2), "Reinforced Concrete", "Unreinforced Masonry"), D302 = "Residential", CHOOSE(RANDBETWEEN(1, 3), "Reinforced Concrete", "Unreinforced Masonry", "Adobe / Light Timber"))</f>
        <v>Unreinforced Masonry</v>
      </c>
      <c r="F302" s="3">
        <f t="shared" ca="1" si="31"/>
        <v>2021</v>
      </c>
      <c r="G302" s="3">
        <f t="shared" ca="1" si="32"/>
        <v>4</v>
      </c>
      <c r="H302" s="2">
        <f t="shared" ca="1" si="33"/>
        <v>0</v>
      </c>
      <c r="I302" s="4">
        <f t="shared" ca="1" si="34"/>
        <v>17322774</v>
      </c>
    </row>
    <row r="303" spans="1:9">
      <c r="A303" s="1">
        <v>10000302</v>
      </c>
      <c r="B303" s="3" t="str">
        <f t="shared" ca="1" si="28"/>
        <v>South 24 Parganas</v>
      </c>
      <c r="C303" s="3" t="str">
        <f t="shared" ca="1" si="29"/>
        <v>High Risk</v>
      </c>
      <c r="D303" s="3" t="str">
        <f t="shared" ca="1" si="30"/>
        <v>Commercial</v>
      </c>
      <c r="E303" s="3" t="str" cm="1">
        <f t="array" aca="1" ref="E303" ca="1">_xlfn.IFS(D303="Industrial", "Reinforced Concrete", D303 = "Commercial", CHOOSE(RANDBETWEEN(1, 2), "Reinforced Concrete", "Unreinforced Masonry"), D303 = "Residential", CHOOSE(RANDBETWEEN(1, 3), "Reinforced Concrete", "Unreinforced Masonry", "Adobe / Light Timber"))</f>
        <v>Unreinforced Masonry</v>
      </c>
      <c r="F303" s="3">
        <f t="shared" ca="1" si="31"/>
        <v>1997</v>
      </c>
      <c r="G303" s="3">
        <f t="shared" ca="1" si="32"/>
        <v>5</v>
      </c>
      <c r="H303" s="2">
        <f t="shared" ca="1" si="33"/>
        <v>1</v>
      </c>
      <c r="I303" s="4">
        <f t="shared" ca="1" si="34"/>
        <v>25267063</v>
      </c>
    </row>
    <row r="304" spans="1:9">
      <c r="A304" s="1">
        <v>10000303</v>
      </c>
      <c r="B304" s="3" t="str">
        <f t="shared" ca="1" si="28"/>
        <v>Hooghly</v>
      </c>
      <c r="C304" s="3" t="str">
        <f t="shared" ca="1" si="29"/>
        <v>Moderate Risk</v>
      </c>
      <c r="D304" s="3" t="str">
        <f t="shared" ca="1" si="30"/>
        <v>Industrial</v>
      </c>
      <c r="E304" s="3" t="str" cm="1">
        <f t="array" aca="1" ref="E304" ca="1">_xlfn.IFS(D304="Industrial", "Reinforced Concrete", D304 = "Commercial", CHOOSE(RANDBETWEEN(1, 2), "Reinforced Concrete", "Unreinforced Masonry"), D304 = "Residential", CHOOSE(RANDBETWEEN(1, 3), "Reinforced Concrete", "Unreinforced Masonry", "Adobe / Light Timber"))</f>
        <v>Reinforced Concrete</v>
      </c>
      <c r="F304" s="3">
        <f t="shared" ca="1" si="31"/>
        <v>2003</v>
      </c>
      <c r="G304" s="3">
        <f t="shared" ca="1" si="32"/>
        <v>4</v>
      </c>
      <c r="H304" s="2">
        <f t="shared" ca="1" si="33"/>
        <v>4</v>
      </c>
      <c r="I304" s="4">
        <f t="shared" ca="1" si="34"/>
        <v>25236387</v>
      </c>
    </row>
    <row r="305" spans="1:9">
      <c r="A305" s="1">
        <v>10000304</v>
      </c>
      <c r="B305" s="3" t="str">
        <f t="shared" ca="1" si="28"/>
        <v>Hooghly</v>
      </c>
      <c r="C305" s="3" t="str">
        <f t="shared" ca="1" si="29"/>
        <v>Moderate Risk</v>
      </c>
      <c r="D305" s="3" t="str">
        <f t="shared" ca="1" si="30"/>
        <v>Residential</v>
      </c>
      <c r="E305" s="3" t="str" cm="1">
        <f t="array" aca="1" ref="E305" ca="1">_xlfn.IFS(D305="Industrial", "Reinforced Concrete", D305 = "Commercial", CHOOSE(RANDBETWEEN(1, 2), "Reinforced Concrete", "Unreinforced Masonry"), D305 = "Residential", CHOOSE(RANDBETWEEN(1, 3), "Reinforced Concrete", "Unreinforced Masonry", "Adobe / Light Timber"))</f>
        <v>Reinforced Concrete</v>
      </c>
      <c r="F305" s="3">
        <f t="shared" ca="1" si="31"/>
        <v>1991</v>
      </c>
      <c r="G305" s="3">
        <f t="shared" ca="1" si="32"/>
        <v>2</v>
      </c>
      <c r="H305" s="2">
        <f t="shared" ca="1" si="33"/>
        <v>5</v>
      </c>
      <c r="I305" s="4">
        <f t="shared" ca="1" si="34"/>
        <v>4489645</v>
      </c>
    </row>
    <row r="306" spans="1:9">
      <c r="A306" s="1">
        <v>10000305</v>
      </c>
      <c r="B306" s="3" t="str">
        <f t="shared" ca="1" si="28"/>
        <v>Malda</v>
      </c>
      <c r="C306" s="3" t="str">
        <f t="shared" ca="1" si="29"/>
        <v>High Risk</v>
      </c>
      <c r="D306" s="3" t="str">
        <f t="shared" ca="1" si="30"/>
        <v>Commercial</v>
      </c>
      <c r="E306" s="3" t="str" cm="1">
        <f t="array" aca="1" ref="E306" ca="1">_xlfn.IFS(D306="Industrial", "Reinforced Concrete", D306 = "Commercial", CHOOSE(RANDBETWEEN(1, 2), "Reinforced Concrete", "Unreinforced Masonry"), D306 = "Residential", CHOOSE(RANDBETWEEN(1, 3), "Reinforced Concrete", "Unreinforced Masonry", "Adobe / Light Timber"))</f>
        <v>Unreinforced Masonry</v>
      </c>
      <c r="F306" s="3">
        <f t="shared" ca="1" si="31"/>
        <v>2011</v>
      </c>
      <c r="G306" s="3">
        <f t="shared" ca="1" si="32"/>
        <v>4</v>
      </c>
      <c r="H306" s="2">
        <f t="shared" ca="1" si="33"/>
        <v>1</v>
      </c>
      <c r="I306" s="4">
        <f t="shared" ca="1" si="34"/>
        <v>14833924</v>
      </c>
    </row>
    <row r="307" spans="1:9">
      <c r="A307" s="1">
        <v>10000306</v>
      </c>
      <c r="B307" s="3" t="str">
        <f t="shared" ca="1" si="28"/>
        <v>Malda</v>
      </c>
      <c r="C307" s="3" t="str">
        <f t="shared" ca="1" si="29"/>
        <v>High Risk</v>
      </c>
      <c r="D307" s="3" t="str">
        <f t="shared" ca="1" si="30"/>
        <v>Commercial</v>
      </c>
      <c r="E307" s="3" t="str" cm="1">
        <f t="array" aca="1" ref="E307" ca="1">_xlfn.IFS(D307="Industrial", "Reinforced Concrete", D307 = "Commercial", CHOOSE(RANDBETWEEN(1, 2), "Reinforced Concrete", "Unreinforced Masonry"), D307 = "Residential", CHOOSE(RANDBETWEEN(1, 3), "Reinforced Concrete", "Unreinforced Masonry", "Adobe / Light Timber"))</f>
        <v>Unreinforced Masonry</v>
      </c>
      <c r="F307" s="3">
        <f t="shared" ca="1" si="31"/>
        <v>1992</v>
      </c>
      <c r="G307" s="3">
        <f t="shared" ca="1" si="32"/>
        <v>3</v>
      </c>
      <c r="H307" s="2">
        <f t="shared" ca="1" si="33"/>
        <v>0</v>
      </c>
      <c r="I307" s="4">
        <f t="shared" ca="1" si="34"/>
        <v>11152483</v>
      </c>
    </row>
    <row r="308" spans="1:9">
      <c r="A308" s="1">
        <v>10000307</v>
      </c>
      <c r="B308" s="3" t="str">
        <f t="shared" ca="1" si="28"/>
        <v>South 24 Parganas</v>
      </c>
      <c r="C308" s="3" t="str">
        <f t="shared" ca="1" si="29"/>
        <v>High Risk</v>
      </c>
      <c r="D308" s="3" t="str">
        <f t="shared" ca="1" si="30"/>
        <v>Residential</v>
      </c>
      <c r="E308" s="3" t="str" cm="1">
        <f t="array" aca="1" ref="E308" ca="1">_xlfn.IFS(D308="Industrial", "Reinforced Concrete", D308 = "Commercial", CHOOSE(RANDBETWEEN(1, 2), "Reinforced Concrete", "Unreinforced Masonry"), D308 = "Residential", CHOOSE(RANDBETWEEN(1, 3), "Reinforced Concrete", "Unreinforced Masonry", "Adobe / Light Timber"))</f>
        <v>Unreinforced Masonry</v>
      </c>
      <c r="F308" s="3">
        <f t="shared" ca="1" si="31"/>
        <v>1989</v>
      </c>
      <c r="G308" s="3">
        <f t="shared" ca="1" si="32"/>
        <v>2</v>
      </c>
      <c r="H308" s="2">
        <f t="shared" ca="1" si="33"/>
        <v>0</v>
      </c>
      <c r="I308" s="4">
        <f t="shared" ca="1" si="34"/>
        <v>3950164</v>
      </c>
    </row>
    <row r="309" spans="1:9">
      <c r="A309" s="1">
        <v>10000308</v>
      </c>
      <c r="B309" s="3" t="str">
        <f t="shared" ca="1" si="28"/>
        <v>Hooghly</v>
      </c>
      <c r="C309" s="3" t="str">
        <f t="shared" ca="1" si="29"/>
        <v>Moderate Risk</v>
      </c>
      <c r="D309" s="3" t="str">
        <f t="shared" ca="1" si="30"/>
        <v>Industrial</v>
      </c>
      <c r="E309" s="3" t="str" cm="1">
        <f t="array" aca="1" ref="E309" ca="1">_xlfn.IFS(D309="Industrial", "Reinforced Concrete", D309 = "Commercial", CHOOSE(RANDBETWEEN(1, 2), "Reinforced Concrete", "Unreinforced Masonry"), D309 = "Residential", CHOOSE(RANDBETWEEN(1, 3), "Reinforced Concrete", "Unreinforced Masonry", "Adobe / Light Timber"))</f>
        <v>Reinforced Concrete</v>
      </c>
      <c r="F309" s="3">
        <f t="shared" ca="1" si="31"/>
        <v>2013</v>
      </c>
      <c r="G309" s="3">
        <f t="shared" ca="1" si="32"/>
        <v>3</v>
      </c>
      <c r="H309" s="2">
        <f t="shared" ca="1" si="33"/>
        <v>3</v>
      </c>
      <c r="I309" s="4">
        <f t="shared" ca="1" si="34"/>
        <v>54364055</v>
      </c>
    </row>
    <row r="310" spans="1:9">
      <c r="A310" s="1">
        <v>10000309</v>
      </c>
      <c r="B310" s="3" t="str">
        <f t="shared" ca="1" si="28"/>
        <v>Kolkata</v>
      </c>
      <c r="C310" s="3" t="str">
        <f t="shared" ca="1" si="29"/>
        <v>Moderate Risk</v>
      </c>
      <c r="D310" s="3" t="str">
        <f t="shared" ca="1" si="30"/>
        <v>Residential</v>
      </c>
      <c r="E310" s="3" t="str" cm="1">
        <f t="array" aca="1" ref="E310" ca="1">_xlfn.IFS(D310="Industrial", "Reinforced Concrete", D310 = "Commercial", CHOOSE(RANDBETWEEN(1, 2), "Reinforced Concrete", "Unreinforced Masonry"), D310 = "Residential", CHOOSE(RANDBETWEEN(1, 3), "Reinforced Concrete", "Unreinforced Masonry", "Adobe / Light Timber"))</f>
        <v>Reinforced Concrete</v>
      </c>
      <c r="F310" s="3">
        <f t="shared" ca="1" si="31"/>
        <v>2019</v>
      </c>
      <c r="G310" s="3">
        <f t="shared" ca="1" si="32"/>
        <v>1</v>
      </c>
      <c r="H310" s="2">
        <f t="shared" ca="1" si="33"/>
        <v>3</v>
      </c>
      <c r="I310" s="4">
        <f t="shared" ca="1" si="34"/>
        <v>3480240</v>
      </c>
    </row>
    <row r="311" spans="1:9">
      <c r="A311" s="1">
        <v>10000310</v>
      </c>
      <c r="B311" s="3" t="str">
        <f t="shared" ca="1" si="28"/>
        <v>Jalpaiguri</v>
      </c>
      <c r="C311" s="3" t="str">
        <f t="shared" ca="1" si="29"/>
        <v>High Risk</v>
      </c>
      <c r="D311" s="3" t="str">
        <f t="shared" ca="1" si="30"/>
        <v>Commercial</v>
      </c>
      <c r="E311" s="3" t="str" cm="1">
        <f t="array" aca="1" ref="E311" ca="1">_xlfn.IFS(D311="Industrial", "Reinforced Concrete", D311 = "Commercial", CHOOSE(RANDBETWEEN(1, 2), "Reinforced Concrete", "Unreinforced Masonry"), D311 = "Residential", CHOOSE(RANDBETWEEN(1, 3), "Reinforced Concrete", "Unreinforced Masonry", "Adobe / Light Timber"))</f>
        <v>Reinforced Concrete</v>
      </c>
      <c r="F311" s="3">
        <f t="shared" ca="1" si="31"/>
        <v>2014</v>
      </c>
      <c r="G311" s="3">
        <f t="shared" ca="1" si="32"/>
        <v>3</v>
      </c>
      <c r="H311" s="2">
        <f t="shared" ca="1" si="33"/>
        <v>3</v>
      </c>
      <c r="I311" s="4">
        <f t="shared" ca="1" si="34"/>
        <v>16643564</v>
      </c>
    </row>
    <row r="312" spans="1:9">
      <c r="A312" s="1">
        <v>10000311</v>
      </c>
      <c r="B312" s="3" t="str">
        <f t="shared" ca="1" si="28"/>
        <v>Kolkata</v>
      </c>
      <c r="C312" s="3" t="str">
        <f t="shared" ca="1" si="29"/>
        <v>Moderate Risk</v>
      </c>
      <c r="D312" s="3" t="str">
        <f t="shared" ca="1" si="30"/>
        <v>Commercial</v>
      </c>
      <c r="E312" s="3" t="str" cm="1">
        <f t="array" aca="1" ref="E312" ca="1">_xlfn.IFS(D312="Industrial", "Reinforced Concrete", D312 = "Commercial", CHOOSE(RANDBETWEEN(1, 2), "Reinforced Concrete", "Unreinforced Masonry"), D312 = "Residential", CHOOSE(RANDBETWEEN(1, 3), "Reinforced Concrete", "Unreinforced Masonry", "Adobe / Light Timber"))</f>
        <v>Reinforced Concrete</v>
      </c>
      <c r="F312" s="3">
        <f t="shared" ca="1" si="31"/>
        <v>2000</v>
      </c>
      <c r="G312" s="3">
        <f t="shared" ca="1" si="32"/>
        <v>5</v>
      </c>
      <c r="H312" s="2">
        <f t="shared" ca="1" si="33"/>
        <v>5</v>
      </c>
      <c r="I312" s="4">
        <f t="shared" ca="1" si="34"/>
        <v>15351322</v>
      </c>
    </row>
    <row r="313" spans="1:9">
      <c r="A313" s="1">
        <v>10000312</v>
      </c>
      <c r="B313" s="3" t="str">
        <f t="shared" ca="1" si="28"/>
        <v>South 24 Parganas</v>
      </c>
      <c r="C313" s="3" t="str">
        <f t="shared" ca="1" si="29"/>
        <v>High Risk</v>
      </c>
      <c r="D313" s="3" t="str">
        <f t="shared" ca="1" si="30"/>
        <v>Industrial</v>
      </c>
      <c r="E313" s="3" t="str" cm="1">
        <f t="array" aca="1" ref="E313" ca="1">_xlfn.IFS(D313="Industrial", "Reinforced Concrete", D313 = "Commercial", CHOOSE(RANDBETWEEN(1, 2), "Reinforced Concrete", "Unreinforced Masonry"), D313 = "Residential", CHOOSE(RANDBETWEEN(1, 3), "Reinforced Concrete", "Unreinforced Masonry", "Adobe / Light Timber"))</f>
        <v>Reinforced Concrete</v>
      </c>
      <c r="F313" s="3">
        <f t="shared" ca="1" si="31"/>
        <v>1997</v>
      </c>
      <c r="G313" s="3">
        <f t="shared" ca="1" si="32"/>
        <v>1</v>
      </c>
      <c r="H313" s="2">
        <f t="shared" ca="1" si="33"/>
        <v>5</v>
      </c>
      <c r="I313" s="4">
        <f t="shared" ca="1" si="34"/>
        <v>62203961</v>
      </c>
    </row>
    <row r="314" spans="1:9">
      <c r="A314" s="1">
        <v>10000313</v>
      </c>
      <c r="B314" s="3" t="str">
        <f t="shared" ca="1" si="28"/>
        <v>Paschim Medinipur</v>
      </c>
      <c r="C314" s="3" t="str">
        <f t="shared" ca="1" si="29"/>
        <v>Moderate Risk</v>
      </c>
      <c r="D314" s="3" t="str">
        <f t="shared" ca="1" si="30"/>
        <v>Residential</v>
      </c>
      <c r="E314" s="3" t="str" cm="1">
        <f t="array" aca="1" ref="E314" ca="1">_xlfn.IFS(D314="Industrial", "Reinforced Concrete", D314 = "Commercial", CHOOSE(RANDBETWEEN(1, 2), "Reinforced Concrete", "Unreinforced Masonry"), D314 = "Residential", CHOOSE(RANDBETWEEN(1, 3), "Reinforced Concrete", "Unreinforced Masonry", "Adobe / Light Timber"))</f>
        <v>Reinforced Concrete</v>
      </c>
      <c r="F314" s="3">
        <f t="shared" ca="1" si="31"/>
        <v>2020</v>
      </c>
      <c r="G314" s="3">
        <f t="shared" ca="1" si="32"/>
        <v>2</v>
      </c>
      <c r="H314" s="2">
        <f t="shared" ca="1" si="33"/>
        <v>5</v>
      </c>
      <c r="I314" s="4">
        <f t="shared" ca="1" si="34"/>
        <v>4308815</v>
      </c>
    </row>
    <row r="315" spans="1:9">
      <c r="A315" s="1">
        <v>10000314</v>
      </c>
      <c r="B315" s="3" t="str">
        <f t="shared" ca="1" si="28"/>
        <v>Jalpaiguri</v>
      </c>
      <c r="C315" s="3" t="str">
        <f t="shared" ca="1" si="29"/>
        <v>High Risk</v>
      </c>
      <c r="D315" s="3" t="str">
        <f t="shared" ca="1" si="30"/>
        <v>Industrial</v>
      </c>
      <c r="E315" s="3" t="str" cm="1">
        <f t="array" aca="1" ref="E315" ca="1">_xlfn.IFS(D315="Industrial", "Reinforced Concrete", D315 = "Commercial", CHOOSE(RANDBETWEEN(1, 2), "Reinforced Concrete", "Unreinforced Masonry"), D315 = "Residential", CHOOSE(RANDBETWEEN(1, 3), "Reinforced Concrete", "Unreinforced Masonry", "Adobe / Light Timber"))</f>
        <v>Reinforced Concrete</v>
      </c>
      <c r="F315" s="3">
        <f t="shared" ca="1" si="31"/>
        <v>1993</v>
      </c>
      <c r="G315" s="3">
        <f t="shared" ca="1" si="32"/>
        <v>2</v>
      </c>
      <c r="H315" s="2">
        <f t="shared" ca="1" si="33"/>
        <v>5</v>
      </c>
      <c r="I315" s="4">
        <f t="shared" ca="1" si="34"/>
        <v>44168885</v>
      </c>
    </row>
    <row r="316" spans="1:9">
      <c r="A316" s="1">
        <v>10000315</v>
      </c>
      <c r="B316" s="3" t="str">
        <f t="shared" ca="1" si="28"/>
        <v>South 24 Parganas</v>
      </c>
      <c r="C316" s="3" t="str">
        <f t="shared" ca="1" si="29"/>
        <v>High Risk</v>
      </c>
      <c r="D316" s="3" t="str">
        <f t="shared" ca="1" si="30"/>
        <v>Commercial</v>
      </c>
      <c r="E316" s="3" t="str" cm="1">
        <f t="array" aca="1" ref="E316" ca="1">_xlfn.IFS(D316="Industrial", "Reinforced Concrete", D316 = "Commercial", CHOOSE(RANDBETWEEN(1, 2), "Reinforced Concrete", "Unreinforced Masonry"), D316 = "Residential", CHOOSE(RANDBETWEEN(1, 3), "Reinforced Concrete", "Unreinforced Masonry", "Adobe / Light Timber"))</f>
        <v>Unreinforced Masonry</v>
      </c>
      <c r="F316" s="3">
        <f t="shared" ca="1" si="31"/>
        <v>2023</v>
      </c>
      <c r="G316" s="3">
        <f t="shared" ca="1" si="32"/>
        <v>2</v>
      </c>
      <c r="H316" s="2">
        <f t="shared" ca="1" si="33"/>
        <v>0</v>
      </c>
      <c r="I316" s="4">
        <f t="shared" ca="1" si="34"/>
        <v>11336139</v>
      </c>
    </row>
    <row r="317" spans="1:9">
      <c r="A317" s="1">
        <v>10000316</v>
      </c>
      <c r="B317" s="3" t="str">
        <f t="shared" ca="1" si="28"/>
        <v>Hooghly</v>
      </c>
      <c r="C317" s="3" t="str">
        <f t="shared" ca="1" si="29"/>
        <v>Moderate Risk</v>
      </c>
      <c r="D317" s="3" t="str">
        <f t="shared" ca="1" si="30"/>
        <v>Commercial</v>
      </c>
      <c r="E317" s="3" t="str" cm="1">
        <f t="array" aca="1" ref="E317" ca="1">_xlfn.IFS(D317="Industrial", "Reinforced Concrete", D317 = "Commercial", CHOOSE(RANDBETWEEN(1, 2), "Reinforced Concrete", "Unreinforced Masonry"), D317 = "Residential", CHOOSE(RANDBETWEEN(1, 3), "Reinforced Concrete", "Unreinforced Masonry", "Adobe / Light Timber"))</f>
        <v>Reinforced Concrete</v>
      </c>
      <c r="F317" s="3">
        <f t="shared" ca="1" si="31"/>
        <v>1982</v>
      </c>
      <c r="G317" s="3">
        <f t="shared" ca="1" si="32"/>
        <v>5</v>
      </c>
      <c r="H317" s="2">
        <f t="shared" ca="1" si="33"/>
        <v>3</v>
      </c>
      <c r="I317" s="4">
        <f t="shared" ca="1" si="34"/>
        <v>7971729</v>
      </c>
    </row>
    <row r="318" spans="1:9">
      <c r="A318" s="1">
        <v>10000317</v>
      </c>
      <c r="B318" s="3" t="str">
        <f t="shared" ca="1" si="28"/>
        <v>Hooghly</v>
      </c>
      <c r="C318" s="3" t="str">
        <f t="shared" ca="1" si="29"/>
        <v>Moderate Risk</v>
      </c>
      <c r="D318" s="3" t="str">
        <f t="shared" ca="1" si="30"/>
        <v>Residential</v>
      </c>
      <c r="E318" s="3" t="str" cm="1">
        <f t="array" aca="1" ref="E318" ca="1">_xlfn.IFS(D318="Industrial", "Reinforced Concrete", D318 = "Commercial", CHOOSE(RANDBETWEEN(1, 2), "Reinforced Concrete", "Unreinforced Masonry"), D318 = "Residential", CHOOSE(RANDBETWEEN(1, 3), "Reinforced Concrete", "Unreinforced Masonry", "Adobe / Light Timber"))</f>
        <v>Reinforced Concrete</v>
      </c>
      <c r="F318" s="3">
        <f t="shared" ca="1" si="31"/>
        <v>2010</v>
      </c>
      <c r="G318" s="3">
        <f t="shared" ca="1" si="32"/>
        <v>3</v>
      </c>
      <c r="H318" s="2">
        <f t="shared" ca="1" si="33"/>
        <v>5</v>
      </c>
      <c r="I318" s="4">
        <f t="shared" ca="1" si="34"/>
        <v>4556110</v>
      </c>
    </row>
    <row r="319" spans="1:9">
      <c r="A319" s="1">
        <v>10000318</v>
      </c>
      <c r="B319" s="3" t="str">
        <f t="shared" ca="1" si="28"/>
        <v>Jalpaiguri</v>
      </c>
      <c r="C319" s="3" t="str">
        <f t="shared" ca="1" si="29"/>
        <v>High Risk</v>
      </c>
      <c r="D319" s="3" t="str">
        <f t="shared" ca="1" si="30"/>
        <v>Industrial</v>
      </c>
      <c r="E319" s="3" t="str" cm="1">
        <f t="array" aca="1" ref="E319" ca="1">_xlfn.IFS(D319="Industrial", "Reinforced Concrete", D319 = "Commercial", CHOOSE(RANDBETWEEN(1, 2), "Reinforced Concrete", "Unreinforced Masonry"), D319 = "Residential", CHOOSE(RANDBETWEEN(1, 3), "Reinforced Concrete", "Unreinforced Masonry", "Adobe / Light Timber"))</f>
        <v>Reinforced Concrete</v>
      </c>
      <c r="F319" s="3">
        <f t="shared" ca="1" si="31"/>
        <v>1998</v>
      </c>
      <c r="G319" s="3">
        <f t="shared" ca="1" si="32"/>
        <v>4</v>
      </c>
      <c r="H319" s="2">
        <f t="shared" ca="1" si="33"/>
        <v>4</v>
      </c>
      <c r="I319" s="4">
        <f t="shared" ca="1" si="34"/>
        <v>45582209</v>
      </c>
    </row>
    <row r="320" spans="1:9">
      <c r="A320" s="1">
        <v>10000319</v>
      </c>
      <c r="B320" s="3" t="str">
        <f t="shared" ca="1" si="28"/>
        <v>South 24 Parganas</v>
      </c>
      <c r="C320" s="3" t="str">
        <f t="shared" ca="1" si="29"/>
        <v>High Risk</v>
      </c>
      <c r="D320" s="3" t="str">
        <f t="shared" ca="1" si="30"/>
        <v>Industrial</v>
      </c>
      <c r="E320" s="3" t="str" cm="1">
        <f t="array" aca="1" ref="E320" ca="1">_xlfn.IFS(D320="Industrial", "Reinforced Concrete", D320 = "Commercial", CHOOSE(RANDBETWEEN(1, 2), "Reinforced Concrete", "Unreinforced Masonry"), D320 = "Residential", CHOOSE(RANDBETWEEN(1, 3), "Reinforced Concrete", "Unreinforced Masonry", "Adobe / Light Timber"))</f>
        <v>Reinforced Concrete</v>
      </c>
      <c r="F320" s="3">
        <f t="shared" ca="1" si="31"/>
        <v>2000</v>
      </c>
      <c r="G320" s="3">
        <f t="shared" ca="1" si="32"/>
        <v>1</v>
      </c>
      <c r="H320" s="2">
        <f t="shared" ca="1" si="33"/>
        <v>5</v>
      </c>
      <c r="I320" s="4">
        <f t="shared" ca="1" si="34"/>
        <v>58258024</v>
      </c>
    </row>
    <row r="321" spans="1:9">
      <c r="A321" s="1">
        <v>10000320</v>
      </c>
      <c r="B321" s="3" t="str">
        <f t="shared" ca="1" si="28"/>
        <v>Kolkata</v>
      </c>
      <c r="C321" s="3" t="str">
        <f t="shared" ca="1" si="29"/>
        <v>Moderate Risk</v>
      </c>
      <c r="D321" s="3" t="str">
        <f t="shared" ca="1" si="30"/>
        <v>Commercial</v>
      </c>
      <c r="E321" s="3" t="str" cm="1">
        <f t="array" aca="1" ref="E321" ca="1">_xlfn.IFS(D321="Industrial", "Reinforced Concrete", D321 = "Commercial", CHOOSE(RANDBETWEEN(1, 2), "Reinforced Concrete", "Unreinforced Masonry"), D321 = "Residential", CHOOSE(RANDBETWEEN(1, 3), "Reinforced Concrete", "Unreinforced Masonry", "Adobe / Light Timber"))</f>
        <v>Unreinforced Masonry</v>
      </c>
      <c r="F321" s="3">
        <f t="shared" ca="1" si="31"/>
        <v>2018</v>
      </c>
      <c r="G321" s="3">
        <f t="shared" ca="1" si="32"/>
        <v>4</v>
      </c>
      <c r="H321" s="2">
        <f t="shared" ca="1" si="33"/>
        <v>1</v>
      </c>
      <c r="I321" s="4">
        <f t="shared" ca="1" si="34"/>
        <v>10177379</v>
      </c>
    </row>
    <row r="322" spans="1:9">
      <c r="A322" s="1">
        <v>10000321</v>
      </c>
      <c r="B322" s="3" t="str">
        <f t="shared" ca="1" si="28"/>
        <v>Kolkata</v>
      </c>
      <c r="C322" s="3" t="str">
        <f t="shared" ca="1" si="29"/>
        <v>Moderate Risk</v>
      </c>
      <c r="D322" s="3" t="str">
        <f t="shared" ca="1" si="30"/>
        <v>Commercial</v>
      </c>
      <c r="E322" s="3" t="str" cm="1">
        <f t="array" aca="1" ref="E322" ca="1">_xlfn.IFS(D322="Industrial", "Reinforced Concrete", D322 = "Commercial", CHOOSE(RANDBETWEEN(1, 2), "Reinforced Concrete", "Unreinforced Masonry"), D322 = "Residential", CHOOSE(RANDBETWEEN(1, 3), "Reinforced Concrete", "Unreinforced Masonry", "Adobe / Light Timber"))</f>
        <v>Reinforced Concrete</v>
      </c>
      <c r="F322" s="3">
        <f t="shared" ca="1" si="31"/>
        <v>1998</v>
      </c>
      <c r="G322" s="3">
        <f t="shared" ca="1" si="32"/>
        <v>3</v>
      </c>
      <c r="H322" s="2">
        <f t="shared" ca="1" si="33"/>
        <v>4</v>
      </c>
      <c r="I322" s="4">
        <f t="shared" ca="1" si="34"/>
        <v>16372368</v>
      </c>
    </row>
    <row r="323" spans="1:9">
      <c r="A323" s="1">
        <v>10000322</v>
      </c>
      <c r="B323" s="3" t="str">
        <f t="shared" ref="B323:B386" ca="1" si="35">CHOOSE(RANDBETWEEN(1, 6),"South 24 Parganas", "Malda", "Jalpaiguri","Kolkata","Hooghly","Paschim Medinipur")</f>
        <v>Malda</v>
      </c>
      <c r="C323" s="3" t="str">
        <f t="shared" ref="C323:C386" ca="1" si="36">IF(OR(B323 = "South 24 Parganas", B323 = "Malda", B323 = "Jalpaiguri"), "High Risk", "Moderate Risk")</f>
        <v>High Risk</v>
      </c>
      <c r="D323" s="3" t="str">
        <f t="shared" ref="D323:D386" ca="1" si="37">CHOOSE(RANDBETWEEN(1, 3), "Residential","Commercial","Industrial")</f>
        <v>Residential</v>
      </c>
      <c r="E323" s="3" t="str" cm="1">
        <f t="array" aca="1" ref="E323" ca="1">_xlfn.IFS(D323="Industrial", "Reinforced Concrete", D323 = "Commercial", CHOOSE(RANDBETWEEN(1, 2), "Reinforced Concrete", "Unreinforced Masonry"), D323 = "Residential", CHOOSE(RANDBETWEEN(1, 3), "Reinforced Concrete", "Unreinforced Masonry", "Adobe / Light Timber"))</f>
        <v>Reinforced Concrete</v>
      </c>
      <c r="F323" s="3">
        <f t="shared" ref="F323:F386" ca="1" si="38">RANDBETWEEN(1980, 2024)</f>
        <v>2012</v>
      </c>
      <c r="G323" s="3">
        <f t="shared" ref="G323:G386" ca="1" si="39">IF(E323 = "Adobe / Light Timber", 1, RANDBETWEEN(1, 5))</f>
        <v>2</v>
      </c>
      <c r="H323" s="2">
        <f t="shared" ref="H323:H386" ca="1" si="40">IF(E323="Reinforced Concrete",RANDBETWEEN(3, 5),RANDBETWEEN(0,2))</f>
        <v>5</v>
      </c>
      <c r="I323" s="4">
        <f t="shared" ref="I323:I386" ca="1" si="41">MAX(200000, _xlfn.IFS(D323 = "Industrial", ROUND(_xlfn.NORM.INV(RAND(), 50000000, 10000000), 0), D323 = "Commercial",ROUND(_xlfn.NORM.INV(RAND(), 15000000, 5000000), 0),E323 = "Adobe / Light Timber", ROUND(_xlfn.NORM.INV(RAND(), 500000, 100000), 0),TRUE, ROUND(_xlfn.NORM.INV(RAND(), 4000000, 1500000), 0)))</f>
        <v>988014</v>
      </c>
    </row>
    <row r="324" spans="1:9">
      <c r="A324" s="1">
        <v>10000323</v>
      </c>
      <c r="B324" s="3" t="str">
        <f t="shared" ca="1" si="35"/>
        <v>Hooghly</v>
      </c>
      <c r="C324" s="3" t="str">
        <f t="shared" ca="1" si="36"/>
        <v>Moderate Risk</v>
      </c>
      <c r="D324" s="3" t="str">
        <f t="shared" ca="1" si="37"/>
        <v>Commercial</v>
      </c>
      <c r="E324" s="3" t="str" cm="1">
        <f t="array" aca="1" ref="E324" ca="1">_xlfn.IFS(D324="Industrial", "Reinforced Concrete", D324 = "Commercial", CHOOSE(RANDBETWEEN(1, 2), "Reinforced Concrete", "Unreinforced Masonry"), D324 = "Residential", CHOOSE(RANDBETWEEN(1, 3), "Reinforced Concrete", "Unreinforced Masonry", "Adobe / Light Timber"))</f>
        <v>Unreinforced Masonry</v>
      </c>
      <c r="F324" s="3">
        <f t="shared" ca="1" si="38"/>
        <v>2020</v>
      </c>
      <c r="G324" s="3">
        <f t="shared" ca="1" si="39"/>
        <v>5</v>
      </c>
      <c r="H324" s="2">
        <f t="shared" ca="1" si="40"/>
        <v>0</v>
      </c>
      <c r="I324" s="4">
        <f t="shared" ca="1" si="41"/>
        <v>11758316</v>
      </c>
    </row>
    <row r="325" spans="1:9">
      <c r="A325" s="1">
        <v>10000324</v>
      </c>
      <c r="B325" s="3" t="str">
        <f t="shared" ca="1" si="35"/>
        <v>Kolkata</v>
      </c>
      <c r="C325" s="3" t="str">
        <f t="shared" ca="1" si="36"/>
        <v>Moderate Risk</v>
      </c>
      <c r="D325" s="3" t="str">
        <f t="shared" ca="1" si="37"/>
        <v>Residential</v>
      </c>
      <c r="E325" s="3" t="str" cm="1">
        <f t="array" aca="1" ref="E325" ca="1">_xlfn.IFS(D325="Industrial", "Reinforced Concrete", D325 = "Commercial", CHOOSE(RANDBETWEEN(1, 2), "Reinforced Concrete", "Unreinforced Masonry"), D325 = "Residential", CHOOSE(RANDBETWEEN(1, 3), "Reinforced Concrete", "Unreinforced Masonry", "Adobe / Light Timber"))</f>
        <v>Unreinforced Masonry</v>
      </c>
      <c r="F325" s="3">
        <f t="shared" ca="1" si="38"/>
        <v>2004</v>
      </c>
      <c r="G325" s="3">
        <f t="shared" ca="1" si="39"/>
        <v>4</v>
      </c>
      <c r="H325" s="2">
        <f t="shared" ca="1" si="40"/>
        <v>0</v>
      </c>
      <c r="I325" s="4">
        <f t="shared" ca="1" si="41"/>
        <v>1612314</v>
      </c>
    </row>
    <row r="326" spans="1:9">
      <c r="A326" s="1">
        <v>10000325</v>
      </c>
      <c r="B326" s="3" t="str">
        <f t="shared" ca="1" si="35"/>
        <v>Kolkata</v>
      </c>
      <c r="C326" s="3" t="str">
        <f t="shared" ca="1" si="36"/>
        <v>Moderate Risk</v>
      </c>
      <c r="D326" s="3" t="str">
        <f t="shared" ca="1" si="37"/>
        <v>Industrial</v>
      </c>
      <c r="E326" s="3" t="str" cm="1">
        <f t="array" aca="1" ref="E326" ca="1">_xlfn.IFS(D326="Industrial", "Reinforced Concrete", D326 = "Commercial", CHOOSE(RANDBETWEEN(1, 2), "Reinforced Concrete", "Unreinforced Masonry"), D326 = "Residential", CHOOSE(RANDBETWEEN(1, 3), "Reinforced Concrete", "Unreinforced Masonry", "Adobe / Light Timber"))</f>
        <v>Reinforced Concrete</v>
      </c>
      <c r="F326" s="3">
        <f t="shared" ca="1" si="38"/>
        <v>1993</v>
      </c>
      <c r="G326" s="3">
        <f t="shared" ca="1" si="39"/>
        <v>5</v>
      </c>
      <c r="H326" s="2">
        <f t="shared" ca="1" si="40"/>
        <v>5</v>
      </c>
      <c r="I326" s="4">
        <f t="shared" ca="1" si="41"/>
        <v>48850682</v>
      </c>
    </row>
    <row r="327" spans="1:9">
      <c r="A327" s="1">
        <v>10000326</v>
      </c>
      <c r="B327" s="3" t="str">
        <f t="shared" ca="1" si="35"/>
        <v>South 24 Parganas</v>
      </c>
      <c r="C327" s="3" t="str">
        <f t="shared" ca="1" si="36"/>
        <v>High Risk</v>
      </c>
      <c r="D327" s="3" t="str">
        <f t="shared" ca="1" si="37"/>
        <v>Commercial</v>
      </c>
      <c r="E327" s="3" t="str" cm="1">
        <f t="array" aca="1" ref="E327" ca="1">_xlfn.IFS(D327="Industrial", "Reinforced Concrete", D327 = "Commercial", CHOOSE(RANDBETWEEN(1, 2), "Reinforced Concrete", "Unreinforced Masonry"), D327 = "Residential", CHOOSE(RANDBETWEEN(1, 3), "Reinforced Concrete", "Unreinforced Masonry", "Adobe / Light Timber"))</f>
        <v>Reinforced Concrete</v>
      </c>
      <c r="F327" s="3">
        <f t="shared" ca="1" si="38"/>
        <v>2016</v>
      </c>
      <c r="G327" s="3">
        <f t="shared" ca="1" si="39"/>
        <v>4</v>
      </c>
      <c r="H327" s="2">
        <f t="shared" ca="1" si="40"/>
        <v>5</v>
      </c>
      <c r="I327" s="4">
        <f t="shared" ca="1" si="41"/>
        <v>21027546</v>
      </c>
    </row>
    <row r="328" spans="1:9">
      <c r="A328" s="1">
        <v>10000327</v>
      </c>
      <c r="B328" s="3" t="str">
        <f t="shared" ca="1" si="35"/>
        <v>Kolkata</v>
      </c>
      <c r="C328" s="3" t="str">
        <f t="shared" ca="1" si="36"/>
        <v>Moderate Risk</v>
      </c>
      <c r="D328" s="3" t="str">
        <f t="shared" ca="1" si="37"/>
        <v>Industrial</v>
      </c>
      <c r="E328" s="3" t="str" cm="1">
        <f t="array" aca="1" ref="E328" ca="1">_xlfn.IFS(D328="Industrial", "Reinforced Concrete", D328 = "Commercial", CHOOSE(RANDBETWEEN(1, 2), "Reinforced Concrete", "Unreinforced Masonry"), D328 = "Residential", CHOOSE(RANDBETWEEN(1, 3), "Reinforced Concrete", "Unreinforced Masonry", "Adobe / Light Timber"))</f>
        <v>Reinforced Concrete</v>
      </c>
      <c r="F328" s="3">
        <f t="shared" ca="1" si="38"/>
        <v>2005</v>
      </c>
      <c r="G328" s="3">
        <f t="shared" ca="1" si="39"/>
        <v>2</v>
      </c>
      <c r="H328" s="2">
        <f t="shared" ca="1" si="40"/>
        <v>3</v>
      </c>
      <c r="I328" s="4">
        <f t="shared" ca="1" si="41"/>
        <v>50915319</v>
      </c>
    </row>
    <row r="329" spans="1:9">
      <c r="A329" s="1">
        <v>10000328</v>
      </c>
      <c r="B329" s="3" t="str">
        <f t="shared" ca="1" si="35"/>
        <v>Paschim Medinipur</v>
      </c>
      <c r="C329" s="3" t="str">
        <f t="shared" ca="1" si="36"/>
        <v>Moderate Risk</v>
      </c>
      <c r="D329" s="3" t="str">
        <f t="shared" ca="1" si="37"/>
        <v>Commercial</v>
      </c>
      <c r="E329" s="3" t="str" cm="1">
        <f t="array" aca="1" ref="E329" ca="1">_xlfn.IFS(D329="Industrial", "Reinforced Concrete", D329 = "Commercial", CHOOSE(RANDBETWEEN(1, 2), "Reinforced Concrete", "Unreinforced Masonry"), D329 = "Residential", CHOOSE(RANDBETWEEN(1, 3), "Reinforced Concrete", "Unreinforced Masonry", "Adobe / Light Timber"))</f>
        <v>Unreinforced Masonry</v>
      </c>
      <c r="F329" s="3">
        <f t="shared" ca="1" si="38"/>
        <v>1998</v>
      </c>
      <c r="G329" s="3">
        <f t="shared" ca="1" si="39"/>
        <v>1</v>
      </c>
      <c r="H329" s="2">
        <f t="shared" ca="1" si="40"/>
        <v>1</v>
      </c>
      <c r="I329" s="4">
        <f t="shared" ca="1" si="41"/>
        <v>10434777</v>
      </c>
    </row>
    <row r="330" spans="1:9">
      <c r="A330" s="1">
        <v>10000329</v>
      </c>
      <c r="B330" s="3" t="str">
        <f t="shared" ca="1" si="35"/>
        <v>Malda</v>
      </c>
      <c r="C330" s="3" t="str">
        <f t="shared" ca="1" si="36"/>
        <v>High Risk</v>
      </c>
      <c r="D330" s="3" t="str">
        <f t="shared" ca="1" si="37"/>
        <v>Residential</v>
      </c>
      <c r="E330" s="3" t="str" cm="1">
        <f t="array" aca="1" ref="E330" ca="1">_xlfn.IFS(D330="Industrial", "Reinforced Concrete", D330 = "Commercial", CHOOSE(RANDBETWEEN(1, 2), "Reinforced Concrete", "Unreinforced Masonry"), D330 = "Residential", CHOOSE(RANDBETWEEN(1, 3), "Reinforced Concrete", "Unreinforced Masonry", "Adobe / Light Timber"))</f>
        <v>Adobe / Light Timber</v>
      </c>
      <c r="F330" s="3">
        <f t="shared" ca="1" si="38"/>
        <v>2004</v>
      </c>
      <c r="G330" s="3">
        <f t="shared" ca="1" si="39"/>
        <v>1</v>
      </c>
      <c r="H330" s="2">
        <f t="shared" ca="1" si="40"/>
        <v>1</v>
      </c>
      <c r="I330" s="4">
        <f t="shared" ca="1" si="41"/>
        <v>394626</v>
      </c>
    </row>
    <row r="331" spans="1:9">
      <c r="A331" s="1">
        <v>10000330</v>
      </c>
      <c r="B331" s="3" t="str">
        <f t="shared" ca="1" si="35"/>
        <v>Kolkata</v>
      </c>
      <c r="C331" s="3" t="str">
        <f t="shared" ca="1" si="36"/>
        <v>Moderate Risk</v>
      </c>
      <c r="D331" s="3" t="str">
        <f t="shared" ca="1" si="37"/>
        <v>Residential</v>
      </c>
      <c r="E331" s="3" t="str" cm="1">
        <f t="array" aca="1" ref="E331" ca="1">_xlfn.IFS(D331="Industrial", "Reinforced Concrete", D331 = "Commercial", CHOOSE(RANDBETWEEN(1, 2), "Reinforced Concrete", "Unreinforced Masonry"), D331 = "Residential", CHOOSE(RANDBETWEEN(1, 3), "Reinforced Concrete", "Unreinforced Masonry", "Adobe / Light Timber"))</f>
        <v>Reinforced Concrete</v>
      </c>
      <c r="F331" s="3">
        <f t="shared" ca="1" si="38"/>
        <v>2015</v>
      </c>
      <c r="G331" s="3">
        <f t="shared" ca="1" si="39"/>
        <v>5</v>
      </c>
      <c r="H331" s="2">
        <f t="shared" ca="1" si="40"/>
        <v>5</v>
      </c>
      <c r="I331" s="4">
        <f t="shared" ca="1" si="41"/>
        <v>6411166</v>
      </c>
    </row>
    <row r="332" spans="1:9">
      <c r="A332" s="1">
        <v>10000331</v>
      </c>
      <c r="B332" s="3" t="str">
        <f t="shared" ca="1" si="35"/>
        <v>South 24 Parganas</v>
      </c>
      <c r="C332" s="3" t="str">
        <f t="shared" ca="1" si="36"/>
        <v>High Risk</v>
      </c>
      <c r="D332" s="3" t="str">
        <f t="shared" ca="1" si="37"/>
        <v>Residential</v>
      </c>
      <c r="E332" s="3" t="str" cm="1">
        <f t="array" aca="1" ref="E332" ca="1">_xlfn.IFS(D332="Industrial", "Reinforced Concrete", D332 = "Commercial", CHOOSE(RANDBETWEEN(1, 2), "Reinforced Concrete", "Unreinforced Masonry"), D332 = "Residential", CHOOSE(RANDBETWEEN(1, 3), "Reinforced Concrete", "Unreinforced Masonry", "Adobe / Light Timber"))</f>
        <v>Reinforced Concrete</v>
      </c>
      <c r="F332" s="3">
        <f t="shared" ca="1" si="38"/>
        <v>1995</v>
      </c>
      <c r="G332" s="3">
        <f t="shared" ca="1" si="39"/>
        <v>5</v>
      </c>
      <c r="H332" s="2">
        <f t="shared" ca="1" si="40"/>
        <v>3</v>
      </c>
      <c r="I332" s="4">
        <f t="shared" ca="1" si="41"/>
        <v>7554037</v>
      </c>
    </row>
    <row r="333" spans="1:9">
      <c r="A333" s="1">
        <v>10000332</v>
      </c>
      <c r="B333" s="3" t="str">
        <f t="shared" ca="1" si="35"/>
        <v>Jalpaiguri</v>
      </c>
      <c r="C333" s="3" t="str">
        <f t="shared" ca="1" si="36"/>
        <v>High Risk</v>
      </c>
      <c r="D333" s="3" t="str">
        <f t="shared" ca="1" si="37"/>
        <v>Industrial</v>
      </c>
      <c r="E333" s="3" t="str" cm="1">
        <f t="array" aca="1" ref="E333" ca="1">_xlfn.IFS(D333="Industrial", "Reinforced Concrete", D333 = "Commercial", CHOOSE(RANDBETWEEN(1, 2), "Reinforced Concrete", "Unreinforced Masonry"), D333 = "Residential", CHOOSE(RANDBETWEEN(1, 3), "Reinforced Concrete", "Unreinforced Masonry", "Adobe / Light Timber"))</f>
        <v>Reinforced Concrete</v>
      </c>
      <c r="F333" s="3">
        <f t="shared" ca="1" si="38"/>
        <v>2009</v>
      </c>
      <c r="G333" s="3">
        <f t="shared" ca="1" si="39"/>
        <v>4</v>
      </c>
      <c r="H333" s="2">
        <f t="shared" ca="1" si="40"/>
        <v>5</v>
      </c>
      <c r="I333" s="4">
        <f t="shared" ca="1" si="41"/>
        <v>35633153</v>
      </c>
    </row>
    <row r="334" spans="1:9">
      <c r="A334" s="1">
        <v>10000333</v>
      </c>
      <c r="B334" s="3" t="str">
        <f t="shared" ca="1" si="35"/>
        <v>Malda</v>
      </c>
      <c r="C334" s="3" t="str">
        <f t="shared" ca="1" si="36"/>
        <v>High Risk</v>
      </c>
      <c r="D334" s="3" t="str">
        <f t="shared" ca="1" si="37"/>
        <v>Commercial</v>
      </c>
      <c r="E334" s="3" t="str" cm="1">
        <f t="array" aca="1" ref="E334" ca="1">_xlfn.IFS(D334="Industrial", "Reinforced Concrete", D334 = "Commercial", CHOOSE(RANDBETWEEN(1, 2), "Reinforced Concrete", "Unreinforced Masonry"), D334 = "Residential", CHOOSE(RANDBETWEEN(1, 3), "Reinforced Concrete", "Unreinforced Masonry", "Adobe / Light Timber"))</f>
        <v>Reinforced Concrete</v>
      </c>
      <c r="F334" s="3">
        <f t="shared" ca="1" si="38"/>
        <v>2015</v>
      </c>
      <c r="G334" s="3">
        <f t="shared" ca="1" si="39"/>
        <v>4</v>
      </c>
      <c r="H334" s="2">
        <f t="shared" ca="1" si="40"/>
        <v>5</v>
      </c>
      <c r="I334" s="4">
        <f t="shared" ca="1" si="41"/>
        <v>14038665</v>
      </c>
    </row>
    <row r="335" spans="1:9">
      <c r="A335" s="1">
        <v>10000334</v>
      </c>
      <c r="B335" s="3" t="str">
        <f t="shared" ca="1" si="35"/>
        <v>Jalpaiguri</v>
      </c>
      <c r="C335" s="3" t="str">
        <f t="shared" ca="1" si="36"/>
        <v>High Risk</v>
      </c>
      <c r="D335" s="3" t="str">
        <f t="shared" ca="1" si="37"/>
        <v>Residential</v>
      </c>
      <c r="E335" s="3" t="str" cm="1">
        <f t="array" aca="1" ref="E335" ca="1">_xlfn.IFS(D335="Industrial", "Reinforced Concrete", D335 = "Commercial", CHOOSE(RANDBETWEEN(1, 2), "Reinforced Concrete", "Unreinforced Masonry"), D335 = "Residential", CHOOSE(RANDBETWEEN(1, 3), "Reinforced Concrete", "Unreinforced Masonry", "Adobe / Light Timber"))</f>
        <v>Reinforced Concrete</v>
      </c>
      <c r="F335" s="3">
        <f t="shared" ca="1" si="38"/>
        <v>2020</v>
      </c>
      <c r="G335" s="3">
        <f t="shared" ca="1" si="39"/>
        <v>4</v>
      </c>
      <c r="H335" s="2">
        <f t="shared" ca="1" si="40"/>
        <v>3</v>
      </c>
      <c r="I335" s="4">
        <f t="shared" ca="1" si="41"/>
        <v>6924847</v>
      </c>
    </row>
    <row r="336" spans="1:9">
      <c r="A336" s="1">
        <v>10000335</v>
      </c>
      <c r="B336" s="3" t="str">
        <f t="shared" ca="1" si="35"/>
        <v>Hooghly</v>
      </c>
      <c r="C336" s="3" t="str">
        <f t="shared" ca="1" si="36"/>
        <v>Moderate Risk</v>
      </c>
      <c r="D336" s="3" t="str">
        <f t="shared" ca="1" si="37"/>
        <v>Industrial</v>
      </c>
      <c r="E336" s="3" t="str" cm="1">
        <f t="array" aca="1" ref="E336" ca="1">_xlfn.IFS(D336="Industrial", "Reinforced Concrete", D336 = "Commercial", CHOOSE(RANDBETWEEN(1, 2), "Reinforced Concrete", "Unreinforced Masonry"), D336 = "Residential", CHOOSE(RANDBETWEEN(1, 3), "Reinforced Concrete", "Unreinforced Masonry", "Adobe / Light Timber"))</f>
        <v>Reinforced Concrete</v>
      </c>
      <c r="F336" s="3">
        <f t="shared" ca="1" si="38"/>
        <v>1980</v>
      </c>
      <c r="G336" s="3">
        <f t="shared" ca="1" si="39"/>
        <v>3</v>
      </c>
      <c r="H336" s="2">
        <f t="shared" ca="1" si="40"/>
        <v>3</v>
      </c>
      <c r="I336" s="4">
        <f t="shared" ca="1" si="41"/>
        <v>59953880</v>
      </c>
    </row>
    <row r="337" spans="1:9">
      <c r="A337" s="1">
        <v>10000336</v>
      </c>
      <c r="B337" s="3" t="str">
        <f t="shared" ca="1" si="35"/>
        <v>Hooghly</v>
      </c>
      <c r="C337" s="3" t="str">
        <f t="shared" ca="1" si="36"/>
        <v>Moderate Risk</v>
      </c>
      <c r="D337" s="3" t="str">
        <f t="shared" ca="1" si="37"/>
        <v>Residential</v>
      </c>
      <c r="E337" s="3" t="str" cm="1">
        <f t="array" aca="1" ref="E337" ca="1">_xlfn.IFS(D337="Industrial", "Reinforced Concrete", D337 = "Commercial", CHOOSE(RANDBETWEEN(1, 2), "Reinforced Concrete", "Unreinforced Masonry"), D337 = "Residential", CHOOSE(RANDBETWEEN(1, 3), "Reinforced Concrete", "Unreinforced Masonry", "Adobe / Light Timber"))</f>
        <v>Adobe / Light Timber</v>
      </c>
      <c r="F337" s="3">
        <f t="shared" ca="1" si="38"/>
        <v>2003</v>
      </c>
      <c r="G337" s="3">
        <f t="shared" ca="1" si="39"/>
        <v>1</v>
      </c>
      <c r="H337" s="2">
        <f t="shared" ca="1" si="40"/>
        <v>1</v>
      </c>
      <c r="I337" s="4">
        <f t="shared" ca="1" si="41"/>
        <v>539187</v>
      </c>
    </row>
    <row r="338" spans="1:9">
      <c r="A338" s="1">
        <v>10000337</v>
      </c>
      <c r="B338" s="3" t="str">
        <f t="shared" ca="1" si="35"/>
        <v>South 24 Parganas</v>
      </c>
      <c r="C338" s="3" t="str">
        <f t="shared" ca="1" si="36"/>
        <v>High Risk</v>
      </c>
      <c r="D338" s="3" t="str">
        <f t="shared" ca="1" si="37"/>
        <v>Residential</v>
      </c>
      <c r="E338" s="3" t="str" cm="1">
        <f t="array" aca="1" ref="E338" ca="1">_xlfn.IFS(D338="Industrial", "Reinforced Concrete", D338 = "Commercial", CHOOSE(RANDBETWEEN(1, 2), "Reinforced Concrete", "Unreinforced Masonry"), D338 = "Residential", CHOOSE(RANDBETWEEN(1, 3), "Reinforced Concrete", "Unreinforced Masonry", "Adobe / Light Timber"))</f>
        <v>Unreinforced Masonry</v>
      </c>
      <c r="F338" s="3">
        <f t="shared" ca="1" si="38"/>
        <v>1990</v>
      </c>
      <c r="G338" s="3">
        <f t="shared" ca="1" si="39"/>
        <v>2</v>
      </c>
      <c r="H338" s="2">
        <f t="shared" ca="1" si="40"/>
        <v>2</v>
      </c>
      <c r="I338" s="4">
        <f t="shared" ca="1" si="41"/>
        <v>3414414</v>
      </c>
    </row>
    <row r="339" spans="1:9">
      <c r="A339" s="1">
        <v>10000338</v>
      </c>
      <c r="B339" s="3" t="str">
        <f t="shared" ca="1" si="35"/>
        <v>Jalpaiguri</v>
      </c>
      <c r="C339" s="3" t="str">
        <f t="shared" ca="1" si="36"/>
        <v>High Risk</v>
      </c>
      <c r="D339" s="3" t="str">
        <f t="shared" ca="1" si="37"/>
        <v>Residential</v>
      </c>
      <c r="E339" s="3" t="str" cm="1">
        <f t="array" aca="1" ref="E339" ca="1">_xlfn.IFS(D339="Industrial", "Reinforced Concrete", D339 = "Commercial", CHOOSE(RANDBETWEEN(1, 2), "Reinforced Concrete", "Unreinforced Masonry"), D339 = "Residential", CHOOSE(RANDBETWEEN(1, 3), "Reinforced Concrete", "Unreinforced Masonry", "Adobe / Light Timber"))</f>
        <v>Reinforced Concrete</v>
      </c>
      <c r="F339" s="3">
        <f t="shared" ca="1" si="38"/>
        <v>1983</v>
      </c>
      <c r="G339" s="3">
        <f t="shared" ca="1" si="39"/>
        <v>1</v>
      </c>
      <c r="H339" s="2">
        <f t="shared" ca="1" si="40"/>
        <v>3</v>
      </c>
      <c r="I339" s="4">
        <f t="shared" ca="1" si="41"/>
        <v>5065629</v>
      </c>
    </row>
    <row r="340" spans="1:9">
      <c r="A340" s="1">
        <v>10000339</v>
      </c>
      <c r="B340" s="3" t="str">
        <f t="shared" ca="1" si="35"/>
        <v>Jalpaiguri</v>
      </c>
      <c r="C340" s="3" t="str">
        <f t="shared" ca="1" si="36"/>
        <v>High Risk</v>
      </c>
      <c r="D340" s="3" t="str">
        <f t="shared" ca="1" si="37"/>
        <v>Commercial</v>
      </c>
      <c r="E340" s="3" t="str" cm="1">
        <f t="array" aca="1" ref="E340" ca="1">_xlfn.IFS(D340="Industrial", "Reinforced Concrete", D340 = "Commercial", CHOOSE(RANDBETWEEN(1, 2), "Reinforced Concrete", "Unreinforced Masonry"), D340 = "Residential", CHOOSE(RANDBETWEEN(1, 3), "Reinforced Concrete", "Unreinforced Masonry", "Adobe / Light Timber"))</f>
        <v>Reinforced Concrete</v>
      </c>
      <c r="F340" s="3">
        <f t="shared" ca="1" si="38"/>
        <v>1993</v>
      </c>
      <c r="G340" s="3">
        <f t="shared" ca="1" si="39"/>
        <v>5</v>
      </c>
      <c r="H340" s="2">
        <f t="shared" ca="1" si="40"/>
        <v>5</v>
      </c>
      <c r="I340" s="4">
        <f t="shared" ca="1" si="41"/>
        <v>18542548</v>
      </c>
    </row>
    <row r="341" spans="1:9">
      <c r="A341" s="1">
        <v>10000340</v>
      </c>
      <c r="B341" s="3" t="str">
        <f t="shared" ca="1" si="35"/>
        <v>Paschim Medinipur</v>
      </c>
      <c r="C341" s="3" t="str">
        <f t="shared" ca="1" si="36"/>
        <v>Moderate Risk</v>
      </c>
      <c r="D341" s="3" t="str">
        <f t="shared" ca="1" si="37"/>
        <v>Commercial</v>
      </c>
      <c r="E341" s="3" t="str" cm="1">
        <f t="array" aca="1" ref="E341" ca="1">_xlfn.IFS(D341="Industrial", "Reinforced Concrete", D341 = "Commercial", CHOOSE(RANDBETWEEN(1, 2), "Reinforced Concrete", "Unreinforced Masonry"), D341 = "Residential", CHOOSE(RANDBETWEEN(1, 3), "Reinforced Concrete", "Unreinforced Masonry", "Adobe / Light Timber"))</f>
        <v>Reinforced Concrete</v>
      </c>
      <c r="F341" s="3">
        <f t="shared" ca="1" si="38"/>
        <v>2012</v>
      </c>
      <c r="G341" s="3">
        <f t="shared" ca="1" si="39"/>
        <v>4</v>
      </c>
      <c r="H341" s="2">
        <f t="shared" ca="1" si="40"/>
        <v>3</v>
      </c>
      <c r="I341" s="4">
        <f t="shared" ca="1" si="41"/>
        <v>18553668</v>
      </c>
    </row>
    <row r="342" spans="1:9">
      <c r="A342" s="1">
        <v>10000341</v>
      </c>
      <c r="B342" s="3" t="str">
        <f t="shared" ca="1" si="35"/>
        <v>Paschim Medinipur</v>
      </c>
      <c r="C342" s="3" t="str">
        <f t="shared" ca="1" si="36"/>
        <v>Moderate Risk</v>
      </c>
      <c r="D342" s="3" t="str">
        <f t="shared" ca="1" si="37"/>
        <v>Commercial</v>
      </c>
      <c r="E342" s="3" t="str" cm="1">
        <f t="array" aca="1" ref="E342" ca="1">_xlfn.IFS(D342="Industrial", "Reinforced Concrete", D342 = "Commercial", CHOOSE(RANDBETWEEN(1, 2), "Reinforced Concrete", "Unreinforced Masonry"), D342 = "Residential", CHOOSE(RANDBETWEEN(1, 3), "Reinforced Concrete", "Unreinforced Masonry", "Adobe / Light Timber"))</f>
        <v>Unreinforced Masonry</v>
      </c>
      <c r="F342" s="3">
        <f t="shared" ca="1" si="38"/>
        <v>2014</v>
      </c>
      <c r="G342" s="3">
        <f t="shared" ca="1" si="39"/>
        <v>5</v>
      </c>
      <c r="H342" s="2">
        <f t="shared" ca="1" si="40"/>
        <v>0</v>
      </c>
      <c r="I342" s="4">
        <f t="shared" ca="1" si="41"/>
        <v>16726042</v>
      </c>
    </row>
    <row r="343" spans="1:9">
      <c r="A343" s="1">
        <v>10000342</v>
      </c>
      <c r="B343" s="3" t="str">
        <f t="shared" ca="1" si="35"/>
        <v>Hooghly</v>
      </c>
      <c r="C343" s="3" t="str">
        <f t="shared" ca="1" si="36"/>
        <v>Moderate Risk</v>
      </c>
      <c r="D343" s="3" t="str">
        <f t="shared" ca="1" si="37"/>
        <v>Residential</v>
      </c>
      <c r="E343" s="3" t="str" cm="1">
        <f t="array" aca="1" ref="E343" ca="1">_xlfn.IFS(D343="Industrial", "Reinforced Concrete", D343 = "Commercial", CHOOSE(RANDBETWEEN(1, 2), "Reinforced Concrete", "Unreinforced Masonry"), D343 = "Residential", CHOOSE(RANDBETWEEN(1, 3), "Reinforced Concrete", "Unreinforced Masonry", "Adobe / Light Timber"))</f>
        <v>Unreinforced Masonry</v>
      </c>
      <c r="F343" s="3">
        <f t="shared" ca="1" si="38"/>
        <v>1991</v>
      </c>
      <c r="G343" s="3">
        <f t="shared" ca="1" si="39"/>
        <v>1</v>
      </c>
      <c r="H343" s="2">
        <f t="shared" ca="1" si="40"/>
        <v>2</v>
      </c>
      <c r="I343" s="4">
        <f t="shared" ca="1" si="41"/>
        <v>3894653</v>
      </c>
    </row>
    <row r="344" spans="1:9">
      <c r="A344" s="1">
        <v>10000343</v>
      </c>
      <c r="B344" s="3" t="str">
        <f t="shared" ca="1" si="35"/>
        <v>South 24 Parganas</v>
      </c>
      <c r="C344" s="3" t="str">
        <f t="shared" ca="1" si="36"/>
        <v>High Risk</v>
      </c>
      <c r="D344" s="3" t="str">
        <f t="shared" ca="1" si="37"/>
        <v>Commercial</v>
      </c>
      <c r="E344" s="3" t="str" cm="1">
        <f t="array" aca="1" ref="E344" ca="1">_xlfn.IFS(D344="Industrial", "Reinforced Concrete", D344 = "Commercial", CHOOSE(RANDBETWEEN(1, 2), "Reinforced Concrete", "Unreinforced Masonry"), D344 = "Residential", CHOOSE(RANDBETWEEN(1, 3), "Reinforced Concrete", "Unreinforced Masonry", "Adobe / Light Timber"))</f>
        <v>Unreinforced Masonry</v>
      </c>
      <c r="F344" s="3">
        <f t="shared" ca="1" si="38"/>
        <v>2009</v>
      </c>
      <c r="G344" s="3">
        <f t="shared" ca="1" si="39"/>
        <v>3</v>
      </c>
      <c r="H344" s="2">
        <f t="shared" ca="1" si="40"/>
        <v>0</v>
      </c>
      <c r="I344" s="4">
        <f t="shared" ca="1" si="41"/>
        <v>16184824</v>
      </c>
    </row>
    <row r="345" spans="1:9">
      <c r="A345" s="1">
        <v>10000344</v>
      </c>
      <c r="B345" s="3" t="str">
        <f t="shared" ca="1" si="35"/>
        <v>Kolkata</v>
      </c>
      <c r="C345" s="3" t="str">
        <f t="shared" ca="1" si="36"/>
        <v>Moderate Risk</v>
      </c>
      <c r="D345" s="3" t="str">
        <f t="shared" ca="1" si="37"/>
        <v>Commercial</v>
      </c>
      <c r="E345" s="3" t="str" cm="1">
        <f t="array" aca="1" ref="E345" ca="1">_xlfn.IFS(D345="Industrial", "Reinforced Concrete", D345 = "Commercial", CHOOSE(RANDBETWEEN(1, 2), "Reinforced Concrete", "Unreinforced Masonry"), D345 = "Residential", CHOOSE(RANDBETWEEN(1, 3), "Reinforced Concrete", "Unreinforced Masonry", "Adobe / Light Timber"))</f>
        <v>Unreinforced Masonry</v>
      </c>
      <c r="F345" s="3">
        <f t="shared" ca="1" si="38"/>
        <v>2021</v>
      </c>
      <c r="G345" s="3">
        <f t="shared" ca="1" si="39"/>
        <v>4</v>
      </c>
      <c r="H345" s="2">
        <f t="shared" ca="1" si="40"/>
        <v>2</v>
      </c>
      <c r="I345" s="4">
        <f t="shared" ca="1" si="41"/>
        <v>17997745</v>
      </c>
    </row>
    <row r="346" spans="1:9">
      <c r="A346" s="1">
        <v>10000345</v>
      </c>
      <c r="B346" s="3" t="str">
        <f t="shared" ca="1" si="35"/>
        <v>Jalpaiguri</v>
      </c>
      <c r="C346" s="3" t="str">
        <f t="shared" ca="1" si="36"/>
        <v>High Risk</v>
      </c>
      <c r="D346" s="3" t="str">
        <f t="shared" ca="1" si="37"/>
        <v>Residential</v>
      </c>
      <c r="E346" s="3" t="str" cm="1">
        <f t="array" aca="1" ref="E346" ca="1">_xlfn.IFS(D346="Industrial", "Reinforced Concrete", D346 = "Commercial", CHOOSE(RANDBETWEEN(1, 2), "Reinforced Concrete", "Unreinforced Masonry"), D346 = "Residential", CHOOSE(RANDBETWEEN(1, 3), "Reinforced Concrete", "Unreinforced Masonry", "Adobe / Light Timber"))</f>
        <v>Reinforced Concrete</v>
      </c>
      <c r="F346" s="3">
        <f t="shared" ca="1" si="38"/>
        <v>2018</v>
      </c>
      <c r="G346" s="3">
        <f t="shared" ca="1" si="39"/>
        <v>1</v>
      </c>
      <c r="H346" s="2">
        <f t="shared" ca="1" si="40"/>
        <v>4</v>
      </c>
      <c r="I346" s="4">
        <f t="shared" ca="1" si="41"/>
        <v>3991001</v>
      </c>
    </row>
    <row r="347" spans="1:9">
      <c r="A347" s="1">
        <v>10000346</v>
      </c>
      <c r="B347" s="3" t="str">
        <f t="shared" ca="1" si="35"/>
        <v>Malda</v>
      </c>
      <c r="C347" s="3" t="str">
        <f t="shared" ca="1" si="36"/>
        <v>High Risk</v>
      </c>
      <c r="D347" s="3" t="str">
        <f t="shared" ca="1" si="37"/>
        <v>Residential</v>
      </c>
      <c r="E347" s="3" t="str" cm="1">
        <f t="array" aca="1" ref="E347" ca="1">_xlfn.IFS(D347="Industrial", "Reinforced Concrete", D347 = "Commercial", CHOOSE(RANDBETWEEN(1, 2), "Reinforced Concrete", "Unreinforced Masonry"), D347 = "Residential", CHOOSE(RANDBETWEEN(1, 3), "Reinforced Concrete", "Unreinforced Masonry", "Adobe / Light Timber"))</f>
        <v>Reinforced Concrete</v>
      </c>
      <c r="F347" s="3">
        <f t="shared" ca="1" si="38"/>
        <v>2012</v>
      </c>
      <c r="G347" s="3">
        <f t="shared" ca="1" si="39"/>
        <v>5</v>
      </c>
      <c r="H347" s="2">
        <f t="shared" ca="1" si="40"/>
        <v>4</v>
      </c>
      <c r="I347" s="4">
        <f t="shared" ca="1" si="41"/>
        <v>4365100</v>
      </c>
    </row>
    <row r="348" spans="1:9">
      <c r="A348" s="1">
        <v>10000347</v>
      </c>
      <c r="B348" s="3" t="str">
        <f t="shared" ca="1" si="35"/>
        <v>Paschim Medinipur</v>
      </c>
      <c r="C348" s="3" t="str">
        <f t="shared" ca="1" si="36"/>
        <v>Moderate Risk</v>
      </c>
      <c r="D348" s="3" t="str">
        <f t="shared" ca="1" si="37"/>
        <v>Residential</v>
      </c>
      <c r="E348" s="3" t="str" cm="1">
        <f t="array" aca="1" ref="E348" ca="1">_xlfn.IFS(D348="Industrial", "Reinforced Concrete", D348 = "Commercial", CHOOSE(RANDBETWEEN(1, 2), "Reinforced Concrete", "Unreinforced Masonry"), D348 = "Residential", CHOOSE(RANDBETWEEN(1, 3), "Reinforced Concrete", "Unreinforced Masonry", "Adobe / Light Timber"))</f>
        <v>Unreinforced Masonry</v>
      </c>
      <c r="F348" s="3">
        <f t="shared" ca="1" si="38"/>
        <v>2006</v>
      </c>
      <c r="G348" s="3">
        <f t="shared" ca="1" si="39"/>
        <v>3</v>
      </c>
      <c r="H348" s="2">
        <f t="shared" ca="1" si="40"/>
        <v>1</v>
      </c>
      <c r="I348" s="4">
        <f t="shared" ca="1" si="41"/>
        <v>6012882</v>
      </c>
    </row>
    <row r="349" spans="1:9">
      <c r="A349" s="1">
        <v>10000348</v>
      </c>
      <c r="B349" s="3" t="str">
        <f t="shared" ca="1" si="35"/>
        <v>Paschim Medinipur</v>
      </c>
      <c r="C349" s="3" t="str">
        <f t="shared" ca="1" si="36"/>
        <v>Moderate Risk</v>
      </c>
      <c r="D349" s="3" t="str">
        <f t="shared" ca="1" si="37"/>
        <v>Industrial</v>
      </c>
      <c r="E349" s="3" t="str" cm="1">
        <f t="array" aca="1" ref="E349" ca="1">_xlfn.IFS(D349="Industrial", "Reinforced Concrete", D349 = "Commercial", CHOOSE(RANDBETWEEN(1, 2), "Reinforced Concrete", "Unreinforced Masonry"), D349 = "Residential", CHOOSE(RANDBETWEEN(1, 3), "Reinforced Concrete", "Unreinforced Masonry", "Adobe / Light Timber"))</f>
        <v>Reinforced Concrete</v>
      </c>
      <c r="F349" s="3">
        <f t="shared" ca="1" si="38"/>
        <v>2012</v>
      </c>
      <c r="G349" s="3">
        <f t="shared" ca="1" si="39"/>
        <v>3</v>
      </c>
      <c r="H349" s="2">
        <f t="shared" ca="1" si="40"/>
        <v>5</v>
      </c>
      <c r="I349" s="4">
        <f t="shared" ca="1" si="41"/>
        <v>61487187</v>
      </c>
    </row>
    <row r="350" spans="1:9">
      <c r="A350" s="1">
        <v>10000349</v>
      </c>
      <c r="B350" s="3" t="str">
        <f t="shared" ca="1" si="35"/>
        <v>Jalpaiguri</v>
      </c>
      <c r="C350" s="3" t="str">
        <f t="shared" ca="1" si="36"/>
        <v>High Risk</v>
      </c>
      <c r="D350" s="3" t="str">
        <f t="shared" ca="1" si="37"/>
        <v>Industrial</v>
      </c>
      <c r="E350" s="3" t="str" cm="1">
        <f t="array" aca="1" ref="E350" ca="1">_xlfn.IFS(D350="Industrial", "Reinforced Concrete", D350 = "Commercial", CHOOSE(RANDBETWEEN(1, 2), "Reinforced Concrete", "Unreinforced Masonry"), D350 = "Residential", CHOOSE(RANDBETWEEN(1, 3), "Reinforced Concrete", "Unreinforced Masonry", "Adobe / Light Timber"))</f>
        <v>Reinforced Concrete</v>
      </c>
      <c r="F350" s="3">
        <f t="shared" ca="1" si="38"/>
        <v>1988</v>
      </c>
      <c r="G350" s="3">
        <f t="shared" ca="1" si="39"/>
        <v>5</v>
      </c>
      <c r="H350" s="2">
        <f t="shared" ca="1" si="40"/>
        <v>3</v>
      </c>
      <c r="I350" s="4">
        <f t="shared" ca="1" si="41"/>
        <v>43138783</v>
      </c>
    </row>
    <row r="351" spans="1:9">
      <c r="A351" s="1">
        <v>10000350</v>
      </c>
      <c r="B351" s="3" t="str">
        <f t="shared" ca="1" si="35"/>
        <v>Hooghly</v>
      </c>
      <c r="C351" s="3" t="str">
        <f t="shared" ca="1" si="36"/>
        <v>Moderate Risk</v>
      </c>
      <c r="D351" s="3" t="str">
        <f t="shared" ca="1" si="37"/>
        <v>Industrial</v>
      </c>
      <c r="E351" s="3" t="str" cm="1">
        <f t="array" aca="1" ref="E351" ca="1">_xlfn.IFS(D351="Industrial", "Reinforced Concrete", D351 = "Commercial", CHOOSE(RANDBETWEEN(1, 2), "Reinforced Concrete", "Unreinforced Masonry"), D351 = "Residential", CHOOSE(RANDBETWEEN(1, 3), "Reinforced Concrete", "Unreinforced Masonry", "Adobe / Light Timber"))</f>
        <v>Reinforced Concrete</v>
      </c>
      <c r="F351" s="3">
        <f t="shared" ca="1" si="38"/>
        <v>2007</v>
      </c>
      <c r="G351" s="3">
        <f t="shared" ca="1" si="39"/>
        <v>3</v>
      </c>
      <c r="H351" s="2">
        <f t="shared" ca="1" si="40"/>
        <v>5</v>
      </c>
      <c r="I351" s="4">
        <f t="shared" ca="1" si="41"/>
        <v>47779537</v>
      </c>
    </row>
    <row r="352" spans="1:9">
      <c r="A352" s="1">
        <v>10000351</v>
      </c>
      <c r="B352" s="3" t="str">
        <f t="shared" ca="1" si="35"/>
        <v>Malda</v>
      </c>
      <c r="C352" s="3" t="str">
        <f t="shared" ca="1" si="36"/>
        <v>High Risk</v>
      </c>
      <c r="D352" s="3" t="str">
        <f t="shared" ca="1" si="37"/>
        <v>Residential</v>
      </c>
      <c r="E352" s="3" t="str" cm="1">
        <f t="array" aca="1" ref="E352" ca="1">_xlfn.IFS(D352="Industrial", "Reinforced Concrete", D352 = "Commercial", CHOOSE(RANDBETWEEN(1, 2), "Reinforced Concrete", "Unreinforced Masonry"), D352 = "Residential", CHOOSE(RANDBETWEEN(1, 3), "Reinforced Concrete", "Unreinforced Masonry", "Adobe / Light Timber"))</f>
        <v>Adobe / Light Timber</v>
      </c>
      <c r="F352" s="3">
        <f t="shared" ca="1" si="38"/>
        <v>2023</v>
      </c>
      <c r="G352" s="3">
        <f t="shared" ca="1" si="39"/>
        <v>1</v>
      </c>
      <c r="H352" s="2">
        <f t="shared" ca="1" si="40"/>
        <v>1</v>
      </c>
      <c r="I352" s="4">
        <f t="shared" ca="1" si="41"/>
        <v>348317</v>
      </c>
    </row>
    <row r="353" spans="1:9">
      <c r="A353" s="1">
        <v>10000352</v>
      </c>
      <c r="B353" s="3" t="str">
        <f t="shared" ca="1" si="35"/>
        <v>Jalpaiguri</v>
      </c>
      <c r="C353" s="3" t="str">
        <f t="shared" ca="1" si="36"/>
        <v>High Risk</v>
      </c>
      <c r="D353" s="3" t="str">
        <f t="shared" ca="1" si="37"/>
        <v>Residential</v>
      </c>
      <c r="E353" s="3" t="str" cm="1">
        <f t="array" aca="1" ref="E353" ca="1">_xlfn.IFS(D353="Industrial", "Reinforced Concrete", D353 = "Commercial", CHOOSE(RANDBETWEEN(1, 2), "Reinforced Concrete", "Unreinforced Masonry"), D353 = "Residential", CHOOSE(RANDBETWEEN(1, 3), "Reinforced Concrete", "Unreinforced Masonry", "Adobe / Light Timber"))</f>
        <v>Adobe / Light Timber</v>
      </c>
      <c r="F353" s="3">
        <f t="shared" ca="1" si="38"/>
        <v>2006</v>
      </c>
      <c r="G353" s="3">
        <f t="shared" ca="1" si="39"/>
        <v>1</v>
      </c>
      <c r="H353" s="2">
        <f t="shared" ca="1" si="40"/>
        <v>1</v>
      </c>
      <c r="I353" s="4">
        <f t="shared" ca="1" si="41"/>
        <v>351604</v>
      </c>
    </row>
    <row r="354" spans="1:9">
      <c r="A354" s="1">
        <v>10000353</v>
      </c>
      <c r="B354" s="3" t="str">
        <f t="shared" ca="1" si="35"/>
        <v>Hooghly</v>
      </c>
      <c r="C354" s="3" t="str">
        <f t="shared" ca="1" si="36"/>
        <v>Moderate Risk</v>
      </c>
      <c r="D354" s="3" t="str">
        <f t="shared" ca="1" si="37"/>
        <v>Residential</v>
      </c>
      <c r="E354" s="3" t="str" cm="1">
        <f t="array" aca="1" ref="E354" ca="1">_xlfn.IFS(D354="Industrial", "Reinforced Concrete", D354 = "Commercial", CHOOSE(RANDBETWEEN(1, 2), "Reinforced Concrete", "Unreinforced Masonry"), D354 = "Residential", CHOOSE(RANDBETWEEN(1, 3), "Reinforced Concrete", "Unreinforced Masonry", "Adobe / Light Timber"))</f>
        <v>Adobe / Light Timber</v>
      </c>
      <c r="F354" s="3">
        <f t="shared" ca="1" si="38"/>
        <v>1996</v>
      </c>
      <c r="G354" s="3">
        <f t="shared" ca="1" si="39"/>
        <v>1</v>
      </c>
      <c r="H354" s="2">
        <f t="shared" ca="1" si="40"/>
        <v>0</v>
      </c>
      <c r="I354" s="4">
        <f t="shared" ca="1" si="41"/>
        <v>411742</v>
      </c>
    </row>
    <row r="355" spans="1:9">
      <c r="A355" s="1">
        <v>10000354</v>
      </c>
      <c r="B355" s="3" t="str">
        <f t="shared" ca="1" si="35"/>
        <v>Malda</v>
      </c>
      <c r="C355" s="3" t="str">
        <f t="shared" ca="1" si="36"/>
        <v>High Risk</v>
      </c>
      <c r="D355" s="3" t="str">
        <f t="shared" ca="1" si="37"/>
        <v>Residential</v>
      </c>
      <c r="E355" s="3" t="str" cm="1">
        <f t="array" aca="1" ref="E355" ca="1">_xlfn.IFS(D355="Industrial", "Reinforced Concrete", D355 = "Commercial", CHOOSE(RANDBETWEEN(1, 2), "Reinforced Concrete", "Unreinforced Masonry"), D355 = "Residential", CHOOSE(RANDBETWEEN(1, 3), "Reinforced Concrete", "Unreinforced Masonry", "Adobe / Light Timber"))</f>
        <v>Unreinforced Masonry</v>
      </c>
      <c r="F355" s="3">
        <f t="shared" ca="1" si="38"/>
        <v>1998</v>
      </c>
      <c r="G355" s="3">
        <f t="shared" ca="1" si="39"/>
        <v>5</v>
      </c>
      <c r="H355" s="2">
        <f t="shared" ca="1" si="40"/>
        <v>0</v>
      </c>
      <c r="I355" s="4">
        <f t="shared" ca="1" si="41"/>
        <v>1480019</v>
      </c>
    </row>
    <row r="356" spans="1:9">
      <c r="A356" s="1">
        <v>10000355</v>
      </c>
      <c r="B356" s="3" t="str">
        <f t="shared" ca="1" si="35"/>
        <v>Hooghly</v>
      </c>
      <c r="C356" s="3" t="str">
        <f t="shared" ca="1" si="36"/>
        <v>Moderate Risk</v>
      </c>
      <c r="D356" s="3" t="str">
        <f t="shared" ca="1" si="37"/>
        <v>Residential</v>
      </c>
      <c r="E356" s="3" t="str" cm="1">
        <f t="array" aca="1" ref="E356" ca="1">_xlfn.IFS(D356="Industrial", "Reinforced Concrete", D356 = "Commercial", CHOOSE(RANDBETWEEN(1, 2), "Reinforced Concrete", "Unreinforced Masonry"), D356 = "Residential", CHOOSE(RANDBETWEEN(1, 3), "Reinforced Concrete", "Unreinforced Masonry", "Adobe / Light Timber"))</f>
        <v>Adobe / Light Timber</v>
      </c>
      <c r="F356" s="3">
        <f t="shared" ca="1" si="38"/>
        <v>1990</v>
      </c>
      <c r="G356" s="3">
        <f t="shared" ca="1" si="39"/>
        <v>1</v>
      </c>
      <c r="H356" s="2">
        <f t="shared" ca="1" si="40"/>
        <v>1</v>
      </c>
      <c r="I356" s="4">
        <f t="shared" ca="1" si="41"/>
        <v>503820</v>
      </c>
    </row>
    <row r="357" spans="1:9">
      <c r="A357" s="1">
        <v>10000356</v>
      </c>
      <c r="B357" s="3" t="str">
        <f t="shared" ca="1" si="35"/>
        <v>Malda</v>
      </c>
      <c r="C357" s="3" t="str">
        <f t="shared" ca="1" si="36"/>
        <v>High Risk</v>
      </c>
      <c r="D357" s="3" t="str">
        <f t="shared" ca="1" si="37"/>
        <v>Industrial</v>
      </c>
      <c r="E357" s="3" t="str" cm="1">
        <f t="array" aca="1" ref="E357" ca="1">_xlfn.IFS(D357="Industrial", "Reinforced Concrete", D357 = "Commercial", CHOOSE(RANDBETWEEN(1, 2), "Reinforced Concrete", "Unreinforced Masonry"), D357 = "Residential", CHOOSE(RANDBETWEEN(1, 3), "Reinforced Concrete", "Unreinforced Masonry", "Adobe / Light Timber"))</f>
        <v>Reinforced Concrete</v>
      </c>
      <c r="F357" s="3">
        <f t="shared" ca="1" si="38"/>
        <v>2016</v>
      </c>
      <c r="G357" s="3">
        <f t="shared" ca="1" si="39"/>
        <v>5</v>
      </c>
      <c r="H357" s="2">
        <f t="shared" ca="1" si="40"/>
        <v>3</v>
      </c>
      <c r="I357" s="4">
        <f t="shared" ca="1" si="41"/>
        <v>46938384</v>
      </c>
    </row>
    <row r="358" spans="1:9">
      <c r="A358" s="1">
        <v>10000357</v>
      </c>
      <c r="B358" s="3" t="str">
        <f t="shared" ca="1" si="35"/>
        <v>Malda</v>
      </c>
      <c r="C358" s="3" t="str">
        <f t="shared" ca="1" si="36"/>
        <v>High Risk</v>
      </c>
      <c r="D358" s="3" t="str">
        <f t="shared" ca="1" si="37"/>
        <v>Industrial</v>
      </c>
      <c r="E358" s="3" t="str" cm="1">
        <f t="array" aca="1" ref="E358" ca="1">_xlfn.IFS(D358="Industrial", "Reinforced Concrete", D358 = "Commercial", CHOOSE(RANDBETWEEN(1, 2), "Reinforced Concrete", "Unreinforced Masonry"), D358 = "Residential", CHOOSE(RANDBETWEEN(1, 3), "Reinforced Concrete", "Unreinforced Masonry", "Adobe / Light Timber"))</f>
        <v>Reinforced Concrete</v>
      </c>
      <c r="F358" s="3">
        <f t="shared" ca="1" si="38"/>
        <v>1981</v>
      </c>
      <c r="G358" s="3">
        <f t="shared" ca="1" si="39"/>
        <v>3</v>
      </c>
      <c r="H358" s="2">
        <f t="shared" ca="1" si="40"/>
        <v>5</v>
      </c>
      <c r="I358" s="4">
        <f t="shared" ca="1" si="41"/>
        <v>36609467</v>
      </c>
    </row>
    <row r="359" spans="1:9">
      <c r="A359" s="1">
        <v>10000358</v>
      </c>
      <c r="B359" s="3" t="str">
        <f t="shared" ca="1" si="35"/>
        <v>Kolkata</v>
      </c>
      <c r="C359" s="3" t="str">
        <f t="shared" ca="1" si="36"/>
        <v>Moderate Risk</v>
      </c>
      <c r="D359" s="3" t="str">
        <f t="shared" ca="1" si="37"/>
        <v>Industrial</v>
      </c>
      <c r="E359" s="3" t="str" cm="1">
        <f t="array" aca="1" ref="E359" ca="1">_xlfn.IFS(D359="Industrial", "Reinforced Concrete", D359 = "Commercial", CHOOSE(RANDBETWEEN(1, 2), "Reinforced Concrete", "Unreinforced Masonry"), D359 = "Residential", CHOOSE(RANDBETWEEN(1, 3), "Reinforced Concrete", "Unreinforced Masonry", "Adobe / Light Timber"))</f>
        <v>Reinforced Concrete</v>
      </c>
      <c r="F359" s="3">
        <f t="shared" ca="1" si="38"/>
        <v>2015</v>
      </c>
      <c r="G359" s="3">
        <f t="shared" ca="1" si="39"/>
        <v>4</v>
      </c>
      <c r="H359" s="2">
        <f t="shared" ca="1" si="40"/>
        <v>4</v>
      </c>
      <c r="I359" s="4">
        <f t="shared" ca="1" si="41"/>
        <v>44573264</v>
      </c>
    </row>
    <row r="360" spans="1:9">
      <c r="A360" s="1">
        <v>10000359</v>
      </c>
      <c r="B360" s="3" t="str">
        <f t="shared" ca="1" si="35"/>
        <v>Paschim Medinipur</v>
      </c>
      <c r="C360" s="3" t="str">
        <f t="shared" ca="1" si="36"/>
        <v>Moderate Risk</v>
      </c>
      <c r="D360" s="3" t="str">
        <f t="shared" ca="1" si="37"/>
        <v>Industrial</v>
      </c>
      <c r="E360" s="3" t="str" cm="1">
        <f t="array" aca="1" ref="E360" ca="1">_xlfn.IFS(D360="Industrial", "Reinforced Concrete", D360 = "Commercial", CHOOSE(RANDBETWEEN(1, 2), "Reinforced Concrete", "Unreinforced Masonry"), D360 = "Residential", CHOOSE(RANDBETWEEN(1, 3), "Reinforced Concrete", "Unreinforced Masonry", "Adobe / Light Timber"))</f>
        <v>Reinforced Concrete</v>
      </c>
      <c r="F360" s="3">
        <f t="shared" ca="1" si="38"/>
        <v>2014</v>
      </c>
      <c r="G360" s="3">
        <f t="shared" ca="1" si="39"/>
        <v>2</v>
      </c>
      <c r="H360" s="2">
        <f t="shared" ca="1" si="40"/>
        <v>4</v>
      </c>
      <c r="I360" s="4">
        <f t="shared" ca="1" si="41"/>
        <v>60326660</v>
      </c>
    </row>
    <row r="361" spans="1:9">
      <c r="A361" s="1">
        <v>10000360</v>
      </c>
      <c r="B361" s="3" t="str">
        <f t="shared" ca="1" si="35"/>
        <v>Kolkata</v>
      </c>
      <c r="C361" s="3" t="str">
        <f t="shared" ca="1" si="36"/>
        <v>Moderate Risk</v>
      </c>
      <c r="D361" s="3" t="str">
        <f t="shared" ca="1" si="37"/>
        <v>Commercial</v>
      </c>
      <c r="E361" s="3" t="str" cm="1">
        <f t="array" aca="1" ref="E361" ca="1">_xlfn.IFS(D361="Industrial", "Reinforced Concrete", D361 = "Commercial", CHOOSE(RANDBETWEEN(1, 2), "Reinforced Concrete", "Unreinforced Masonry"), D361 = "Residential", CHOOSE(RANDBETWEEN(1, 3), "Reinforced Concrete", "Unreinforced Masonry", "Adobe / Light Timber"))</f>
        <v>Unreinforced Masonry</v>
      </c>
      <c r="F361" s="3">
        <f t="shared" ca="1" si="38"/>
        <v>1991</v>
      </c>
      <c r="G361" s="3">
        <f t="shared" ca="1" si="39"/>
        <v>4</v>
      </c>
      <c r="H361" s="2">
        <f t="shared" ca="1" si="40"/>
        <v>0</v>
      </c>
      <c r="I361" s="4">
        <f t="shared" ca="1" si="41"/>
        <v>25163534</v>
      </c>
    </row>
    <row r="362" spans="1:9">
      <c r="A362" s="1">
        <v>10000361</v>
      </c>
      <c r="B362" s="3" t="str">
        <f t="shared" ca="1" si="35"/>
        <v>South 24 Parganas</v>
      </c>
      <c r="C362" s="3" t="str">
        <f t="shared" ca="1" si="36"/>
        <v>High Risk</v>
      </c>
      <c r="D362" s="3" t="str">
        <f t="shared" ca="1" si="37"/>
        <v>Industrial</v>
      </c>
      <c r="E362" s="3" t="str" cm="1">
        <f t="array" aca="1" ref="E362" ca="1">_xlfn.IFS(D362="Industrial", "Reinforced Concrete", D362 = "Commercial", CHOOSE(RANDBETWEEN(1, 2), "Reinforced Concrete", "Unreinforced Masonry"), D362 = "Residential", CHOOSE(RANDBETWEEN(1, 3), "Reinforced Concrete", "Unreinforced Masonry", "Adobe / Light Timber"))</f>
        <v>Reinforced Concrete</v>
      </c>
      <c r="F362" s="3">
        <f t="shared" ca="1" si="38"/>
        <v>2008</v>
      </c>
      <c r="G362" s="3">
        <f t="shared" ca="1" si="39"/>
        <v>1</v>
      </c>
      <c r="H362" s="2">
        <f t="shared" ca="1" si="40"/>
        <v>3</v>
      </c>
      <c r="I362" s="4">
        <f t="shared" ca="1" si="41"/>
        <v>53070501</v>
      </c>
    </row>
    <row r="363" spans="1:9">
      <c r="A363" s="1">
        <v>10000362</v>
      </c>
      <c r="B363" s="3" t="str">
        <f t="shared" ca="1" si="35"/>
        <v>Malda</v>
      </c>
      <c r="C363" s="3" t="str">
        <f t="shared" ca="1" si="36"/>
        <v>High Risk</v>
      </c>
      <c r="D363" s="3" t="str">
        <f t="shared" ca="1" si="37"/>
        <v>Commercial</v>
      </c>
      <c r="E363" s="3" t="str" cm="1">
        <f t="array" aca="1" ref="E363" ca="1">_xlfn.IFS(D363="Industrial", "Reinforced Concrete", D363 = "Commercial", CHOOSE(RANDBETWEEN(1, 2), "Reinforced Concrete", "Unreinforced Masonry"), D363 = "Residential", CHOOSE(RANDBETWEEN(1, 3), "Reinforced Concrete", "Unreinforced Masonry", "Adobe / Light Timber"))</f>
        <v>Unreinforced Masonry</v>
      </c>
      <c r="F363" s="3">
        <f t="shared" ca="1" si="38"/>
        <v>2012</v>
      </c>
      <c r="G363" s="3">
        <f t="shared" ca="1" si="39"/>
        <v>2</v>
      </c>
      <c r="H363" s="2">
        <f t="shared" ca="1" si="40"/>
        <v>1</v>
      </c>
      <c r="I363" s="4">
        <f t="shared" ca="1" si="41"/>
        <v>14931334</v>
      </c>
    </row>
    <row r="364" spans="1:9">
      <c r="A364" s="1">
        <v>10000363</v>
      </c>
      <c r="B364" s="3" t="str">
        <f t="shared" ca="1" si="35"/>
        <v>Paschim Medinipur</v>
      </c>
      <c r="C364" s="3" t="str">
        <f t="shared" ca="1" si="36"/>
        <v>Moderate Risk</v>
      </c>
      <c r="D364" s="3" t="str">
        <f t="shared" ca="1" si="37"/>
        <v>Residential</v>
      </c>
      <c r="E364" s="3" t="str" cm="1">
        <f t="array" aca="1" ref="E364" ca="1">_xlfn.IFS(D364="Industrial", "Reinforced Concrete", D364 = "Commercial", CHOOSE(RANDBETWEEN(1, 2), "Reinforced Concrete", "Unreinforced Masonry"), D364 = "Residential", CHOOSE(RANDBETWEEN(1, 3), "Reinforced Concrete", "Unreinforced Masonry", "Adobe / Light Timber"))</f>
        <v>Unreinforced Masonry</v>
      </c>
      <c r="F364" s="3">
        <f t="shared" ca="1" si="38"/>
        <v>2018</v>
      </c>
      <c r="G364" s="3">
        <f t="shared" ca="1" si="39"/>
        <v>2</v>
      </c>
      <c r="H364" s="2">
        <f t="shared" ca="1" si="40"/>
        <v>2</v>
      </c>
      <c r="I364" s="4">
        <f t="shared" ca="1" si="41"/>
        <v>3371052</v>
      </c>
    </row>
    <row r="365" spans="1:9">
      <c r="A365" s="1">
        <v>10000364</v>
      </c>
      <c r="B365" s="3" t="str">
        <f t="shared" ca="1" si="35"/>
        <v>South 24 Parganas</v>
      </c>
      <c r="C365" s="3" t="str">
        <f t="shared" ca="1" si="36"/>
        <v>High Risk</v>
      </c>
      <c r="D365" s="3" t="str">
        <f t="shared" ca="1" si="37"/>
        <v>Residential</v>
      </c>
      <c r="E365" s="3" t="str" cm="1">
        <f t="array" aca="1" ref="E365" ca="1">_xlfn.IFS(D365="Industrial", "Reinforced Concrete", D365 = "Commercial", CHOOSE(RANDBETWEEN(1, 2), "Reinforced Concrete", "Unreinforced Masonry"), D365 = "Residential", CHOOSE(RANDBETWEEN(1, 3), "Reinforced Concrete", "Unreinforced Masonry", "Adobe / Light Timber"))</f>
        <v>Reinforced Concrete</v>
      </c>
      <c r="F365" s="3">
        <f t="shared" ca="1" si="38"/>
        <v>2008</v>
      </c>
      <c r="G365" s="3">
        <f t="shared" ca="1" si="39"/>
        <v>2</v>
      </c>
      <c r="H365" s="2">
        <f t="shared" ca="1" si="40"/>
        <v>4</v>
      </c>
      <c r="I365" s="4">
        <f t="shared" ca="1" si="41"/>
        <v>1494731</v>
      </c>
    </row>
    <row r="366" spans="1:9">
      <c r="A366" s="1">
        <v>10000365</v>
      </c>
      <c r="B366" s="3" t="str">
        <f t="shared" ca="1" si="35"/>
        <v>Jalpaiguri</v>
      </c>
      <c r="C366" s="3" t="str">
        <f t="shared" ca="1" si="36"/>
        <v>High Risk</v>
      </c>
      <c r="D366" s="3" t="str">
        <f t="shared" ca="1" si="37"/>
        <v>Residential</v>
      </c>
      <c r="E366" s="3" t="str" cm="1">
        <f t="array" aca="1" ref="E366" ca="1">_xlfn.IFS(D366="Industrial", "Reinforced Concrete", D366 = "Commercial", CHOOSE(RANDBETWEEN(1, 2), "Reinforced Concrete", "Unreinforced Masonry"), D366 = "Residential", CHOOSE(RANDBETWEEN(1, 3), "Reinforced Concrete", "Unreinforced Masonry", "Adobe / Light Timber"))</f>
        <v>Adobe / Light Timber</v>
      </c>
      <c r="F366" s="3">
        <f t="shared" ca="1" si="38"/>
        <v>1981</v>
      </c>
      <c r="G366" s="3">
        <f t="shared" ca="1" si="39"/>
        <v>1</v>
      </c>
      <c r="H366" s="2">
        <f t="shared" ca="1" si="40"/>
        <v>1</v>
      </c>
      <c r="I366" s="4">
        <f t="shared" ca="1" si="41"/>
        <v>443212</v>
      </c>
    </row>
    <row r="367" spans="1:9">
      <c r="A367" s="1">
        <v>10000366</v>
      </c>
      <c r="B367" s="3" t="str">
        <f t="shared" ca="1" si="35"/>
        <v>Paschim Medinipur</v>
      </c>
      <c r="C367" s="3" t="str">
        <f t="shared" ca="1" si="36"/>
        <v>Moderate Risk</v>
      </c>
      <c r="D367" s="3" t="str">
        <f t="shared" ca="1" si="37"/>
        <v>Commercial</v>
      </c>
      <c r="E367" s="3" t="str" cm="1">
        <f t="array" aca="1" ref="E367" ca="1">_xlfn.IFS(D367="Industrial", "Reinforced Concrete", D367 = "Commercial", CHOOSE(RANDBETWEEN(1, 2), "Reinforced Concrete", "Unreinforced Masonry"), D367 = "Residential", CHOOSE(RANDBETWEEN(1, 3), "Reinforced Concrete", "Unreinforced Masonry", "Adobe / Light Timber"))</f>
        <v>Reinforced Concrete</v>
      </c>
      <c r="F367" s="3">
        <f t="shared" ca="1" si="38"/>
        <v>2003</v>
      </c>
      <c r="G367" s="3">
        <f t="shared" ca="1" si="39"/>
        <v>1</v>
      </c>
      <c r="H367" s="2">
        <f t="shared" ca="1" si="40"/>
        <v>5</v>
      </c>
      <c r="I367" s="4">
        <f t="shared" ca="1" si="41"/>
        <v>12505189</v>
      </c>
    </row>
    <row r="368" spans="1:9">
      <c r="A368" s="1">
        <v>10000367</v>
      </c>
      <c r="B368" s="3" t="str">
        <f t="shared" ca="1" si="35"/>
        <v>Jalpaiguri</v>
      </c>
      <c r="C368" s="3" t="str">
        <f t="shared" ca="1" si="36"/>
        <v>High Risk</v>
      </c>
      <c r="D368" s="3" t="str">
        <f t="shared" ca="1" si="37"/>
        <v>Commercial</v>
      </c>
      <c r="E368" s="3" t="str" cm="1">
        <f t="array" aca="1" ref="E368" ca="1">_xlfn.IFS(D368="Industrial", "Reinforced Concrete", D368 = "Commercial", CHOOSE(RANDBETWEEN(1, 2), "Reinforced Concrete", "Unreinforced Masonry"), D368 = "Residential", CHOOSE(RANDBETWEEN(1, 3), "Reinforced Concrete", "Unreinforced Masonry", "Adobe / Light Timber"))</f>
        <v>Unreinforced Masonry</v>
      </c>
      <c r="F368" s="3">
        <f t="shared" ca="1" si="38"/>
        <v>2013</v>
      </c>
      <c r="G368" s="3">
        <f t="shared" ca="1" si="39"/>
        <v>5</v>
      </c>
      <c r="H368" s="2">
        <f t="shared" ca="1" si="40"/>
        <v>0</v>
      </c>
      <c r="I368" s="4">
        <f t="shared" ca="1" si="41"/>
        <v>16003927</v>
      </c>
    </row>
    <row r="369" spans="1:9">
      <c r="A369" s="1">
        <v>10000368</v>
      </c>
      <c r="B369" s="3" t="str">
        <f t="shared" ca="1" si="35"/>
        <v>Kolkata</v>
      </c>
      <c r="C369" s="3" t="str">
        <f t="shared" ca="1" si="36"/>
        <v>Moderate Risk</v>
      </c>
      <c r="D369" s="3" t="str">
        <f t="shared" ca="1" si="37"/>
        <v>Commercial</v>
      </c>
      <c r="E369" s="3" t="str" cm="1">
        <f t="array" aca="1" ref="E369" ca="1">_xlfn.IFS(D369="Industrial", "Reinforced Concrete", D369 = "Commercial", CHOOSE(RANDBETWEEN(1, 2), "Reinforced Concrete", "Unreinforced Masonry"), D369 = "Residential", CHOOSE(RANDBETWEEN(1, 3), "Reinforced Concrete", "Unreinforced Masonry", "Adobe / Light Timber"))</f>
        <v>Unreinforced Masonry</v>
      </c>
      <c r="F369" s="3">
        <f t="shared" ca="1" si="38"/>
        <v>2003</v>
      </c>
      <c r="G369" s="3">
        <f t="shared" ca="1" si="39"/>
        <v>3</v>
      </c>
      <c r="H369" s="2">
        <f t="shared" ca="1" si="40"/>
        <v>0</v>
      </c>
      <c r="I369" s="4">
        <f t="shared" ca="1" si="41"/>
        <v>16245037</v>
      </c>
    </row>
    <row r="370" spans="1:9">
      <c r="A370" s="1">
        <v>10000369</v>
      </c>
      <c r="B370" s="3" t="str">
        <f t="shared" ca="1" si="35"/>
        <v>Kolkata</v>
      </c>
      <c r="C370" s="3" t="str">
        <f t="shared" ca="1" si="36"/>
        <v>Moderate Risk</v>
      </c>
      <c r="D370" s="3" t="str">
        <f t="shared" ca="1" si="37"/>
        <v>Commercial</v>
      </c>
      <c r="E370" s="3" t="str" cm="1">
        <f t="array" aca="1" ref="E370" ca="1">_xlfn.IFS(D370="Industrial", "Reinforced Concrete", D370 = "Commercial", CHOOSE(RANDBETWEEN(1, 2), "Reinforced Concrete", "Unreinforced Masonry"), D370 = "Residential", CHOOSE(RANDBETWEEN(1, 3), "Reinforced Concrete", "Unreinforced Masonry", "Adobe / Light Timber"))</f>
        <v>Unreinforced Masonry</v>
      </c>
      <c r="F370" s="3">
        <f t="shared" ca="1" si="38"/>
        <v>2020</v>
      </c>
      <c r="G370" s="3">
        <f t="shared" ca="1" si="39"/>
        <v>1</v>
      </c>
      <c r="H370" s="2">
        <f t="shared" ca="1" si="40"/>
        <v>0</v>
      </c>
      <c r="I370" s="4">
        <f t="shared" ca="1" si="41"/>
        <v>8354326</v>
      </c>
    </row>
    <row r="371" spans="1:9">
      <c r="A371" s="1">
        <v>10000370</v>
      </c>
      <c r="B371" s="3" t="str">
        <f t="shared" ca="1" si="35"/>
        <v>Jalpaiguri</v>
      </c>
      <c r="C371" s="3" t="str">
        <f t="shared" ca="1" si="36"/>
        <v>High Risk</v>
      </c>
      <c r="D371" s="3" t="str">
        <f t="shared" ca="1" si="37"/>
        <v>Industrial</v>
      </c>
      <c r="E371" s="3" t="str" cm="1">
        <f t="array" aca="1" ref="E371" ca="1">_xlfn.IFS(D371="Industrial", "Reinforced Concrete", D371 = "Commercial", CHOOSE(RANDBETWEEN(1, 2), "Reinforced Concrete", "Unreinforced Masonry"), D371 = "Residential", CHOOSE(RANDBETWEEN(1, 3), "Reinforced Concrete", "Unreinforced Masonry", "Adobe / Light Timber"))</f>
        <v>Reinforced Concrete</v>
      </c>
      <c r="F371" s="3">
        <f t="shared" ca="1" si="38"/>
        <v>2008</v>
      </c>
      <c r="G371" s="3">
        <f t="shared" ca="1" si="39"/>
        <v>4</v>
      </c>
      <c r="H371" s="2">
        <f t="shared" ca="1" si="40"/>
        <v>5</v>
      </c>
      <c r="I371" s="4">
        <f t="shared" ca="1" si="41"/>
        <v>59703287</v>
      </c>
    </row>
    <row r="372" spans="1:9">
      <c r="A372" s="1">
        <v>10000371</v>
      </c>
      <c r="B372" s="3" t="str">
        <f t="shared" ca="1" si="35"/>
        <v>Hooghly</v>
      </c>
      <c r="C372" s="3" t="str">
        <f t="shared" ca="1" si="36"/>
        <v>Moderate Risk</v>
      </c>
      <c r="D372" s="3" t="str">
        <f t="shared" ca="1" si="37"/>
        <v>Residential</v>
      </c>
      <c r="E372" s="3" t="str" cm="1">
        <f t="array" aca="1" ref="E372" ca="1">_xlfn.IFS(D372="Industrial", "Reinforced Concrete", D372 = "Commercial", CHOOSE(RANDBETWEEN(1, 2), "Reinforced Concrete", "Unreinforced Masonry"), D372 = "Residential", CHOOSE(RANDBETWEEN(1, 3), "Reinforced Concrete", "Unreinforced Masonry", "Adobe / Light Timber"))</f>
        <v>Unreinforced Masonry</v>
      </c>
      <c r="F372" s="3">
        <f t="shared" ca="1" si="38"/>
        <v>1999</v>
      </c>
      <c r="G372" s="3">
        <f t="shared" ca="1" si="39"/>
        <v>2</v>
      </c>
      <c r="H372" s="2">
        <f t="shared" ca="1" si="40"/>
        <v>1</v>
      </c>
      <c r="I372" s="4">
        <f t="shared" ca="1" si="41"/>
        <v>2491479</v>
      </c>
    </row>
    <row r="373" spans="1:9">
      <c r="A373" s="1">
        <v>10000372</v>
      </c>
      <c r="B373" s="3" t="str">
        <f t="shared" ca="1" si="35"/>
        <v>Kolkata</v>
      </c>
      <c r="C373" s="3" t="str">
        <f t="shared" ca="1" si="36"/>
        <v>Moderate Risk</v>
      </c>
      <c r="D373" s="3" t="str">
        <f t="shared" ca="1" si="37"/>
        <v>Residential</v>
      </c>
      <c r="E373" s="3" t="str" cm="1">
        <f t="array" aca="1" ref="E373" ca="1">_xlfn.IFS(D373="Industrial", "Reinforced Concrete", D373 = "Commercial", CHOOSE(RANDBETWEEN(1, 2), "Reinforced Concrete", "Unreinforced Masonry"), D373 = "Residential", CHOOSE(RANDBETWEEN(1, 3), "Reinforced Concrete", "Unreinforced Masonry", "Adobe / Light Timber"))</f>
        <v>Reinforced Concrete</v>
      </c>
      <c r="F373" s="3">
        <f t="shared" ca="1" si="38"/>
        <v>1990</v>
      </c>
      <c r="G373" s="3">
        <f t="shared" ca="1" si="39"/>
        <v>3</v>
      </c>
      <c r="H373" s="2">
        <f t="shared" ca="1" si="40"/>
        <v>4</v>
      </c>
      <c r="I373" s="4">
        <f t="shared" ca="1" si="41"/>
        <v>7179051</v>
      </c>
    </row>
    <row r="374" spans="1:9">
      <c r="A374" s="1">
        <v>10000373</v>
      </c>
      <c r="B374" s="3" t="str">
        <f t="shared" ca="1" si="35"/>
        <v>Malda</v>
      </c>
      <c r="C374" s="3" t="str">
        <f t="shared" ca="1" si="36"/>
        <v>High Risk</v>
      </c>
      <c r="D374" s="3" t="str">
        <f t="shared" ca="1" si="37"/>
        <v>Industrial</v>
      </c>
      <c r="E374" s="3" t="str" cm="1">
        <f t="array" aca="1" ref="E374" ca="1">_xlfn.IFS(D374="Industrial", "Reinforced Concrete", D374 = "Commercial", CHOOSE(RANDBETWEEN(1, 2), "Reinforced Concrete", "Unreinforced Masonry"), D374 = "Residential", CHOOSE(RANDBETWEEN(1, 3), "Reinforced Concrete", "Unreinforced Masonry", "Adobe / Light Timber"))</f>
        <v>Reinforced Concrete</v>
      </c>
      <c r="F374" s="3">
        <f t="shared" ca="1" si="38"/>
        <v>2014</v>
      </c>
      <c r="G374" s="3">
        <f t="shared" ca="1" si="39"/>
        <v>4</v>
      </c>
      <c r="H374" s="2">
        <f t="shared" ca="1" si="40"/>
        <v>3</v>
      </c>
      <c r="I374" s="4">
        <f t="shared" ca="1" si="41"/>
        <v>43930435</v>
      </c>
    </row>
    <row r="375" spans="1:9">
      <c r="A375" s="1">
        <v>10000374</v>
      </c>
      <c r="B375" s="3" t="str">
        <f t="shared" ca="1" si="35"/>
        <v>Jalpaiguri</v>
      </c>
      <c r="C375" s="3" t="str">
        <f t="shared" ca="1" si="36"/>
        <v>High Risk</v>
      </c>
      <c r="D375" s="3" t="str">
        <f t="shared" ca="1" si="37"/>
        <v>Residential</v>
      </c>
      <c r="E375" s="3" t="str" cm="1">
        <f t="array" aca="1" ref="E375" ca="1">_xlfn.IFS(D375="Industrial", "Reinforced Concrete", D375 = "Commercial", CHOOSE(RANDBETWEEN(1, 2), "Reinforced Concrete", "Unreinforced Masonry"), D375 = "Residential", CHOOSE(RANDBETWEEN(1, 3), "Reinforced Concrete", "Unreinforced Masonry", "Adobe / Light Timber"))</f>
        <v>Unreinforced Masonry</v>
      </c>
      <c r="F375" s="3">
        <f t="shared" ca="1" si="38"/>
        <v>1990</v>
      </c>
      <c r="G375" s="3">
        <f t="shared" ca="1" si="39"/>
        <v>2</v>
      </c>
      <c r="H375" s="2">
        <f t="shared" ca="1" si="40"/>
        <v>1</v>
      </c>
      <c r="I375" s="4">
        <f t="shared" ca="1" si="41"/>
        <v>2209371</v>
      </c>
    </row>
    <row r="376" spans="1:9">
      <c r="A376" s="1">
        <v>10000375</v>
      </c>
      <c r="B376" s="3" t="str">
        <f t="shared" ca="1" si="35"/>
        <v>Jalpaiguri</v>
      </c>
      <c r="C376" s="3" t="str">
        <f t="shared" ca="1" si="36"/>
        <v>High Risk</v>
      </c>
      <c r="D376" s="3" t="str">
        <f t="shared" ca="1" si="37"/>
        <v>Commercial</v>
      </c>
      <c r="E376" s="3" t="str" cm="1">
        <f t="array" aca="1" ref="E376" ca="1">_xlfn.IFS(D376="Industrial", "Reinforced Concrete", D376 = "Commercial", CHOOSE(RANDBETWEEN(1, 2), "Reinforced Concrete", "Unreinforced Masonry"), D376 = "Residential", CHOOSE(RANDBETWEEN(1, 3), "Reinforced Concrete", "Unreinforced Masonry", "Adobe / Light Timber"))</f>
        <v>Reinforced Concrete</v>
      </c>
      <c r="F376" s="3">
        <f t="shared" ca="1" si="38"/>
        <v>2019</v>
      </c>
      <c r="G376" s="3">
        <f t="shared" ca="1" si="39"/>
        <v>2</v>
      </c>
      <c r="H376" s="2">
        <f t="shared" ca="1" si="40"/>
        <v>4</v>
      </c>
      <c r="I376" s="4">
        <f t="shared" ca="1" si="41"/>
        <v>15291643</v>
      </c>
    </row>
    <row r="377" spans="1:9">
      <c r="A377" s="1">
        <v>10000376</v>
      </c>
      <c r="B377" s="3" t="str">
        <f t="shared" ca="1" si="35"/>
        <v>Jalpaiguri</v>
      </c>
      <c r="C377" s="3" t="str">
        <f t="shared" ca="1" si="36"/>
        <v>High Risk</v>
      </c>
      <c r="D377" s="3" t="str">
        <f t="shared" ca="1" si="37"/>
        <v>Commercial</v>
      </c>
      <c r="E377" s="3" t="str" cm="1">
        <f t="array" aca="1" ref="E377" ca="1">_xlfn.IFS(D377="Industrial", "Reinforced Concrete", D377 = "Commercial", CHOOSE(RANDBETWEEN(1, 2), "Reinforced Concrete", "Unreinforced Masonry"), D377 = "Residential", CHOOSE(RANDBETWEEN(1, 3), "Reinforced Concrete", "Unreinforced Masonry", "Adobe / Light Timber"))</f>
        <v>Reinforced Concrete</v>
      </c>
      <c r="F377" s="3">
        <f t="shared" ca="1" si="38"/>
        <v>1982</v>
      </c>
      <c r="G377" s="3">
        <f t="shared" ca="1" si="39"/>
        <v>3</v>
      </c>
      <c r="H377" s="2">
        <f t="shared" ca="1" si="40"/>
        <v>5</v>
      </c>
      <c r="I377" s="4">
        <f t="shared" ca="1" si="41"/>
        <v>14879729</v>
      </c>
    </row>
    <row r="378" spans="1:9">
      <c r="A378" s="1">
        <v>10000377</v>
      </c>
      <c r="B378" s="3" t="str">
        <f t="shared" ca="1" si="35"/>
        <v>Paschim Medinipur</v>
      </c>
      <c r="C378" s="3" t="str">
        <f t="shared" ca="1" si="36"/>
        <v>Moderate Risk</v>
      </c>
      <c r="D378" s="3" t="str">
        <f t="shared" ca="1" si="37"/>
        <v>Residential</v>
      </c>
      <c r="E378" s="3" t="str" cm="1">
        <f t="array" aca="1" ref="E378" ca="1">_xlfn.IFS(D378="Industrial", "Reinforced Concrete", D378 = "Commercial", CHOOSE(RANDBETWEEN(1, 2), "Reinforced Concrete", "Unreinforced Masonry"), D378 = "Residential", CHOOSE(RANDBETWEEN(1, 3), "Reinforced Concrete", "Unreinforced Masonry", "Adobe / Light Timber"))</f>
        <v>Unreinforced Masonry</v>
      </c>
      <c r="F378" s="3">
        <f t="shared" ca="1" si="38"/>
        <v>1983</v>
      </c>
      <c r="G378" s="3">
        <f t="shared" ca="1" si="39"/>
        <v>2</v>
      </c>
      <c r="H378" s="2">
        <f t="shared" ca="1" si="40"/>
        <v>2</v>
      </c>
      <c r="I378" s="4">
        <f t="shared" ca="1" si="41"/>
        <v>2985025</v>
      </c>
    </row>
    <row r="379" spans="1:9">
      <c r="A379" s="1">
        <v>10000378</v>
      </c>
      <c r="B379" s="3" t="str">
        <f t="shared" ca="1" si="35"/>
        <v>South 24 Parganas</v>
      </c>
      <c r="C379" s="3" t="str">
        <f t="shared" ca="1" si="36"/>
        <v>High Risk</v>
      </c>
      <c r="D379" s="3" t="str">
        <f t="shared" ca="1" si="37"/>
        <v>Residential</v>
      </c>
      <c r="E379" s="3" t="str" cm="1">
        <f t="array" aca="1" ref="E379" ca="1">_xlfn.IFS(D379="Industrial", "Reinforced Concrete", D379 = "Commercial", CHOOSE(RANDBETWEEN(1, 2), "Reinforced Concrete", "Unreinforced Masonry"), D379 = "Residential", CHOOSE(RANDBETWEEN(1, 3), "Reinforced Concrete", "Unreinforced Masonry", "Adobe / Light Timber"))</f>
        <v>Reinforced Concrete</v>
      </c>
      <c r="F379" s="3">
        <f t="shared" ca="1" si="38"/>
        <v>2013</v>
      </c>
      <c r="G379" s="3">
        <f t="shared" ca="1" si="39"/>
        <v>2</v>
      </c>
      <c r="H379" s="2">
        <f t="shared" ca="1" si="40"/>
        <v>5</v>
      </c>
      <c r="I379" s="4">
        <f t="shared" ca="1" si="41"/>
        <v>6596335</v>
      </c>
    </row>
    <row r="380" spans="1:9">
      <c r="A380" s="1">
        <v>10000379</v>
      </c>
      <c r="B380" s="3" t="str">
        <f t="shared" ca="1" si="35"/>
        <v>South 24 Parganas</v>
      </c>
      <c r="C380" s="3" t="str">
        <f t="shared" ca="1" si="36"/>
        <v>High Risk</v>
      </c>
      <c r="D380" s="3" t="str">
        <f t="shared" ca="1" si="37"/>
        <v>Commercial</v>
      </c>
      <c r="E380" s="3" t="str" cm="1">
        <f t="array" aca="1" ref="E380" ca="1">_xlfn.IFS(D380="Industrial", "Reinforced Concrete", D380 = "Commercial", CHOOSE(RANDBETWEEN(1, 2), "Reinforced Concrete", "Unreinforced Masonry"), D380 = "Residential", CHOOSE(RANDBETWEEN(1, 3), "Reinforced Concrete", "Unreinforced Masonry", "Adobe / Light Timber"))</f>
        <v>Reinforced Concrete</v>
      </c>
      <c r="F380" s="3">
        <f t="shared" ca="1" si="38"/>
        <v>1984</v>
      </c>
      <c r="G380" s="3">
        <f t="shared" ca="1" si="39"/>
        <v>5</v>
      </c>
      <c r="H380" s="2">
        <f t="shared" ca="1" si="40"/>
        <v>5</v>
      </c>
      <c r="I380" s="4">
        <f t="shared" ca="1" si="41"/>
        <v>22847902</v>
      </c>
    </row>
    <row r="381" spans="1:9">
      <c r="A381" s="1">
        <v>10000380</v>
      </c>
      <c r="B381" s="3" t="str">
        <f t="shared" ca="1" si="35"/>
        <v>Kolkata</v>
      </c>
      <c r="C381" s="3" t="str">
        <f t="shared" ca="1" si="36"/>
        <v>Moderate Risk</v>
      </c>
      <c r="D381" s="3" t="str">
        <f t="shared" ca="1" si="37"/>
        <v>Residential</v>
      </c>
      <c r="E381" s="3" t="str" cm="1">
        <f t="array" aca="1" ref="E381" ca="1">_xlfn.IFS(D381="Industrial", "Reinforced Concrete", D381 = "Commercial", CHOOSE(RANDBETWEEN(1, 2), "Reinforced Concrete", "Unreinforced Masonry"), D381 = "Residential", CHOOSE(RANDBETWEEN(1, 3), "Reinforced Concrete", "Unreinforced Masonry", "Adobe / Light Timber"))</f>
        <v>Adobe / Light Timber</v>
      </c>
      <c r="F381" s="3">
        <f t="shared" ca="1" si="38"/>
        <v>2005</v>
      </c>
      <c r="G381" s="3">
        <f t="shared" ca="1" si="39"/>
        <v>1</v>
      </c>
      <c r="H381" s="2">
        <f t="shared" ca="1" si="40"/>
        <v>1</v>
      </c>
      <c r="I381" s="4">
        <f t="shared" ca="1" si="41"/>
        <v>536648</v>
      </c>
    </row>
    <row r="382" spans="1:9">
      <c r="A382" s="1">
        <v>10000381</v>
      </c>
      <c r="B382" s="3" t="str">
        <f t="shared" ca="1" si="35"/>
        <v>Jalpaiguri</v>
      </c>
      <c r="C382" s="3" t="str">
        <f t="shared" ca="1" si="36"/>
        <v>High Risk</v>
      </c>
      <c r="D382" s="3" t="str">
        <f t="shared" ca="1" si="37"/>
        <v>Commercial</v>
      </c>
      <c r="E382" s="3" t="str" cm="1">
        <f t="array" aca="1" ref="E382" ca="1">_xlfn.IFS(D382="Industrial", "Reinforced Concrete", D382 = "Commercial", CHOOSE(RANDBETWEEN(1, 2), "Reinforced Concrete", "Unreinforced Masonry"), D382 = "Residential", CHOOSE(RANDBETWEEN(1, 3), "Reinforced Concrete", "Unreinforced Masonry", "Adobe / Light Timber"))</f>
        <v>Reinforced Concrete</v>
      </c>
      <c r="F382" s="3">
        <f t="shared" ca="1" si="38"/>
        <v>2021</v>
      </c>
      <c r="G382" s="3">
        <f t="shared" ca="1" si="39"/>
        <v>5</v>
      </c>
      <c r="H382" s="2">
        <f t="shared" ca="1" si="40"/>
        <v>5</v>
      </c>
      <c r="I382" s="4">
        <f t="shared" ca="1" si="41"/>
        <v>19314139</v>
      </c>
    </row>
    <row r="383" spans="1:9">
      <c r="A383" s="1">
        <v>10000382</v>
      </c>
      <c r="B383" s="3" t="str">
        <f t="shared" ca="1" si="35"/>
        <v>Hooghly</v>
      </c>
      <c r="C383" s="3" t="str">
        <f t="shared" ca="1" si="36"/>
        <v>Moderate Risk</v>
      </c>
      <c r="D383" s="3" t="str">
        <f t="shared" ca="1" si="37"/>
        <v>Commercial</v>
      </c>
      <c r="E383" s="3" t="str" cm="1">
        <f t="array" aca="1" ref="E383" ca="1">_xlfn.IFS(D383="Industrial", "Reinforced Concrete", D383 = "Commercial", CHOOSE(RANDBETWEEN(1, 2), "Reinforced Concrete", "Unreinforced Masonry"), D383 = "Residential", CHOOSE(RANDBETWEEN(1, 3), "Reinforced Concrete", "Unreinforced Masonry", "Adobe / Light Timber"))</f>
        <v>Reinforced Concrete</v>
      </c>
      <c r="F383" s="3">
        <f t="shared" ca="1" si="38"/>
        <v>1982</v>
      </c>
      <c r="G383" s="3">
        <f t="shared" ca="1" si="39"/>
        <v>3</v>
      </c>
      <c r="H383" s="2">
        <f t="shared" ca="1" si="40"/>
        <v>5</v>
      </c>
      <c r="I383" s="4">
        <f t="shared" ca="1" si="41"/>
        <v>21222683</v>
      </c>
    </row>
    <row r="384" spans="1:9">
      <c r="A384" s="1">
        <v>10000383</v>
      </c>
      <c r="B384" s="3" t="str">
        <f t="shared" ca="1" si="35"/>
        <v>Hooghly</v>
      </c>
      <c r="C384" s="3" t="str">
        <f t="shared" ca="1" si="36"/>
        <v>Moderate Risk</v>
      </c>
      <c r="D384" s="3" t="str">
        <f t="shared" ca="1" si="37"/>
        <v>Industrial</v>
      </c>
      <c r="E384" s="3" t="str" cm="1">
        <f t="array" aca="1" ref="E384" ca="1">_xlfn.IFS(D384="Industrial", "Reinforced Concrete", D384 = "Commercial", CHOOSE(RANDBETWEEN(1, 2), "Reinforced Concrete", "Unreinforced Masonry"), D384 = "Residential", CHOOSE(RANDBETWEEN(1, 3), "Reinforced Concrete", "Unreinforced Masonry", "Adobe / Light Timber"))</f>
        <v>Reinforced Concrete</v>
      </c>
      <c r="F384" s="3">
        <f t="shared" ca="1" si="38"/>
        <v>1983</v>
      </c>
      <c r="G384" s="3">
        <f t="shared" ca="1" si="39"/>
        <v>3</v>
      </c>
      <c r="H384" s="2">
        <f t="shared" ca="1" si="40"/>
        <v>4</v>
      </c>
      <c r="I384" s="4">
        <f t="shared" ca="1" si="41"/>
        <v>54645990</v>
      </c>
    </row>
    <row r="385" spans="1:9">
      <c r="A385" s="1">
        <v>10000384</v>
      </c>
      <c r="B385" s="3" t="str">
        <f t="shared" ca="1" si="35"/>
        <v>South 24 Parganas</v>
      </c>
      <c r="C385" s="3" t="str">
        <f t="shared" ca="1" si="36"/>
        <v>High Risk</v>
      </c>
      <c r="D385" s="3" t="str">
        <f t="shared" ca="1" si="37"/>
        <v>Industrial</v>
      </c>
      <c r="E385" s="3" t="str" cm="1">
        <f t="array" aca="1" ref="E385" ca="1">_xlfn.IFS(D385="Industrial", "Reinforced Concrete", D385 = "Commercial", CHOOSE(RANDBETWEEN(1, 2), "Reinforced Concrete", "Unreinforced Masonry"), D385 = "Residential", CHOOSE(RANDBETWEEN(1, 3), "Reinforced Concrete", "Unreinforced Masonry", "Adobe / Light Timber"))</f>
        <v>Reinforced Concrete</v>
      </c>
      <c r="F385" s="3">
        <f t="shared" ca="1" si="38"/>
        <v>2023</v>
      </c>
      <c r="G385" s="3">
        <f t="shared" ca="1" si="39"/>
        <v>3</v>
      </c>
      <c r="H385" s="2">
        <f t="shared" ca="1" si="40"/>
        <v>5</v>
      </c>
      <c r="I385" s="4">
        <f t="shared" ca="1" si="41"/>
        <v>35470534</v>
      </c>
    </row>
    <row r="386" spans="1:9">
      <c r="A386" s="1">
        <v>10000385</v>
      </c>
      <c r="B386" s="3" t="str">
        <f t="shared" ca="1" si="35"/>
        <v>Malda</v>
      </c>
      <c r="C386" s="3" t="str">
        <f t="shared" ca="1" si="36"/>
        <v>High Risk</v>
      </c>
      <c r="D386" s="3" t="str">
        <f t="shared" ca="1" si="37"/>
        <v>Industrial</v>
      </c>
      <c r="E386" s="3" t="str" cm="1">
        <f t="array" aca="1" ref="E386" ca="1">_xlfn.IFS(D386="Industrial", "Reinforced Concrete", D386 = "Commercial", CHOOSE(RANDBETWEEN(1, 2), "Reinforced Concrete", "Unreinforced Masonry"), D386 = "Residential", CHOOSE(RANDBETWEEN(1, 3), "Reinforced Concrete", "Unreinforced Masonry", "Adobe / Light Timber"))</f>
        <v>Reinforced Concrete</v>
      </c>
      <c r="F386" s="3">
        <f t="shared" ca="1" si="38"/>
        <v>2009</v>
      </c>
      <c r="G386" s="3">
        <f t="shared" ca="1" si="39"/>
        <v>5</v>
      </c>
      <c r="H386" s="2">
        <f t="shared" ca="1" si="40"/>
        <v>3</v>
      </c>
      <c r="I386" s="4">
        <f t="shared" ca="1" si="41"/>
        <v>39244517</v>
      </c>
    </row>
    <row r="387" spans="1:9">
      <c r="A387" s="1">
        <v>10000386</v>
      </c>
      <c r="B387" s="3" t="str">
        <f t="shared" ref="B387:B450" ca="1" si="42">CHOOSE(RANDBETWEEN(1, 6),"South 24 Parganas", "Malda", "Jalpaiguri","Kolkata","Hooghly","Paschim Medinipur")</f>
        <v>Hooghly</v>
      </c>
      <c r="C387" s="3" t="str">
        <f t="shared" ref="C387:C450" ca="1" si="43">IF(OR(B387 = "South 24 Parganas", B387 = "Malda", B387 = "Jalpaiguri"), "High Risk", "Moderate Risk")</f>
        <v>Moderate Risk</v>
      </c>
      <c r="D387" s="3" t="str">
        <f t="shared" ref="D387:D450" ca="1" si="44">CHOOSE(RANDBETWEEN(1, 3), "Residential","Commercial","Industrial")</f>
        <v>Commercial</v>
      </c>
      <c r="E387" s="3" t="str" cm="1">
        <f t="array" aca="1" ref="E387" ca="1">_xlfn.IFS(D387="Industrial", "Reinforced Concrete", D387 = "Commercial", CHOOSE(RANDBETWEEN(1, 2), "Reinforced Concrete", "Unreinforced Masonry"), D387 = "Residential", CHOOSE(RANDBETWEEN(1, 3), "Reinforced Concrete", "Unreinforced Masonry", "Adobe / Light Timber"))</f>
        <v>Reinforced Concrete</v>
      </c>
      <c r="F387" s="3">
        <f t="shared" ref="F387:F450" ca="1" si="45">RANDBETWEEN(1980, 2024)</f>
        <v>2000</v>
      </c>
      <c r="G387" s="3">
        <f t="shared" ref="G387:G450" ca="1" si="46">IF(E387 = "Adobe / Light Timber", 1, RANDBETWEEN(1, 5))</f>
        <v>3</v>
      </c>
      <c r="H387" s="2">
        <f t="shared" ref="H387:H450" ca="1" si="47">IF(E387="Reinforced Concrete",RANDBETWEEN(3, 5),RANDBETWEEN(0,2))</f>
        <v>5</v>
      </c>
      <c r="I387" s="4">
        <f t="shared" ref="I387:I450" ca="1" si="48">MAX(200000, _xlfn.IFS(D387 = "Industrial", ROUND(_xlfn.NORM.INV(RAND(), 50000000, 10000000), 0), D387 = "Commercial",ROUND(_xlfn.NORM.INV(RAND(), 15000000, 5000000), 0),E387 = "Adobe / Light Timber", ROUND(_xlfn.NORM.INV(RAND(), 500000, 100000), 0),TRUE, ROUND(_xlfn.NORM.INV(RAND(), 4000000, 1500000), 0)))</f>
        <v>21579996</v>
      </c>
    </row>
    <row r="388" spans="1:9">
      <c r="A388" s="1">
        <v>10000387</v>
      </c>
      <c r="B388" s="3" t="str">
        <f t="shared" ca="1" si="42"/>
        <v>South 24 Parganas</v>
      </c>
      <c r="C388" s="3" t="str">
        <f t="shared" ca="1" si="43"/>
        <v>High Risk</v>
      </c>
      <c r="D388" s="3" t="str">
        <f t="shared" ca="1" si="44"/>
        <v>Residential</v>
      </c>
      <c r="E388" s="3" t="str" cm="1">
        <f t="array" aca="1" ref="E388" ca="1">_xlfn.IFS(D388="Industrial", "Reinforced Concrete", D388 = "Commercial", CHOOSE(RANDBETWEEN(1, 2), "Reinforced Concrete", "Unreinforced Masonry"), D388 = "Residential", CHOOSE(RANDBETWEEN(1, 3), "Reinforced Concrete", "Unreinforced Masonry", "Adobe / Light Timber"))</f>
        <v>Reinforced Concrete</v>
      </c>
      <c r="F388" s="3">
        <f t="shared" ca="1" si="45"/>
        <v>2012</v>
      </c>
      <c r="G388" s="3">
        <f t="shared" ca="1" si="46"/>
        <v>3</v>
      </c>
      <c r="H388" s="2">
        <f t="shared" ca="1" si="47"/>
        <v>4</v>
      </c>
      <c r="I388" s="4">
        <f t="shared" ca="1" si="48"/>
        <v>5431428</v>
      </c>
    </row>
    <row r="389" spans="1:9">
      <c r="A389" s="1">
        <v>10000388</v>
      </c>
      <c r="B389" s="3" t="str">
        <f t="shared" ca="1" si="42"/>
        <v>Hooghly</v>
      </c>
      <c r="C389" s="3" t="str">
        <f t="shared" ca="1" si="43"/>
        <v>Moderate Risk</v>
      </c>
      <c r="D389" s="3" t="str">
        <f t="shared" ca="1" si="44"/>
        <v>Commercial</v>
      </c>
      <c r="E389" s="3" t="str" cm="1">
        <f t="array" aca="1" ref="E389" ca="1">_xlfn.IFS(D389="Industrial", "Reinforced Concrete", D389 = "Commercial", CHOOSE(RANDBETWEEN(1, 2), "Reinforced Concrete", "Unreinforced Masonry"), D389 = "Residential", CHOOSE(RANDBETWEEN(1, 3), "Reinforced Concrete", "Unreinforced Masonry", "Adobe / Light Timber"))</f>
        <v>Unreinforced Masonry</v>
      </c>
      <c r="F389" s="3">
        <f t="shared" ca="1" si="45"/>
        <v>1993</v>
      </c>
      <c r="G389" s="3">
        <f t="shared" ca="1" si="46"/>
        <v>2</v>
      </c>
      <c r="H389" s="2">
        <f t="shared" ca="1" si="47"/>
        <v>0</v>
      </c>
      <c r="I389" s="4">
        <f t="shared" ca="1" si="48"/>
        <v>17774673</v>
      </c>
    </row>
    <row r="390" spans="1:9">
      <c r="A390" s="1">
        <v>10000389</v>
      </c>
      <c r="B390" s="3" t="str">
        <f t="shared" ca="1" si="42"/>
        <v>Malda</v>
      </c>
      <c r="C390" s="3" t="str">
        <f t="shared" ca="1" si="43"/>
        <v>High Risk</v>
      </c>
      <c r="D390" s="3" t="str">
        <f t="shared" ca="1" si="44"/>
        <v>Commercial</v>
      </c>
      <c r="E390" s="3" t="str" cm="1">
        <f t="array" aca="1" ref="E390" ca="1">_xlfn.IFS(D390="Industrial", "Reinforced Concrete", D390 = "Commercial", CHOOSE(RANDBETWEEN(1, 2), "Reinforced Concrete", "Unreinforced Masonry"), D390 = "Residential", CHOOSE(RANDBETWEEN(1, 3), "Reinforced Concrete", "Unreinforced Masonry", "Adobe / Light Timber"))</f>
        <v>Reinforced Concrete</v>
      </c>
      <c r="F390" s="3">
        <f t="shared" ca="1" si="45"/>
        <v>1988</v>
      </c>
      <c r="G390" s="3">
        <f t="shared" ca="1" si="46"/>
        <v>5</v>
      </c>
      <c r="H390" s="2">
        <f t="shared" ca="1" si="47"/>
        <v>3</v>
      </c>
      <c r="I390" s="4">
        <f t="shared" ca="1" si="48"/>
        <v>17673115</v>
      </c>
    </row>
    <row r="391" spans="1:9">
      <c r="A391" s="1">
        <v>10000390</v>
      </c>
      <c r="B391" s="3" t="str">
        <f t="shared" ca="1" si="42"/>
        <v>Malda</v>
      </c>
      <c r="C391" s="3" t="str">
        <f t="shared" ca="1" si="43"/>
        <v>High Risk</v>
      </c>
      <c r="D391" s="3" t="str">
        <f t="shared" ca="1" si="44"/>
        <v>Industrial</v>
      </c>
      <c r="E391" s="3" t="str" cm="1">
        <f t="array" aca="1" ref="E391" ca="1">_xlfn.IFS(D391="Industrial", "Reinforced Concrete", D391 = "Commercial", CHOOSE(RANDBETWEEN(1, 2), "Reinforced Concrete", "Unreinforced Masonry"), D391 = "Residential", CHOOSE(RANDBETWEEN(1, 3), "Reinforced Concrete", "Unreinforced Masonry", "Adobe / Light Timber"))</f>
        <v>Reinforced Concrete</v>
      </c>
      <c r="F391" s="3">
        <f t="shared" ca="1" si="45"/>
        <v>1988</v>
      </c>
      <c r="G391" s="3">
        <f t="shared" ca="1" si="46"/>
        <v>4</v>
      </c>
      <c r="H391" s="2">
        <f t="shared" ca="1" si="47"/>
        <v>4</v>
      </c>
      <c r="I391" s="4">
        <f t="shared" ca="1" si="48"/>
        <v>41759405</v>
      </c>
    </row>
    <row r="392" spans="1:9">
      <c r="A392" s="1">
        <v>10000391</v>
      </c>
      <c r="B392" s="3" t="str">
        <f t="shared" ca="1" si="42"/>
        <v>Hooghly</v>
      </c>
      <c r="C392" s="3" t="str">
        <f t="shared" ca="1" si="43"/>
        <v>Moderate Risk</v>
      </c>
      <c r="D392" s="3" t="str">
        <f t="shared" ca="1" si="44"/>
        <v>Commercial</v>
      </c>
      <c r="E392" s="3" t="str" cm="1">
        <f t="array" aca="1" ref="E392" ca="1">_xlfn.IFS(D392="Industrial", "Reinforced Concrete", D392 = "Commercial", CHOOSE(RANDBETWEEN(1, 2), "Reinforced Concrete", "Unreinforced Masonry"), D392 = "Residential", CHOOSE(RANDBETWEEN(1, 3), "Reinforced Concrete", "Unreinforced Masonry", "Adobe / Light Timber"))</f>
        <v>Unreinforced Masonry</v>
      </c>
      <c r="F392" s="3">
        <f t="shared" ca="1" si="45"/>
        <v>1988</v>
      </c>
      <c r="G392" s="3">
        <f t="shared" ca="1" si="46"/>
        <v>2</v>
      </c>
      <c r="H392" s="2">
        <f t="shared" ca="1" si="47"/>
        <v>2</v>
      </c>
      <c r="I392" s="4">
        <f t="shared" ca="1" si="48"/>
        <v>16524845</v>
      </c>
    </row>
    <row r="393" spans="1:9">
      <c r="A393" s="1">
        <v>10000392</v>
      </c>
      <c r="B393" s="3" t="str">
        <f t="shared" ca="1" si="42"/>
        <v>Hooghly</v>
      </c>
      <c r="C393" s="3" t="str">
        <f t="shared" ca="1" si="43"/>
        <v>Moderate Risk</v>
      </c>
      <c r="D393" s="3" t="str">
        <f t="shared" ca="1" si="44"/>
        <v>Industrial</v>
      </c>
      <c r="E393" s="3" t="str" cm="1">
        <f t="array" aca="1" ref="E393" ca="1">_xlfn.IFS(D393="Industrial", "Reinforced Concrete", D393 = "Commercial", CHOOSE(RANDBETWEEN(1, 2), "Reinforced Concrete", "Unreinforced Masonry"), D393 = "Residential", CHOOSE(RANDBETWEEN(1, 3), "Reinforced Concrete", "Unreinforced Masonry", "Adobe / Light Timber"))</f>
        <v>Reinforced Concrete</v>
      </c>
      <c r="F393" s="3">
        <f t="shared" ca="1" si="45"/>
        <v>1987</v>
      </c>
      <c r="G393" s="3">
        <f t="shared" ca="1" si="46"/>
        <v>4</v>
      </c>
      <c r="H393" s="2">
        <f t="shared" ca="1" si="47"/>
        <v>5</v>
      </c>
      <c r="I393" s="4">
        <f t="shared" ca="1" si="48"/>
        <v>65124353</v>
      </c>
    </row>
    <row r="394" spans="1:9">
      <c r="A394" s="1">
        <v>10000393</v>
      </c>
      <c r="B394" s="3" t="str">
        <f t="shared" ca="1" si="42"/>
        <v>Malda</v>
      </c>
      <c r="C394" s="3" t="str">
        <f t="shared" ca="1" si="43"/>
        <v>High Risk</v>
      </c>
      <c r="D394" s="3" t="str">
        <f t="shared" ca="1" si="44"/>
        <v>Industrial</v>
      </c>
      <c r="E394" s="3" t="str" cm="1">
        <f t="array" aca="1" ref="E394" ca="1">_xlfn.IFS(D394="Industrial", "Reinforced Concrete", D394 = "Commercial", CHOOSE(RANDBETWEEN(1, 2), "Reinforced Concrete", "Unreinforced Masonry"), D394 = "Residential", CHOOSE(RANDBETWEEN(1, 3), "Reinforced Concrete", "Unreinforced Masonry", "Adobe / Light Timber"))</f>
        <v>Reinforced Concrete</v>
      </c>
      <c r="F394" s="3">
        <f t="shared" ca="1" si="45"/>
        <v>1987</v>
      </c>
      <c r="G394" s="3">
        <f t="shared" ca="1" si="46"/>
        <v>5</v>
      </c>
      <c r="H394" s="2">
        <f t="shared" ca="1" si="47"/>
        <v>4</v>
      </c>
      <c r="I394" s="4">
        <f t="shared" ca="1" si="48"/>
        <v>68280973</v>
      </c>
    </row>
    <row r="395" spans="1:9">
      <c r="A395" s="1">
        <v>10000394</v>
      </c>
      <c r="B395" s="3" t="str">
        <f t="shared" ca="1" si="42"/>
        <v>South 24 Parganas</v>
      </c>
      <c r="C395" s="3" t="str">
        <f t="shared" ca="1" si="43"/>
        <v>High Risk</v>
      </c>
      <c r="D395" s="3" t="str">
        <f t="shared" ca="1" si="44"/>
        <v>Residential</v>
      </c>
      <c r="E395" s="3" t="str" cm="1">
        <f t="array" aca="1" ref="E395" ca="1">_xlfn.IFS(D395="Industrial", "Reinforced Concrete", D395 = "Commercial", CHOOSE(RANDBETWEEN(1, 2), "Reinforced Concrete", "Unreinforced Masonry"), D395 = "Residential", CHOOSE(RANDBETWEEN(1, 3), "Reinforced Concrete", "Unreinforced Masonry", "Adobe / Light Timber"))</f>
        <v>Adobe / Light Timber</v>
      </c>
      <c r="F395" s="3">
        <f t="shared" ca="1" si="45"/>
        <v>2020</v>
      </c>
      <c r="G395" s="3">
        <f t="shared" ca="1" si="46"/>
        <v>1</v>
      </c>
      <c r="H395" s="2">
        <f t="shared" ca="1" si="47"/>
        <v>0</v>
      </c>
      <c r="I395" s="4">
        <f t="shared" ca="1" si="48"/>
        <v>493979</v>
      </c>
    </row>
    <row r="396" spans="1:9">
      <c r="A396" s="1">
        <v>10000395</v>
      </c>
      <c r="B396" s="3" t="str">
        <f t="shared" ca="1" si="42"/>
        <v>Jalpaiguri</v>
      </c>
      <c r="C396" s="3" t="str">
        <f t="shared" ca="1" si="43"/>
        <v>High Risk</v>
      </c>
      <c r="D396" s="3" t="str">
        <f t="shared" ca="1" si="44"/>
        <v>Residential</v>
      </c>
      <c r="E396" s="3" t="str" cm="1">
        <f t="array" aca="1" ref="E396" ca="1">_xlfn.IFS(D396="Industrial", "Reinforced Concrete", D396 = "Commercial", CHOOSE(RANDBETWEEN(1, 2), "Reinforced Concrete", "Unreinforced Masonry"), D396 = "Residential", CHOOSE(RANDBETWEEN(1, 3), "Reinforced Concrete", "Unreinforced Masonry", "Adobe / Light Timber"))</f>
        <v>Adobe / Light Timber</v>
      </c>
      <c r="F396" s="3">
        <f t="shared" ca="1" si="45"/>
        <v>1984</v>
      </c>
      <c r="G396" s="3">
        <f t="shared" ca="1" si="46"/>
        <v>1</v>
      </c>
      <c r="H396" s="2">
        <f t="shared" ca="1" si="47"/>
        <v>0</v>
      </c>
      <c r="I396" s="4">
        <f t="shared" ca="1" si="48"/>
        <v>455341</v>
      </c>
    </row>
    <row r="397" spans="1:9">
      <c r="A397" s="1">
        <v>10000396</v>
      </c>
      <c r="B397" s="3" t="str">
        <f t="shared" ca="1" si="42"/>
        <v>Jalpaiguri</v>
      </c>
      <c r="C397" s="3" t="str">
        <f t="shared" ca="1" si="43"/>
        <v>High Risk</v>
      </c>
      <c r="D397" s="3" t="str">
        <f t="shared" ca="1" si="44"/>
        <v>Industrial</v>
      </c>
      <c r="E397" s="3" t="str" cm="1">
        <f t="array" aca="1" ref="E397" ca="1">_xlfn.IFS(D397="Industrial", "Reinforced Concrete", D397 = "Commercial", CHOOSE(RANDBETWEEN(1, 2), "Reinforced Concrete", "Unreinforced Masonry"), D397 = "Residential", CHOOSE(RANDBETWEEN(1, 3), "Reinforced Concrete", "Unreinforced Masonry", "Adobe / Light Timber"))</f>
        <v>Reinforced Concrete</v>
      </c>
      <c r="F397" s="3">
        <f t="shared" ca="1" si="45"/>
        <v>2007</v>
      </c>
      <c r="G397" s="3">
        <f t="shared" ca="1" si="46"/>
        <v>1</v>
      </c>
      <c r="H397" s="2">
        <f t="shared" ca="1" si="47"/>
        <v>4</v>
      </c>
      <c r="I397" s="4">
        <f t="shared" ca="1" si="48"/>
        <v>42452172</v>
      </c>
    </row>
    <row r="398" spans="1:9">
      <c r="A398" s="1">
        <v>10000397</v>
      </c>
      <c r="B398" s="3" t="str">
        <f t="shared" ca="1" si="42"/>
        <v>Kolkata</v>
      </c>
      <c r="C398" s="3" t="str">
        <f t="shared" ca="1" si="43"/>
        <v>Moderate Risk</v>
      </c>
      <c r="D398" s="3" t="str">
        <f t="shared" ca="1" si="44"/>
        <v>Residential</v>
      </c>
      <c r="E398" s="3" t="str" cm="1">
        <f t="array" aca="1" ref="E398" ca="1">_xlfn.IFS(D398="Industrial", "Reinforced Concrete", D398 = "Commercial", CHOOSE(RANDBETWEEN(1, 2), "Reinforced Concrete", "Unreinforced Masonry"), D398 = "Residential", CHOOSE(RANDBETWEEN(1, 3), "Reinforced Concrete", "Unreinforced Masonry", "Adobe / Light Timber"))</f>
        <v>Unreinforced Masonry</v>
      </c>
      <c r="F398" s="3">
        <f t="shared" ca="1" si="45"/>
        <v>1993</v>
      </c>
      <c r="G398" s="3">
        <f t="shared" ca="1" si="46"/>
        <v>5</v>
      </c>
      <c r="H398" s="2">
        <f t="shared" ca="1" si="47"/>
        <v>1</v>
      </c>
      <c r="I398" s="4">
        <f t="shared" ca="1" si="48"/>
        <v>5498480</v>
      </c>
    </row>
    <row r="399" spans="1:9">
      <c r="A399" s="1">
        <v>10000398</v>
      </c>
      <c r="B399" s="3" t="str">
        <f t="shared" ca="1" si="42"/>
        <v>Malda</v>
      </c>
      <c r="C399" s="3" t="str">
        <f t="shared" ca="1" si="43"/>
        <v>High Risk</v>
      </c>
      <c r="D399" s="3" t="str">
        <f t="shared" ca="1" si="44"/>
        <v>Residential</v>
      </c>
      <c r="E399" s="3" t="str" cm="1">
        <f t="array" aca="1" ref="E399" ca="1">_xlfn.IFS(D399="Industrial", "Reinforced Concrete", D399 = "Commercial", CHOOSE(RANDBETWEEN(1, 2), "Reinforced Concrete", "Unreinforced Masonry"), D399 = "Residential", CHOOSE(RANDBETWEEN(1, 3), "Reinforced Concrete", "Unreinforced Masonry", "Adobe / Light Timber"))</f>
        <v>Adobe / Light Timber</v>
      </c>
      <c r="F399" s="3">
        <f t="shared" ca="1" si="45"/>
        <v>1988</v>
      </c>
      <c r="G399" s="3">
        <f t="shared" ca="1" si="46"/>
        <v>1</v>
      </c>
      <c r="H399" s="2">
        <f t="shared" ca="1" si="47"/>
        <v>0</v>
      </c>
      <c r="I399" s="4">
        <f t="shared" ca="1" si="48"/>
        <v>590466</v>
      </c>
    </row>
    <row r="400" spans="1:9">
      <c r="A400" s="1">
        <v>10000399</v>
      </c>
      <c r="B400" s="3" t="str">
        <f t="shared" ca="1" si="42"/>
        <v>South 24 Parganas</v>
      </c>
      <c r="C400" s="3" t="str">
        <f t="shared" ca="1" si="43"/>
        <v>High Risk</v>
      </c>
      <c r="D400" s="3" t="str">
        <f t="shared" ca="1" si="44"/>
        <v>Residential</v>
      </c>
      <c r="E400" s="3" t="str" cm="1">
        <f t="array" aca="1" ref="E400" ca="1">_xlfn.IFS(D400="Industrial", "Reinforced Concrete", D400 = "Commercial", CHOOSE(RANDBETWEEN(1, 2), "Reinforced Concrete", "Unreinforced Masonry"), D400 = "Residential", CHOOSE(RANDBETWEEN(1, 3), "Reinforced Concrete", "Unreinforced Masonry", "Adobe / Light Timber"))</f>
        <v>Unreinforced Masonry</v>
      </c>
      <c r="F400" s="3">
        <f t="shared" ca="1" si="45"/>
        <v>2000</v>
      </c>
      <c r="G400" s="3">
        <f t="shared" ca="1" si="46"/>
        <v>5</v>
      </c>
      <c r="H400" s="2">
        <f t="shared" ca="1" si="47"/>
        <v>1</v>
      </c>
      <c r="I400" s="4">
        <f t="shared" ca="1" si="48"/>
        <v>4143974</v>
      </c>
    </row>
    <row r="401" spans="1:9">
      <c r="A401" s="1">
        <v>10000400</v>
      </c>
      <c r="B401" s="3" t="str">
        <f t="shared" ca="1" si="42"/>
        <v>Paschim Medinipur</v>
      </c>
      <c r="C401" s="3" t="str">
        <f t="shared" ca="1" si="43"/>
        <v>Moderate Risk</v>
      </c>
      <c r="D401" s="3" t="str">
        <f t="shared" ca="1" si="44"/>
        <v>Residential</v>
      </c>
      <c r="E401" s="3" t="str" cm="1">
        <f t="array" aca="1" ref="E401" ca="1">_xlfn.IFS(D401="Industrial", "Reinforced Concrete", D401 = "Commercial", CHOOSE(RANDBETWEEN(1, 2), "Reinforced Concrete", "Unreinforced Masonry"), D401 = "Residential", CHOOSE(RANDBETWEEN(1, 3), "Reinforced Concrete", "Unreinforced Masonry", "Adobe / Light Timber"))</f>
        <v>Reinforced Concrete</v>
      </c>
      <c r="F401" s="3">
        <f t="shared" ca="1" si="45"/>
        <v>2020</v>
      </c>
      <c r="G401" s="3">
        <f t="shared" ca="1" si="46"/>
        <v>3</v>
      </c>
      <c r="H401" s="2">
        <f t="shared" ca="1" si="47"/>
        <v>3</v>
      </c>
      <c r="I401" s="4">
        <f t="shared" ca="1" si="48"/>
        <v>4726488</v>
      </c>
    </row>
    <row r="402" spans="1:9">
      <c r="A402" s="1">
        <v>10000401</v>
      </c>
      <c r="B402" s="3" t="str">
        <f t="shared" ca="1" si="42"/>
        <v>Jalpaiguri</v>
      </c>
      <c r="C402" s="3" t="str">
        <f t="shared" ca="1" si="43"/>
        <v>High Risk</v>
      </c>
      <c r="D402" s="3" t="str">
        <f t="shared" ca="1" si="44"/>
        <v>Commercial</v>
      </c>
      <c r="E402" s="3" t="str" cm="1">
        <f t="array" aca="1" ref="E402" ca="1">_xlfn.IFS(D402="Industrial", "Reinforced Concrete", D402 = "Commercial", CHOOSE(RANDBETWEEN(1, 2), "Reinforced Concrete", "Unreinforced Masonry"), D402 = "Residential", CHOOSE(RANDBETWEEN(1, 3), "Reinforced Concrete", "Unreinforced Masonry", "Adobe / Light Timber"))</f>
        <v>Reinforced Concrete</v>
      </c>
      <c r="F402" s="3">
        <f t="shared" ca="1" si="45"/>
        <v>2023</v>
      </c>
      <c r="G402" s="3">
        <f t="shared" ca="1" si="46"/>
        <v>4</v>
      </c>
      <c r="H402" s="2">
        <f t="shared" ca="1" si="47"/>
        <v>3</v>
      </c>
      <c r="I402" s="4">
        <f t="shared" ca="1" si="48"/>
        <v>12308232</v>
      </c>
    </row>
    <row r="403" spans="1:9">
      <c r="A403" s="1">
        <v>10000402</v>
      </c>
      <c r="B403" s="3" t="str">
        <f t="shared" ca="1" si="42"/>
        <v>Kolkata</v>
      </c>
      <c r="C403" s="3" t="str">
        <f t="shared" ca="1" si="43"/>
        <v>Moderate Risk</v>
      </c>
      <c r="D403" s="3" t="str">
        <f t="shared" ca="1" si="44"/>
        <v>Commercial</v>
      </c>
      <c r="E403" s="3" t="str" cm="1">
        <f t="array" aca="1" ref="E403" ca="1">_xlfn.IFS(D403="Industrial", "Reinforced Concrete", D403 = "Commercial", CHOOSE(RANDBETWEEN(1, 2), "Reinforced Concrete", "Unreinforced Masonry"), D403 = "Residential", CHOOSE(RANDBETWEEN(1, 3), "Reinforced Concrete", "Unreinforced Masonry", "Adobe / Light Timber"))</f>
        <v>Unreinforced Masonry</v>
      </c>
      <c r="F403" s="3">
        <f t="shared" ca="1" si="45"/>
        <v>2007</v>
      </c>
      <c r="G403" s="3">
        <f t="shared" ca="1" si="46"/>
        <v>2</v>
      </c>
      <c r="H403" s="2">
        <f t="shared" ca="1" si="47"/>
        <v>1</v>
      </c>
      <c r="I403" s="4">
        <f t="shared" ca="1" si="48"/>
        <v>14646767</v>
      </c>
    </row>
    <row r="404" spans="1:9">
      <c r="A404" s="1">
        <v>10000403</v>
      </c>
      <c r="B404" s="3" t="str">
        <f t="shared" ca="1" si="42"/>
        <v>South 24 Parganas</v>
      </c>
      <c r="C404" s="3" t="str">
        <f t="shared" ca="1" si="43"/>
        <v>High Risk</v>
      </c>
      <c r="D404" s="3" t="str">
        <f t="shared" ca="1" si="44"/>
        <v>Residential</v>
      </c>
      <c r="E404" s="3" t="str" cm="1">
        <f t="array" aca="1" ref="E404" ca="1">_xlfn.IFS(D404="Industrial", "Reinforced Concrete", D404 = "Commercial", CHOOSE(RANDBETWEEN(1, 2), "Reinforced Concrete", "Unreinforced Masonry"), D404 = "Residential", CHOOSE(RANDBETWEEN(1, 3), "Reinforced Concrete", "Unreinforced Masonry", "Adobe / Light Timber"))</f>
        <v>Reinforced Concrete</v>
      </c>
      <c r="F404" s="3">
        <f t="shared" ca="1" si="45"/>
        <v>1991</v>
      </c>
      <c r="G404" s="3">
        <f t="shared" ca="1" si="46"/>
        <v>3</v>
      </c>
      <c r="H404" s="2">
        <f t="shared" ca="1" si="47"/>
        <v>4</v>
      </c>
      <c r="I404" s="4">
        <f t="shared" ca="1" si="48"/>
        <v>6868396</v>
      </c>
    </row>
    <row r="405" spans="1:9">
      <c r="A405" s="1">
        <v>10000404</v>
      </c>
      <c r="B405" s="3" t="str">
        <f t="shared" ca="1" si="42"/>
        <v>Hooghly</v>
      </c>
      <c r="C405" s="3" t="str">
        <f t="shared" ca="1" si="43"/>
        <v>Moderate Risk</v>
      </c>
      <c r="D405" s="3" t="str">
        <f t="shared" ca="1" si="44"/>
        <v>Commercial</v>
      </c>
      <c r="E405" s="3" t="str" cm="1">
        <f t="array" aca="1" ref="E405" ca="1">_xlfn.IFS(D405="Industrial", "Reinforced Concrete", D405 = "Commercial", CHOOSE(RANDBETWEEN(1, 2), "Reinforced Concrete", "Unreinforced Masonry"), D405 = "Residential", CHOOSE(RANDBETWEEN(1, 3), "Reinforced Concrete", "Unreinforced Masonry", "Adobe / Light Timber"))</f>
        <v>Reinforced Concrete</v>
      </c>
      <c r="F405" s="3">
        <f t="shared" ca="1" si="45"/>
        <v>1989</v>
      </c>
      <c r="G405" s="3">
        <f t="shared" ca="1" si="46"/>
        <v>4</v>
      </c>
      <c r="H405" s="2">
        <f t="shared" ca="1" si="47"/>
        <v>4</v>
      </c>
      <c r="I405" s="4">
        <f t="shared" ca="1" si="48"/>
        <v>15656372</v>
      </c>
    </row>
    <row r="406" spans="1:9">
      <c r="A406" s="1">
        <v>10000405</v>
      </c>
      <c r="B406" s="3" t="str">
        <f t="shared" ca="1" si="42"/>
        <v>Malda</v>
      </c>
      <c r="C406" s="3" t="str">
        <f t="shared" ca="1" si="43"/>
        <v>High Risk</v>
      </c>
      <c r="D406" s="3" t="str">
        <f t="shared" ca="1" si="44"/>
        <v>Commercial</v>
      </c>
      <c r="E406" s="3" t="str" cm="1">
        <f t="array" aca="1" ref="E406" ca="1">_xlfn.IFS(D406="Industrial", "Reinforced Concrete", D406 = "Commercial", CHOOSE(RANDBETWEEN(1, 2), "Reinforced Concrete", "Unreinforced Masonry"), D406 = "Residential", CHOOSE(RANDBETWEEN(1, 3), "Reinforced Concrete", "Unreinforced Masonry", "Adobe / Light Timber"))</f>
        <v>Reinforced Concrete</v>
      </c>
      <c r="F406" s="3">
        <f t="shared" ca="1" si="45"/>
        <v>2018</v>
      </c>
      <c r="G406" s="3">
        <f t="shared" ca="1" si="46"/>
        <v>3</v>
      </c>
      <c r="H406" s="2">
        <f t="shared" ca="1" si="47"/>
        <v>5</v>
      </c>
      <c r="I406" s="4">
        <f t="shared" ca="1" si="48"/>
        <v>12831507</v>
      </c>
    </row>
    <row r="407" spans="1:9">
      <c r="A407" s="1">
        <v>10000406</v>
      </c>
      <c r="B407" s="3" t="str">
        <f t="shared" ca="1" si="42"/>
        <v>South 24 Parganas</v>
      </c>
      <c r="C407" s="3" t="str">
        <f t="shared" ca="1" si="43"/>
        <v>High Risk</v>
      </c>
      <c r="D407" s="3" t="str">
        <f t="shared" ca="1" si="44"/>
        <v>Commercial</v>
      </c>
      <c r="E407" s="3" t="str" cm="1">
        <f t="array" aca="1" ref="E407" ca="1">_xlfn.IFS(D407="Industrial", "Reinforced Concrete", D407 = "Commercial", CHOOSE(RANDBETWEEN(1, 2), "Reinforced Concrete", "Unreinforced Masonry"), D407 = "Residential", CHOOSE(RANDBETWEEN(1, 3), "Reinforced Concrete", "Unreinforced Masonry", "Adobe / Light Timber"))</f>
        <v>Reinforced Concrete</v>
      </c>
      <c r="F407" s="3">
        <f t="shared" ca="1" si="45"/>
        <v>2007</v>
      </c>
      <c r="G407" s="3">
        <f t="shared" ca="1" si="46"/>
        <v>5</v>
      </c>
      <c r="H407" s="2">
        <f t="shared" ca="1" si="47"/>
        <v>3</v>
      </c>
      <c r="I407" s="4">
        <f t="shared" ca="1" si="48"/>
        <v>9989769</v>
      </c>
    </row>
    <row r="408" spans="1:9">
      <c r="A408" s="1">
        <v>10000407</v>
      </c>
      <c r="B408" s="3" t="str">
        <f t="shared" ca="1" si="42"/>
        <v>Hooghly</v>
      </c>
      <c r="C408" s="3" t="str">
        <f t="shared" ca="1" si="43"/>
        <v>Moderate Risk</v>
      </c>
      <c r="D408" s="3" t="str">
        <f t="shared" ca="1" si="44"/>
        <v>Residential</v>
      </c>
      <c r="E408" s="3" t="str" cm="1">
        <f t="array" aca="1" ref="E408" ca="1">_xlfn.IFS(D408="Industrial", "Reinforced Concrete", D408 = "Commercial", CHOOSE(RANDBETWEEN(1, 2), "Reinforced Concrete", "Unreinforced Masonry"), D408 = "Residential", CHOOSE(RANDBETWEEN(1, 3), "Reinforced Concrete", "Unreinforced Masonry", "Adobe / Light Timber"))</f>
        <v>Adobe / Light Timber</v>
      </c>
      <c r="F408" s="3">
        <f t="shared" ca="1" si="45"/>
        <v>2005</v>
      </c>
      <c r="G408" s="3">
        <f t="shared" ca="1" si="46"/>
        <v>1</v>
      </c>
      <c r="H408" s="2">
        <f t="shared" ca="1" si="47"/>
        <v>1</v>
      </c>
      <c r="I408" s="4">
        <f t="shared" ca="1" si="48"/>
        <v>442779</v>
      </c>
    </row>
    <row r="409" spans="1:9">
      <c r="A409" s="1">
        <v>10000408</v>
      </c>
      <c r="B409" s="3" t="str">
        <f t="shared" ca="1" si="42"/>
        <v>Paschim Medinipur</v>
      </c>
      <c r="C409" s="3" t="str">
        <f t="shared" ca="1" si="43"/>
        <v>Moderate Risk</v>
      </c>
      <c r="D409" s="3" t="str">
        <f t="shared" ca="1" si="44"/>
        <v>Residential</v>
      </c>
      <c r="E409" s="3" t="str" cm="1">
        <f t="array" aca="1" ref="E409" ca="1">_xlfn.IFS(D409="Industrial", "Reinforced Concrete", D409 = "Commercial", CHOOSE(RANDBETWEEN(1, 2), "Reinforced Concrete", "Unreinforced Masonry"), D409 = "Residential", CHOOSE(RANDBETWEEN(1, 3), "Reinforced Concrete", "Unreinforced Masonry", "Adobe / Light Timber"))</f>
        <v>Unreinforced Masonry</v>
      </c>
      <c r="F409" s="3">
        <f t="shared" ca="1" si="45"/>
        <v>2017</v>
      </c>
      <c r="G409" s="3">
        <f t="shared" ca="1" si="46"/>
        <v>2</v>
      </c>
      <c r="H409" s="2">
        <f t="shared" ca="1" si="47"/>
        <v>0</v>
      </c>
      <c r="I409" s="4">
        <f t="shared" ca="1" si="48"/>
        <v>4977506</v>
      </c>
    </row>
    <row r="410" spans="1:9">
      <c r="A410" s="1">
        <v>10000409</v>
      </c>
      <c r="B410" s="3" t="str">
        <f t="shared" ca="1" si="42"/>
        <v>Hooghly</v>
      </c>
      <c r="C410" s="3" t="str">
        <f t="shared" ca="1" si="43"/>
        <v>Moderate Risk</v>
      </c>
      <c r="D410" s="3" t="str">
        <f t="shared" ca="1" si="44"/>
        <v>Residential</v>
      </c>
      <c r="E410" s="3" t="str" cm="1">
        <f t="array" aca="1" ref="E410" ca="1">_xlfn.IFS(D410="Industrial", "Reinforced Concrete", D410 = "Commercial", CHOOSE(RANDBETWEEN(1, 2), "Reinforced Concrete", "Unreinforced Masonry"), D410 = "Residential", CHOOSE(RANDBETWEEN(1, 3), "Reinforced Concrete", "Unreinforced Masonry", "Adobe / Light Timber"))</f>
        <v>Unreinforced Masonry</v>
      </c>
      <c r="F410" s="3">
        <f t="shared" ca="1" si="45"/>
        <v>1981</v>
      </c>
      <c r="G410" s="3">
        <f t="shared" ca="1" si="46"/>
        <v>3</v>
      </c>
      <c r="H410" s="2">
        <f t="shared" ca="1" si="47"/>
        <v>1</v>
      </c>
      <c r="I410" s="4">
        <f t="shared" ca="1" si="48"/>
        <v>3822181</v>
      </c>
    </row>
    <row r="411" spans="1:9">
      <c r="A411" s="1">
        <v>10000410</v>
      </c>
      <c r="B411" s="3" t="str">
        <f t="shared" ca="1" si="42"/>
        <v>Kolkata</v>
      </c>
      <c r="C411" s="3" t="str">
        <f t="shared" ca="1" si="43"/>
        <v>Moderate Risk</v>
      </c>
      <c r="D411" s="3" t="str">
        <f t="shared" ca="1" si="44"/>
        <v>Industrial</v>
      </c>
      <c r="E411" s="3" t="str" cm="1">
        <f t="array" aca="1" ref="E411" ca="1">_xlfn.IFS(D411="Industrial", "Reinforced Concrete", D411 = "Commercial", CHOOSE(RANDBETWEEN(1, 2), "Reinforced Concrete", "Unreinforced Masonry"), D411 = "Residential", CHOOSE(RANDBETWEEN(1, 3), "Reinforced Concrete", "Unreinforced Masonry", "Adobe / Light Timber"))</f>
        <v>Reinforced Concrete</v>
      </c>
      <c r="F411" s="3">
        <f t="shared" ca="1" si="45"/>
        <v>1990</v>
      </c>
      <c r="G411" s="3">
        <f t="shared" ca="1" si="46"/>
        <v>3</v>
      </c>
      <c r="H411" s="2">
        <f t="shared" ca="1" si="47"/>
        <v>4</v>
      </c>
      <c r="I411" s="4">
        <f t="shared" ca="1" si="48"/>
        <v>45327230</v>
      </c>
    </row>
    <row r="412" spans="1:9">
      <c r="A412" s="1">
        <v>10000411</v>
      </c>
      <c r="B412" s="3" t="str">
        <f t="shared" ca="1" si="42"/>
        <v>South 24 Parganas</v>
      </c>
      <c r="C412" s="3" t="str">
        <f t="shared" ca="1" si="43"/>
        <v>High Risk</v>
      </c>
      <c r="D412" s="3" t="str">
        <f t="shared" ca="1" si="44"/>
        <v>Residential</v>
      </c>
      <c r="E412" s="3" t="str" cm="1">
        <f t="array" aca="1" ref="E412" ca="1">_xlfn.IFS(D412="Industrial", "Reinforced Concrete", D412 = "Commercial", CHOOSE(RANDBETWEEN(1, 2), "Reinforced Concrete", "Unreinforced Masonry"), D412 = "Residential", CHOOSE(RANDBETWEEN(1, 3), "Reinforced Concrete", "Unreinforced Masonry", "Adobe / Light Timber"))</f>
        <v>Reinforced Concrete</v>
      </c>
      <c r="F412" s="3">
        <f t="shared" ca="1" si="45"/>
        <v>1988</v>
      </c>
      <c r="G412" s="3">
        <f t="shared" ca="1" si="46"/>
        <v>1</v>
      </c>
      <c r="H412" s="2">
        <f t="shared" ca="1" si="47"/>
        <v>4</v>
      </c>
      <c r="I412" s="4">
        <f t="shared" ca="1" si="48"/>
        <v>5176808</v>
      </c>
    </row>
    <row r="413" spans="1:9">
      <c r="A413" s="1">
        <v>10000412</v>
      </c>
      <c r="B413" s="3" t="str">
        <f t="shared" ca="1" si="42"/>
        <v>South 24 Parganas</v>
      </c>
      <c r="C413" s="3" t="str">
        <f t="shared" ca="1" si="43"/>
        <v>High Risk</v>
      </c>
      <c r="D413" s="3" t="str">
        <f t="shared" ca="1" si="44"/>
        <v>Commercial</v>
      </c>
      <c r="E413" s="3" t="str" cm="1">
        <f t="array" aca="1" ref="E413" ca="1">_xlfn.IFS(D413="Industrial", "Reinforced Concrete", D413 = "Commercial", CHOOSE(RANDBETWEEN(1, 2), "Reinforced Concrete", "Unreinforced Masonry"), D413 = "Residential", CHOOSE(RANDBETWEEN(1, 3), "Reinforced Concrete", "Unreinforced Masonry", "Adobe / Light Timber"))</f>
        <v>Unreinforced Masonry</v>
      </c>
      <c r="F413" s="3">
        <f t="shared" ca="1" si="45"/>
        <v>1985</v>
      </c>
      <c r="G413" s="3">
        <f t="shared" ca="1" si="46"/>
        <v>2</v>
      </c>
      <c r="H413" s="2">
        <f t="shared" ca="1" si="47"/>
        <v>1</v>
      </c>
      <c r="I413" s="4">
        <f t="shared" ca="1" si="48"/>
        <v>13037086</v>
      </c>
    </row>
    <row r="414" spans="1:9">
      <c r="A414" s="1">
        <v>10000413</v>
      </c>
      <c r="B414" s="3" t="str">
        <f t="shared" ca="1" si="42"/>
        <v>Hooghly</v>
      </c>
      <c r="C414" s="3" t="str">
        <f t="shared" ca="1" si="43"/>
        <v>Moderate Risk</v>
      </c>
      <c r="D414" s="3" t="str">
        <f t="shared" ca="1" si="44"/>
        <v>Residential</v>
      </c>
      <c r="E414" s="3" t="str" cm="1">
        <f t="array" aca="1" ref="E414" ca="1">_xlfn.IFS(D414="Industrial", "Reinforced Concrete", D414 = "Commercial", CHOOSE(RANDBETWEEN(1, 2), "Reinforced Concrete", "Unreinforced Masonry"), D414 = "Residential", CHOOSE(RANDBETWEEN(1, 3), "Reinforced Concrete", "Unreinforced Masonry", "Adobe / Light Timber"))</f>
        <v>Unreinforced Masonry</v>
      </c>
      <c r="F414" s="3">
        <f t="shared" ca="1" si="45"/>
        <v>2024</v>
      </c>
      <c r="G414" s="3">
        <f t="shared" ca="1" si="46"/>
        <v>3</v>
      </c>
      <c r="H414" s="2">
        <f t="shared" ca="1" si="47"/>
        <v>0</v>
      </c>
      <c r="I414" s="4">
        <f t="shared" ca="1" si="48"/>
        <v>3177188</v>
      </c>
    </row>
    <row r="415" spans="1:9">
      <c r="A415" s="1">
        <v>10000414</v>
      </c>
      <c r="B415" s="3" t="str">
        <f t="shared" ca="1" si="42"/>
        <v>Hooghly</v>
      </c>
      <c r="C415" s="3" t="str">
        <f t="shared" ca="1" si="43"/>
        <v>Moderate Risk</v>
      </c>
      <c r="D415" s="3" t="str">
        <f t="shared" ca="1" si="44"/>
        <v>Residential</v>
      </c>
      <c r="E415" s="3" t="str" cm="1">
        <f t="array" aca="1" ref="E415" ca="1">_xlfn.IFS(D415="Industrial", "Reinforced Concrete", D415 = "Commercial", CHOOSE(RANDBETWEEN(1, 2), "Reinforced Concrete", "Unreinforced Masonry"), D415 = "Residential", CHOOSE(RANDBETWEEN(1, 3), "Reinforced Concrete", "Unreinforced Masonry", "Adobe / Light Timber"))</f>
        <v>Adobe / Light Timber</v>
      </c>
      <c r="F415" s="3">
        <f t="shared" ca="1" si="45"/>
        <v>2019</v>
      </c>
      <c r="G415" s="3">
        <f t="shared" ca="1" si="46"/>
        <v>1</v>
      </c>
      <c r="H415" s="2">
        <f t="shared" ca="1" si="47"/>
        <v>1</v>
      </c>
      <c r="I415" s="4">
        <f t="shared" ca="1" si="48"/>
        <v>387076</v>
      </c>
    </row>
    <row r="416" spans="1:9">
      <c r="A416" s="1">
        <v>10000415</v>
      </c>
      <c r="B416" s="3" t="str">
        <f t="shared" ca="1" si="42"/>
        <v>Paschim Medinipur</v>
      </c>
      <c r="C416" s="3" t="str">
        <f t="shared" ca="1" si="43"/>
        <v>Moderate Risk</v>
      </c>
      <c r="D416" s="3" t="str">
        <f t="shared" ca="1" si="44"/>
        <v>Commercial</v>
      </c>
      <c r="E416" s="3" t="str" cm="1">
        <f t="array" aca="1" ref="E416" ca="1">_xlfn.IFS(D416="Industrial", "Reinforced Concrete", D416 = "Commercial", CHOOSE(RANDBETWEEN(1, 2), "Reinforced Concrete", "Unreinforced Masonry"), D416 = "Residential", CHOOSE(RANDBETWEEN(1, 3), "Reinforced Concrete", "Unreinforced Masonry", "Adobe / Light Timber"))</f>
        <v>Unreinforced Masonry</v>
      </c>
      <c r="F416" s="3">
        <f t="shared" ca="1" si="45"/>
        <v>1985</v>
      </c>
      <c r="G416" s="3">
        <f t="shared" ca="1" si="46"/>
        <v>5</v>
      </c>
      <c r="H416" s="2">
        <f t="shared" ca="1" si="47"/>
        <v>2</v>
      </c>
      <c r="I416" s="4">
        <f t="shared" ca="1" si="48"/>
        <v>13773443</v>
      </c>
    </row>
    <row r="417" spans="1:9">
      <c r="A417" s="1">
        <v>10000416</v>
      </c>
      <c r="B417" s="3" t="str">
        <f t="shared" ca="1" si="42"/>
        <v>Hooghly</v>
      </c>
      <c r="C417" s="3" t="str">
        <f t="shared" ca="1" si="43"/>
        <v>Moderate Risk</v>
      </c>
      <c r="D417" s="3" t="str">
        <f t="shared" ca="1" si="44"/>
        <v>Residential</v>
      </c>
      <c r="E417" s="3" t="str" cm="1">
        <f t="array" aca="1" ref="E417" ca="1">_xlfn.IFS(D417="Industrial", "Reinforced Concrete", D417 = "Commercial", CHOOSE(RANDBETWEEN(1, 2), "Reinforced Concrete", "Unreinforced Masonry"), D417 = "Residential", CHOOSE(RANDBETWEEN(1, 3), "Reinforced Concrete", "Unreinforced Masonry", "Adobe / Light Timber"))</f>
        <v>Unreinforced Masonry</v>
      </c>
      <c r="F417" s="3">
        <f t="shared" ca="1" si="45"/>
        <v>2024</v>
      </c>
      <c r="G417" s="3">
        <f t="shared" ca="1" si="46"/>
        <v>1</v>
      </c>
      <c r="H417" s="2">
        <f t="shared" ca="1" si="47"/>
        <v>2</v>
      </c>
      <c r="I417" s="4">
        <f t="shared" ca="1" si="48"/>
        <v>2964915</v>
      </c>
    </row>
    <row r="418" spans="1:9">
      <c r="A418" s="1">
        <v>10000417</v>
      </c>
      <c r="B418" s="3" t="str">
        <f t="shared" ca="1" si="42"/>
        <v>Jalpaiguri</v>
      </c>
      <c r="C418" s="3" t="str">
        <f t="shared" ca="1" si="43"/>
        <v>High Risk</v>
      </c>
      <c r="D418" s="3" t="str">
        <f t="shared" ca="1" si="44"/>
        <v>Industrial</v>
      </c>
      <c r="E418" s="3" t="str" cm="1">
        <f t="array" aca="1" ref="E418" ca="1">_xlfn.IFS(D418="Industrial", "Reinforced Concrete", D418 = "Commercial", CHOOSE(RANDBETWEEN(1, 2), "Reinforced Concrete", "Unreinforced Masonry"), D418 = "Residential", CHOOSE(RANDBETWEEN(1, 3), "Reinforced Concrete", "Unreinforced Masonry", "Adobe / Light Timber"))</f>
        <v>Reinforced Concrete</v>
      </c>
      <c r="F418" s="3">
        <f t="shared" ca="1" si="45"/>
        <v>1994</v>
      </c>
      <c r="G418" s="3">
        <f t="shared" ca="1" si="46"/>
        <v>2</v>
      </c>
      <c r="H418" s="2">
        <f t="shared" ca="1" si="47"/>
        <v>3</v>
      </c>
      <c r="I418" s="4">
        <f t="shared" ca="1" si="48"/>
        <v>55430915</v>
      </c>
    </row>
    <row r="419" spans="1:9">
      <c r="A419" s="1">
        <v>10000418</v>
      </c>
      <c r="B419" s="3" t="str">
        <f t="shared" ca="1" si="42"/>
        <v>Hooghly</v>
      </c>
      <c r="C419" s="3" t="str">
        <f t="shared" ca="1" si="43"/>
        <v>Moderate Risk</v>
      </c>
      <c r="D419" s="3" t="str">
        <f t="shared" ca="1" si="44"/>
        <v>Industrial</v>
      </c>
      <c r="E419" s="3" t="str" cm="1">
        <f t="array" aca="1" ref="E419" ca="1">_xlfn.IFS(D419="Industrial", "Reinforced Concrete", D419 = "Commercial", CHOOSE(RANDBETWEEN(1, 2), "Reinforced Concrete", "Unreinforced Masonry"), D419 = "Residential", CHOOSE(RANDBETWEEN(1, 3), "Reinforced Concrete", "Unreinforced Masonry", "Adobe / Light Timber"))</f>
        <v>Reinforced Concrete</v>
      </c>
      <c r="F419" s="3">
        <f t="shared" ca="1" si="45"/>
        <v>2010</v>
      </c>
      <c r="G419" s="3">
        <f t="shared" ca="1" si="46"/>
        <v>4</v>
      </c>
      <c r="H419" s="2">
        <f t="shared" ca="1" si="47"/>
        <v>4</v>
      </c>
      <c r="I419" s="4">
        <f t="shared" ca="1" si="48"/>
        <v>52915889</v>
      </c>
    </row>
    <row r="420" spans="1:9">
      <c r="A420" s="1">
        <v>10000419</v>
      </c>
      <c r="B420" s="3" t="str">
        <f t="shared" ca="1" si="42"/>
        <v>Malda</v>
      </c>
      <c r="C420" s="3" t="str">
        <f t="shared" ca="1" si="43"/>
        <v>High Risk</v>
      </c>
      <c r="D420" s="3" t="str">
        <f t="shared" ca="1" si="44"/>
        <v>Industrial</v>
      </c>
      <c r="E420" s="3" t="str" cm="1">
        <f t="array" aca="1" ref="E420" ca="1">_xlfn.IFS(D420="Industrial", "Reinforced Concrete", D420 = "Commercial", CHOOSE(RANDBETWEEN(1, 2), "Reinforced Concrete", "Unreinforced Masonry"), D420 = "Residential", CHOOSE(RANDBETWEEN(1, 3), "Reinforced Concrete", "Unreinforced Masonry", "Adobe / Light Timber"))</f>
        <v>Reinforced Concrete</v>
      </c>
      <c r="F420" s="3">
        <f t="shared" ca="1" si="45"/>
        <v>1983</v>
      </c>
      <c r="G420" s="3">
        <f t="shared" ca="1" si="46"/>
        <v>1</v>
      </c>
      <c r="H420" s="2">
        <f t="shared" ca="1" si="47"/>
        <v>5</v>
      </c>
      <c r="I420" s="4">
        <f t="shared" ca="1" si="48"/>
        <v>47688551</v>
      </c>
    </row>
    <row r="421" spans="1:9">
      <c r="A421" s="1">
        <v>10000420</v>
      </c>
      <c r="B421" s="3" t="str">
        <f t="shared" ca="1" si="42"/>
        <v>Jalpaiguri</v>
      </c>
      <c r="C421" s="3" t="str">
        <f t="shared" ca="1" si="43"/>
        <v>High Risk</v>
      </c>
      <c r="D421" s="3" t="str">
        <f t="shared" ca="1" si="44"/>
        <v>Industrial</v>
      </c>
      <c r="E421" s="3" t="str" cm="1">
        <f t="array" aca="1" ref="E421" ca="1">_xlfn.IFS(D421="Industrial", "Reinforced Concrete", D421 = "Commercial", CHOOSE(RANDBETWEEN(1, 2), "Reinforced Concrete", "Unreinforced Masonry"), D421 = "Residential", CHOOSE(RANDBETWEEN(1, 3), "Reinforced Concrete", "Unreinforced Masonry", "Adobe / Light Timber"))</f>
        <v>Reinforced Concrete</v>
      </c>
      <c r="F421" s="3">
        <f t="shared" ca="1" si="45"/>
        <v>1994</v>
      </c>
      <c r="G421" s="3">
        <f t="shared" ca="1" si="46"/>
        <v>1</v>
      </c>
      <c r="H421" s="2">
        <f t="shared" ca="1" si="47"/>
        <v>5</v>
      </c>
      <c r="I421" s="4">
        <f t="shared" ca="1" si="48"/>
        <v>42136264</v>
      </c>
    </row>
    <row r="422" spans="1:9">
      <c r="A422" s="1">
        <v>10000421</v>
      </c>
      <c r="B422" s="3" t="str">
        <f t="shared" ca="1" si="42"/>
        <v>Jalpaiguri</v>
      </c>
      <c r="C422" s="3" t="str">
        <f t="shared" ca="1" si="43"/>
        <v>High Risk</v>
      </c>
      <c r="D422" s="3" t="str">
        <f t="shared" ca="1" si="44"/>
        <v>Industrial</v>
      </c>
      <c r="E422" s="3" t="str" cm="1">
        <f t="array" aca="1" ref="E422" ca="1">_xlfn.IFS(D422="Industrial", "Reinforced Concrete", D422 = "Commercial", CHOOSE(RANDBETWEEN(1, 2), "Reinforced Concrete", "Unreinforced Masonry"), D422 = "Residential", CHOOSE(RANDBETWEEN(1, 3), "Reinforced Concrete", "Unreinforced Masonry", "Adobe / Light Timber"))</f>
        <v>Reinforced Concrete</v>
      </c>
      <c r="F422" s="3">
        <f t="shared" ca="1" si="45"/>
        <v>2015</v>
      </c>
      <c r="G422" s="3">
        <f t="shared" ca="1" si="46"/>
        <v>4</v>
      </c>
      <c r="H422" s="2">
        <f t="shared" ca="1" si="47"/>
        <v>3</v>
      </c>
      <c r="I422" s="4">
        <f t="shared" ca="1" si="48"/>
        <v>50785386</v>
      </c>
    </row>
    <row r="423" spans="1:9">
      <c r="A423" s="1">
        <v>10000422</v>
      </c>
      <c r="B423" s="3" t="str">
        <f t="shared" ca="1" si="42"/>
        <v>Paschim Medinipur</v>
      </c>
      <c r="C423" s="3" t="str">
        <f t="shared" ca="1" si="43"/>
        <v>Moderate Risk</v>
      </c>
      <c r="D423" s="3" t="str">
        <f t="shared" ca="1" si="44"/>
        <v>Industrial</v>
      </c>
      <c r="E423" s="3" t="str" cm="1">
        <f t="array" aca="1" ref="E423" ca="1">_xlfn.IFS(D423="Industrial", "Reinforced Concrete", D423 = "Commercial", CHOOSE(RANDBETWEEN(1, 2), "Reinforced Concrete", "Unreinforced Masonry"), D423 = "Residential", CHOOSE(RANDBETWEEN(1, 3), "Reinforced Concrete", "Unreinforced Masonry", "Adobe / Light Timber"))</f>
        <v>Reinforced Concrete</v>
      </c>
      <c r="F423" s="3">
        <f t="shared" ca="1" si="45"/>
        <v>2017</v>
      </c>
      <c r="G423" s="3">
        <f t="shared" ca="1" si="46"/>
        <v>1</v>
      </c>
      <c r="H423" s="2">
        <f t="shared" ca="1" si="47"/>
        <v>3</v>
      </c>
      <c r="I423" s="4">
        <f t="shared" ca="1" si="48"/>
        <v>52835136</v>
      </c>
    </row>
    <row r="424" spans="1:9">
      <c r="A424" s="1">
        <v>10000423</v>
      </c>
      <c r="B424" s="3" t="str">
        <f t="shared" ca="1" si="42"/>
        <v>Hooghly</v>
      </c>
      <c r="C424" s="3" t="str">
        <f t="shared" ca="1" si="43"/>
        <v>Moderate Risk</v>
      </c>
      <c r="D424" s="3" t="str">
        <f t="shared" ca="1" si="44"/>
        <v>Residential</v>
      </c>
      <c r="E424" s="3" t="str" cm="1">
        <f t="array" aca="1" ref="E424" ca="1">_xlfn.IFS(D424="Industrial", "Reinforced Concrete", D424 = "Commercial", CHOOSE(RANDBETWEEN(1, 2), "Reinforced Concrete", "Unreinforced Masonry"), D424 = "Residential", CHOOSE(RANDBETWEEN(1, 3), "Reinforced Concrete", "Unreinforced Masonry", "Adobe / Light Timber"))</f>
        <v>Unreinforced Masonry</v>
      </c>
      <c r="F424" s="3">
        <f t="shared" ca="1" si="45"/>
        <v>1992</v>
      </c>
      <c r="G424" s="3">
        <f t="shared" ca="1" si="46"/>
        <v>3</v>
      </c>
      <c r="H424" s="2">
        <f t="shared" ca="1" si="47"/>
        <v>0</v>
      </c>
      <c r="I424" s="4">
        <f t="shared" ca="1" si="48"/>
        <v>4575235</v>
      </c>
    </row>
    <row r="425" spans="1:9">
      <c r="A425" s="1">
        <v>10000424</v>
      </c>
      <c r="B425" s="3" t="str">
        <f t="shared" ca="1" si="42"/>
        <v>Malda</v>
      </c>
      <c r="C425" s="3" t="str">
        <f t="shared" ca="1" si="43"/>
        <v>High Risk</v>
      </c>
      <c r="D425" s="3" t="str">
        <f t="shared" ca="1" si="44"/>
        <v>Commercial</v>
      </c>
      <c r="E425" s="3" t="str" cm="1">
        <f t="array" aca="1" ref="E425" ca="1">_xlfn.IFS(D425="Industrial", "Reinforced Concrete", D425 = "Commercial", CHOOSE(RANDBETWEEN(1, 2), "Reinforced Concrete", "Unreinforced Masonry"), D425 = "Residential", CHOOSE(RANDBETWEEN(1, 3), "Reinforced Concrete", "Unreinforced Masonry", "Adobe / Light Timber"))</f>
        <v>Unreinforced Masonry</v>
      </c>
      <c r="F425" s="3">
        <f t="shared" ca="1" si="45"/>
        <v>1996</v>
      </c>
      <c r="G425" s="3">
        <f t="shared" ca="1" si="46"/>
        <v>3</v>
      </c>
      <c r="H425" s="2">
        <f t="shared" ca="1" si="47"/>
        <v>1</v>
      </c>
      <c r="I425" s="4">
        <f t="shared" ca="1" si="48"/>
        <v>5842754</v>
      </c>
    </row>
    <row r="426" spans="1:9">
      <c r="A426" s="1">
        <v>10000425</v>
      </c>
      <c r="B426" s="3" t="str">
        <f t="shared" ca="1" si="42"/>
        <v>Kolkata</v>
      </c>
      <c r="C426" s="3" t="str">
        <f t="shared" ca="1" si="43"/>
        <v>Moderate Risk</v>
      </c>
      <c r="D426" s="3" t="str">
        <f t="shared" ca="1" si="44"/>
        <v>Commercial</v>
      </c>
      <c r="E426" s="3" t="str" cm="1">
        <f t="array" aca="1" ref="E426" ca="1">_xlfn.IFS(D426="Industrial", "Reinforced Concrete", D426 = "Commercial", CHOOSE(RANDBETWEEN(1, 2), "Reinforced Concrete", "Unreinforced Masonry"), D426 = "Residential", CHOOSE(RANDBETWEEN(1, 3), "Reinforced Concrete", "Unreinforced Masonry", "Adobe / Light Timber"))</f>
        <v>Reinforced Concrete</v>
      </c>
      <c r="F426" s="3">
        <f t="shared" ca="1" si="45"/>
        <v>2013</v>
      </c>
      <c r="G426" s="3">
        <f t="shared" ca="1" si="46"/>
        <v>5</v>
      </c>
      <c r="H426" s="2">
        <f t="shared" ca="1" si="47"/>
        <v>5</v>
      </c>
      <c r="I426" s="4">
        <f t="shared" ca="1" si="48"/>
        <v>15337459</v>
      </c>
    </row>
    <row r="427" spans="1:9">
      <c r="A427" s="1">
        <v>10000426</v>
      </c>
      <c r="B427" s="3" t="str">
        <f t="shared" ca="1" si="42"/>
        <v>South 24 Parganas</v>
      </c>
      <c r="C427" s="3" t="str">
        <f t="shared" ca="1" si="43"/>
        <v>High Risk</v>
      </c>
      <c r="D427" s="3" t="str">
        <f t="shared" ca="1" si="44"/>
        <v>Industrial</v>
      </c>
      <c r="E427" s="3" t="str" cm="1">
        <f t="array" aca="1" ref="E427" ca="1">_xlfn.IFS(D427="Industrial", "Reinforced Concrete", D427 = "Commercial", CHOOSE(RANDBETWEEN(1, 2), "Reinforced Concrete", "Unreinforced Masonry"), D427 = "Residential", CHOOSE(RANDBETWEEN(1, 3), "Reinforced Concrete", "Unreinforced Masonry", "Adobe / Light Timber"))</f>
        <v>Reinforced Concrete</v>
      </c>
      <c r="F427" s="3">
        <f t="shared" ca="1" si="45"/>
        <v>2018</v>
      </c>
      <c r="G427" s="3">
        <f t="shared" ca="1" si="46"/>
        <v>1</v>
      </c>
      <c r="H427" s="2">
        <f t="shared" ca="1" si="47"/>
        <v>5</v>
      </c>
      <c r="I427" s="4">
        <f t="shared" ca="1" si="48"/>
        <v>43446171</v>
      </c>
    </row>
    <row r="428" spans="1:9">
      <c r="A428" s="1">
        <v>10000427</v>
      </c>
      <c r="B428" s="3" t="str">
        <f t="shared" ca="1" si="42"/>
        <v>Hooghly</v>
      </c>
      <c r="C428" s="3" t="str">
        <f t="shared" ca="1" si="43"/>
        <v>Moderate Risk</v>
      </c>
      <c r="D428" s="3" t="str">
        <f t="shared" ca="1" si="44"/>
        <v>Commercial</v>
      </c>
      <c r="E428" s="3" t="str" cm="1">
        <f t="array" aca="1" ref="E428" ca="1">_xlfn.IFS(D428="Industrial", "Reinforced Concrete", D428 = "Commercial", CHOOSE(RANDBETWEEN(1, 2), "Reinforced Concrete", "Unreinforced Masonry"), D428 = "Residential", CHOOSE(RANDBETWEEN(1, 3), "Reinforced Concrete", "Unreinforced Masonry", "Adobe / Light Timber"))</f>
        <v>Reinforced Concrete</v>
      </c>
      <c r="F428" s="3">
        <f t="shared" ca="1" si="45"/>
        <v>1991</v>
      </c>
      <c r="G428" s="3">
        <f t="shared" ca="1" si="46"/>
        <v>4</v>
      </c>
      <c r="H428" s="2">
        <f t="shared" ca="1" si="47"/>
        <v>3</v>
      </c>
      <c r="I428" s="4">
        <f t="shared" ca="1" si="48"/>
        <v>7385520</v>
      </c>
    </row>
    <row r="429" spans="1:9">
      <c r="A429" s="1">
        <v>10000428</v>
      </c>
      <c r="B429" s="3" t="str">
        <f t="shared" ca="1" si="42"/>
        <v>South 24 Parganas</v>
      </c>
      <c r="C429" s="3" t="str">
        <f t="shared" ca="1" si="43"/>
        <v>High Risk</v>
      </c>
      <c r="D429" s="3" t="str">
        <f t="shared" ca="1" si="44"/>
        <v>Residential</v>
      </c>
      <c r="E429" s="3" t="str" cm="1">
        <f t="array" aca="1" ref="E429" ca="1">_xlfn.IFS(D429="Industrial", "Reinforced Concrete", D429 = "Commercial", CHOOSE(RANDBETWEEN(1, 2), "Reinforced Concrete", "Unreinforced Masonry"), D429 = "Residential", CHOOSE(RANDBETWEEN(1, 3), "Reinforced Concrete", "Unreinforced Masonry", "Adobe / Light Timber"))</f>
        <v>Reinforced Concrete</v>
      </c>
      <c r="F429" s="3">
        <f t="shared" ca="1" si="45"/>
        <v>1993</v>
      </c>
      <c r="G429" s="3">
        <f t="shared" ca="1" si="46"/>
        <v>1</v>
      </c>
      <c r="H429" s="2">
        <f t="shared" ca="1" si="47"/>
        <v>4</v>
      </c>
      <c r="I429" s="4">
        <f t="shared" ca="1" si="48"/>
        <v>840297</v>
      </c>
    </row>
    <row r="430" spans="1:9">
      <c r="A430" s="1">
        <v>10000429</v>
      </c>
      <c r="B430" s="3" t="str">
        <f t="shared" ca="1" si="42"/>
        <v>Paschim Medinipur</v>
      </c>
      <c r="C430" s="3" t="str">
        <f t="shared" ca="1" si="43"/>
        <v>Moderate Risk</v>
      </c>
      <c r="D430" s="3" t="str">
        <f t="shared" ca="1" si="44"/>
        <v>Industrial</v>
      </c>
      <c r="E430" s="3" t="str" cm="1">
        <f t="array" aca="1" ref="E430" ca="1">_xlfn.IFS(D430="Industrial", "Reinforced Concrete", D430 = "Commercial", CHOOSE(RANDBETWEEN(1, 2), "Reinforced Concrete", "Unreinforced Masonry"), D430 = "Residential", CHOOSE(RANDBETWEEN(1, 3), "Reinforced Concrete", "Unreinforced Masonry", "Adobe / Light Timber"))</f>
        <v>Reinforced Concrete</v>
      </c>
      <c r="F430" s="3">
        <f t="shared" ca="1" si="45"/>
        <v>2015</v>
      </c>
      <c r="G430" s="3">
        <f t="shared" ca="1" si="46"/>
        <v>3</v>
      </c>
      <c r="H430" s="2">
        <f t="shared" ca="1" si="47"/>
        <v>5</v>
      </c>
      <c r="I430" s="4">
        <f t="shared" ca="1" si="48"/>
        <v>56744281</v>
      </c>
    </row>
    <row r="431" spans="1:9">
      <c r="A431" s="1">
        <v>10000430</v>
      </c>
      <c r="B431" s="3" t="str">
        <f t="shared" ca="1" si="42"/>
        <v>Malda</v>
      </c>
      <c r="C431" s="3" t="str">
        <f t="shared" ca="1" si="43"/>
        <v>High Risk</v>
      </c>
      <c r="D431" s="3" t="str">
        <f t="shared" ca="1" si="44"/>
        <v>Industrial</v>
      </c>
      <c r="E431" s="3" t="str" cm="1">
        <f t="array" aca="1" ref="E431" ca="1">_xlfn.IFS(D431="Industrial", "Reinforced Concrete", D431 = "Commercial", CHOOSE(RANDBETWEEN(1, 2), "Reinforced Concrete", "Unreinforced Masonry"), D431 = "Residential", CHOOSE(RANDBETWEEN(1, 3), "Reinforced Concrete", "Unreinforced Masonry", "Adobe / Light Timber"))</f>
        <v>Reinforced Concrete</v>
      </c>
      <c r="F431" s="3">
        <f t="shared" ca="1" si="45"/>
        <v>2003</v>
      </c>
      <c r="G431" s="3">
        <f t="shared" ca="1" si="46"/>
        <v>5</v>
      </c>
      <c r="H431" s="2">
        <f t="shared" ca="1" si="47"/>
        <v>4</v>
      </c>
      <c r="I431" s="4">
        <f t="shared" ca="1" si="48"/>
        <v>61312778</v>
      </c>
    </row>
    <row r="432" spans="1:9">
      <c r="A432" s="1">
        <v>10000431</v>
      </c>
      <c r="B432" s="3" t="str">
        <f t="shared" ca="1" si="42"/>
        <v>South 24 Parganas</v>
      </c>
      <c r="C432" s="3" t="str">
        <f t="shared" ca="1" si="43"/>
        <v>High Risk</v>
      </c>
      <c r="D432" s="3" t="str">
        <f t="shared" ca="1" si="44"/>
        <v>Residential</v>
      </c>
      <c r="E432" s="3" t="str" cm="1">
        <f t="array" aca="1" ref="E432" ca="1">_xlfn.IFS(D432="Industrial", "Reinforced Concrete", D432 = "Commercial", CHOOSE(RANDBETWEEN(1, 2), "Reinforced Concrete", "Unreinforced Masonry"), D432 = "Residential", CHOOSE(RANDBETWEEN(1, 3), "Reinforced Concrete", "Unreinforced Masonry", "Adobe / Light Timber"))</f>
        <v>Adobe / Light Timber</v>
      </c>
      <c r="F432" s="3">
        <f t="shared" ca="1" si="45"/>
        <v>1983</v>
      </c>
      <c r="G432" s="3">
        <f t="shared" ca="1" si="46"/>
        <v>1</v>
      </c>
      <c r="H432" s="2">
        <f t="shared" ca="1" si="47"/>
        <v>1</v>
      </c>
      <c r="I432" s="4">
        <f t="shared" ca="1" si="48"/>
        <v>590322</v>
      </c>
    </row>
    <row r="433" spans="1:9">
      <c r="A433" s="1">
        <v>10000432</v>
      </c>
      <c r="B433" s="3" t="str">
        <f t="shared" ca="1" si="42"/>
        <v>South 24 Parganas</v>
      </c>
      <c r="C433" s="3" t="str">
        <f t="shared" ca="1" si="43"/>
        <v>High Risk</v>
      </c>
      <c r="D433" s="3" t="str">
        <f t="shared" ca="1" si="44"/>
        <v>Commercial</v>
      </c>
      <c r="E433" s="3" t="str" cm="1">
        <f t="array" aca="1" ref="E433" ca="1">_xlfn.IFS(D433="Industrial", "Reinforced Concrete", D433 = "Commercial", CHOOSE(RANDBETWEEN(1, 2), "Reinforced Concrete", "Unreinforced Masonry"), D433 = "Residential", CHOOSE(RANDBETWEEN(1, 3), "Reinforced Concrete", "Unreinforced Masonry", "Adobe / Light Timber"))</f>
        <v>Unreinforced Masonry</v>
      </c>
      <c r="F433" s="3">
        <f t="shared" ca="1" si="45"/>
        <v>2015</v>
      </c>
      <c r="G433" s="3">
        <f t="shared" ca="1" si="46"/>
        <v>1</v>
      </c>
      <c r="H433" s="2">
        <f t="shared" ca="1" si="47"/>
        <v>0</v>
      </c>
      <c r="I433" s="4">
        <f t="shared" ca="1" si="48"/>
        <v>12667632</v>
      </c>
    </row>
    <row r="434" spans="1:9">
      <c r="A434" s="1">
        <v>10000433</v>
      </c>
      <c r="B434" s="3" t="str">
        <f t="shared" ca="1" si="42"/>
        <v>South 24 Parganas</v>
      </c>
      <c r="C434" s="3" t="str">
        <f t="shared" ca="1" si="43"/>
        <v>High Risk</v>
      </c>
      <c r="D434" s="3" t="str">
        <f t="shared" ca="1" si="44"/>
        <v>Industrial</v>
      </c>
      <c r="E434" s="3" t="str" cm="1">
        <f t="array" aca="1" ref="E434" ca="1">_xlfn.IFS(D434="Industrial", "Reinforced Concrete", D434 = "Commercial", CHOOSE(RANDBETWEEN(1, 2), "Reinforced Concrete", "Unreinforced Masonry"), D434 = "Residential", CHOOSE(RANDBETWEEN(1, 3), "Reinforced Concrete", "Unreinforced Masonry", "Adobe / Light Timber"))</f>
        <v>Reinforced Concrete</v>
      </c>
      <c r="F434" s="3">
        <f t="shared" ca="1" si="45"/>
        <v>1981</v>
      </c>
      <c r="G434" s="3">
        <f t="shared" ca="1" si="46"/>
        <v>3</v>
      </c>
      <c r="H434" s="2">
        <f t="shared" ca="1" si="47"/>
        <v>5</v>
      </c>
      <c r="I434" s="4">
        <f t="shared" ca="1" si="48"/>
        <v>42064251</v>
      </c>
    </row>
    <row r="435" spans="1:9">
      <c r="A435" s="1">
        <v>10000434</v>
      </c>
      <c r="B435" s="3" t="str">
        <f t="shared" ca="1" si="42"/>
        <v>Malda</v>
      </c>
      <c r="C435" s="3" t="str">
        <f t="shared" ca="1" si="43"/>
        <v>High Risk</v>
      </c>
      <c r="D435" s="3" t="str">
        <f t="shared" ca="1" si="44"/>
        <v>Residential</v>
      </c>
      <c r="E435" s="3" t="str" cm="1">
        <f t="array" aca="1" ref="E435" ca="1">_xlfn.IFS(D435="Industrial", "Reinforced Concrete", D435 = "Commercial", CHOOSE(RANDBETWEEN(1, 2), "Reinforced Concrete", "Unreinforced Masonry"), D435 = "Residential", CHOOSE(RANDBETWEEN(1, 3), "Reinforced Concrete", "Unreinforced Masonry", "Adobe / Light Timber"))</f>
        <v>Unreinforced Masonry</v>
      </c>
      <c r="F435" s="3">
        <f t="shared" ca="1" si="45"/>
        <v>2024</v>
      </c>
      <c r="G435" s="3">
        <f t="shared" ca="1" si="46"/>
        <v>4</v>
      </c>
      <c r="H435" s="2">
        <f t="shared" ca="1" si="47"/>
        <v>1</v>
      </c>
      <c r="I435" s="4">
        <f t="shared" ca="1" si="48"/>
        <v>7101288</v>
      </c>
    </row>
    <row r="436" spans="1:9">
      <c r="A436" s="1">
        <v>10000435</v>
      </c>
      <c r="B436" s="3" t="str">
        <f t="shared" ca="1" si="42"/>
        <v>Malda</v>
      </c>
      <c r="C436" s="3" t="str">
        <f t="shared" ca="1" si="43"/>
        <v>High Risk</v>
      </c>
      <c r="D436" s="3" t="str">
        <f t="shared" ca="1" si="44"/>
        <v>Commercial</v>
      </c>
      <c r="E436" s="3" t="str" cm="1">
        <f t="array" aca="1" ref="E436" ca="1">_xlfn.IFS(D436="Industrial", "Reinforced Concrete", D436 = "Commercial", CHOOSE(RANDBETWEEN(1, 2), "Reinforced Concrete", "Unreinforced Masonry"), D436 = "Residential", CHOOSE(RANDBETWEEN(1, 3), "Reinforced Concrete", "Unreinforced Masonry", "Adobe / Light Timber"))</f>
        <v>Reinforced Concrete</v>
      </c>
      <c r="F436" s="3">
        <f t="shared" ca="1" si="45"/>
        <v>2001</v>
      </c>
      <c r="G436" s="3">
        <f t="shared" ca="1" si="46"/>
        <v>5</v>
      </c>
      <c r="H436" s="2">
        <f t="shared" ca="1" si="47"/>
        <v>4</v>
      </c>
      <c r="I436" s="4">
        <f t="shared" ca="1" si="48"/>
        <v>19504815</v>
      </c>
    </row>
    <row r="437" spans="1:9">
      <c r="A437" s="1">
        <v>10000436</v>
      </c>
      <c r="B437" s="3" t="str">
        <f t="shared" ca="1" si="42"/>
        <v>Hooghly</v>
      </c>
      <c r="C437" s="3" t="str">
        <f t="shared" ca="1" si="43"/>
        <v>Moderate Risk</v>
      </c>
      <c r="D437" s="3" t="str">
        <f t="shared" ca="1" si="44"/>
        <v>Industrial</v>
      </c>
      <c r="E437" s="3" t="str" cm="1">
        <f t="array" aca="1" ref="E437" ca="1">_xlfn.IFS(D437="Industrial", "Reinforced Concrete", D437 = "Commercial", CHOOSE(RANDBETWEEN(1, 2), "Reinforced Concrete", "Unreinforced Masonry"), D437 = "Residential", CHOOSE(RANDBETWEEN(1, 3), "Reinforced Concrete", "Unreinforced Masonry", "Adobe / Light Timber"))</f>
        <v>Reinforced Concrete</v>
      </c>
      <c r="F437" s="3">
        <f t="shared" ca="1" si="45"/>
        <v>2003</v>
      </c>
      <c r="G437" s="3">
        <f t="shared" ca="1" si="46"/>
        <v>2</v>
      </c>
      <c r="H437" s="2">
        <f t="shared" ca="1" si="47"/>
        <v>4</v>
      </c>
      <c r="I437" s="4">
        <f t="shared" ca="1" si="48"/>
        <v>37989986</v>
      </c>
    </row>
    <row r="438" spans="1:9">
      <c r="A438" s="1">
        <v>10000437</v>
      </c>
      <c r="B438" s="3" t="str">
        <f t="shared" ca="1" si="42"/>
        <v>Hooghly</v>
      </c>
      <c r="C438" s="3" t="str">
        <f t="shared" ca="1" si="43"/>
        <v>Moderate Risk</v>
      </c>
      <c r="D438" s="3" t="str">
        <f t="shared" ca="1" si="44"/>
        <v>Industrial</v>
      </c>
      <c r="E438" s="3" t="str" cm="1">
        <f t="array" aca="1" ref="E438" ca="1">_xlfn.IFS(D438="Industrial", "Reinforced Concrete", D438 = "Commercial", CHOOSE(RANDBETWEEN(1, 2), "Reinforced Concrete", "Unreinforced Masonry"), D438 = "Residential", CHOOSE(RANDBETWEEN(1, 3), "Reinforced Concrete", "Unreinforced Masonry", "Adobe / Light Timber"))</f>
        <v>Reinforced Concrete</v>
      </c>
      <c r="F438" s="3">
        <f t="shared" ca="1" si="45"/>
        <v>2024</v>
      </c>
      <c r="G438" s="3">
        <f t="shared" ca="1" si="46"/>
        <v>4</v>
      </c>
      <c r="H438" s="2">
        <f t="shared" ca="1" si="47"/>
        <v>4</v>
      </c>
      <c r="I438" s="4">
        <f t="shared" ca="1" si="48"/>
        <v>53160785</v>
      </c>
    </row>
    <row r="439" spans="1:9">
      <c r="A439" s="1">
        <v>10000438</v>
      </c>
      <c r="B439" s="3" t="str">
        <f t="shared" ca="1" si="42"/>
        <v>South 24 Parganas</v>
      </c>
      <c r="C439" s="3" t="str">
        <f t="shared" ca="1" si="43"/>
        <v>High Risk</v>
      </c>
      <c r="D439" s="3" t="str">
        <f t="shared" ca="1" si="44"/>
        <v>Industrial</v>
      </c>
      <c r="E439" s="3" t="str" cm="1">
        <f t="array" aca="1" ref="E439" ca="1">_xlfn.IFS(D439="Industrial", "Reinforced Concrete", D439 = "Commercial", CHOOSE(RANDBETWEEN(1, 2), "Reinforced Concrete", "Unreinforced Masonry"), D439 = "Residential", CHOOSE(RANDBETWEEN(1, 3), "Reinforced Concrete", "Unreinforced Masonry", "Adobe / Light Timber"))</f>
        <v>Reinforced Concrete</v>
      </c>
      <c r="F439" s="3">
        <f t="shared" ca="1" si="45"/>
        <v>2003</v>
      </c>
      <c r="G439" s="3">
        <f t="shared" ca="1" si="46"/>
        <v>1</v>
      </c>
      <c r="H439" s="2">
        <f t="shared" ca="1" si="47"/>
        <v>3</v>
      </c>
      <c r="I439" s="4">
        <f t="shared" ca="1" si="48"/>
        <v>54929811</v>
      </c>
    </row>
    <row r="440" spans="1:9">
      <c r="A440" s="1">
        <v>10000439</v>
      </c>
      <c r="B440" s="3" t="str">
        <f t="shared" ca="1" si="42"/>
        <v>Kolkata</v>
      </c>
      <c r="C440" s="3" t="str">
        <f t="shared" ca="1" si="43"/>
        <v>Moderate Risk</v>
      </c>
      <c r="D440" s="3" t="str">
        <f t="shared" ca="1" si="44"/>
        <v>Residential</v>
      </c>
      <c r="E440" s="3" t="str" cm="1">
        <f t="array" aca="1" ref="E440" ca="1">_xlfn.IFS(D440="Industrial", "Reinforced Concrete", D440 = "Commercial", CHOOSE(RANDBETWEEN(1, 2), "Reinforced Concrete", "Unreinforced Masonry"), D440 = "Residential", CHOOSE(RANDBETWEEN(1, 3), "Reinforced Concrete", "Unreinforced Masonry", "Adobe / Light Timber"))</f>
        <v>Unreinforced Masonry</v>
      </c>
      <c r="F440" s="3">
        <f t="shared" ca="1" si="45"/>
        <v>1995</v>
      </c>
      <c r="G440" s="3">
        <f t="shared" ca="1" si="46"/>
        <v>4</v>
      </c>
      <c r="H440" s="2">
        <f t="shared" ca="1" si="47"/>
        <v>2</v>
      </c>
      <c r="I440" s="4">
        <f t="shared" ca="1" si="48"/>
        <v>4881714</v>
      </c>
    </row>
    <row r="441" spans="1:9">
      <c r="A441" s="1">
        <v>10000440</v>
      </c>
      <c r="B441" s="3" t="str">
        <f t="shared" ca="1" si="42"/>
        <v>Malda</v>
      </c>
      <c r="C441" s="3" t="str">
        <f t="shared" ca="1" si="43"/>
        <v>High Risk</v>
      </c>
      <c r="D441" s="3" t="str">
        <f t="shared" ca="1" si="44"/>
        <v>Residential</v>
      </c>
      <c r="E441" s="3" t="str" cm="1">
        <f t="array" aca="1" ref="E441" ca="1">_xlfn.IFS(D441="Industrial", "Reinforced Concrete", D441 = "Commercial", CHOOSE(RANDBETWEEN(1, 2), "Reinforced Concrete", "Unreinforced Masonry"), D441 = "Residential", CHOOSE(RANDBETWEEN(1, 3), "Reinforced Concrete", "Unreinforced Masonry", "Adobe / Light Timber"))</f>
        <v>Unreinforced Masonry</v>
      </c>
      <c r="F441" s="3">
        <f t="shared" ca="1" si="45"/>
        <v>1997</v>
      </c>
      <c r="G441" s="3">
        <f t="shared" ca="1" si="46"/>
        <v>2</v>
      </c>
      <c r="H441" s="2">
        <f t="shared" ca="1" si="47"/>
        <v>1</v>
      </c>
      <c r="I441" s="4">
        <f t="shared" ca="1" si="48"/>
        <v>7067767</v>
      </c>
    </row>
    <row r="442" spans="1:9">
      <c r="A442" s="1">
        <v>10000441</v>
      </c>
      <c r="B442" s="3" t="str">
        <f t="shared" ca="1" si="42"/>
        <v>Hooghly</v>
      </c>
      <c r="C442" s="3" t="str">
        <f t="shared" ca="1" si="43"/>
        <v>Moderate Risk</v>
      </c>
      <c r="D442" s="3" t="str">
        <f t="shared" ca="1" si="44"/>
        <v>Commercial</v>
      </c>
      <c r="E442" s="3" t="str" cm="1">
        <f t="array" aca="1" ref="E442" ca="1">_xlfn.IFS(D442="Industrial", "Reinforced Concrete", D442 = "Commercial", CHOOSE(RANDBETWEEN(1, 2), "Reinforced Concrete", "Unreinforced Masonry"), D442 = "Residential", CHOOSE(RANDBETWEEN(1, 3), "Reinforced Concrete", "Unreinforced Masonry", "Adobe / Light Timber"))</f>
        <v>Reinforced Concrete</v>
      </c>
      <c r="F442" s="3">
        <f t="shared" ca="1" si="45"/>
        <v>2020</v>
      </c>
      <c r="G442" s="3">
        <f t="shared" ca="1" si="46"/>
        <v>2</v>
      </c>
      <c r="H442" s="2">
        <f t="shared" ca="1" si="47"/>
        <v>5</v>
      </c>
      <c r="I442" s="4">
        <f t="shared" ca="1" si="48"/>
        <v>17627379</v>
      </c>
    </row>
    <row r="443" spans="1:9">
      <c r="A443" s="1">
        <v>10000442</v>
      </c>
      <c r="B443" s="3" t="str">
        <f t="shared" ca="1" si="42"/>
        <v>Malda</v>
      </c>
      <c r="C443" s="3" t="str">
        <f t="shared" ca="1" si="43"/>
        <v>High Risk</v>
      </c>
      <c r="D443" s="3" t="str">
        <f t="shared" ca="1" si="44"/>
        <v>Industrial</v>
      </c>
      <c r="E443" s="3" t="str" cm="1">
        <f t="array" aca="1" ref="E443" ca="1">_xlfn.IFS(D443="Industrial", "Reinforced Concrete", D443 = "Commercial", CHOOSE(RANDBETWEEN(1, 2), "Reinforced Concrete", "Unreinforced Masonry"), D443 = "Residential", CHOOSE(RANDBETWEEN(1, 3), "Reinforced Concrete", "Unreinforced Masonry", "Adobe / Light Timber"))</f>
        <v>Reinforced Concrete</v>
      </c>
      <c r="F443" s="3">
        <f t="shared" ca="1" si="45"/>
        <v>1993</v>
      </c>
      <c r="G443" s="3">
        <f t="shared" ca="1" si="46"/>
        <v>3</v>
      </c>
      <c r="H443" s="2">
        <f t="shared" ca="1" si="47"/>
        <v>3</v>
      </c>
      <c r="I443" s="4">
        <f t="shared" ca="1" si="48"/>
        <v>56097275</v>
      </c>
    </row>
    <row r="444" spans="1:9">
      <c r="A444" s="1">
        <v>10000443</v>
      </c>
      <c r="B444" s="3" t="str">
        <f t="shared" ca="1" si="42"/>
        <v>Hooghly</v>
      </c>
      <c r="C444" s="3" t="str">
        <f t="shared" ca="1" si="43"/>
        <v>Moderate Risk</v>
      </c>
      <c r="D444" s="3" t="str">
        <f t="shared" ca="1" si="44"/>
        <v>Industrial</v>
      </c>
      <c r="E444" s="3" t="str" cm="1">
        <f t="array" aca="1" ref="E444" ca="1">_xlfn.IFS(D444="Industrial", "Reinforced Concrete", D444 = "Commercial", CHOOSE(RANDBETWEEN(1, 2), "Reinforced Concrete", "Unreinforced Masonry"), D444 = "Residential", CHOOSE(RANDBETWEEN(1, 3), "Reinforced Concrete", "Unreinforced Masonry", "Adobe / Light Timber"))</f>
        <v>Reinforced Concrete</v>
      </c>
      <c r="F444" s="3">
        <f t="shared" ca="1" si="45"/>
        <v>2012</v>
      </c>
      <c r="G444" s="3">
        <f t="shared" ca="1" si="46"/>
        <v>4</v>
      </c>
      <c r="H444" s="2">
        <f t="shared" ca="1" si="47"/>
        <v>3</v>
      </c>
      <c r="I444" s="4">
        <f t="shared" ca="1" si="48"/>
        <v>46703847</v>
      </c>
    </row>
    <row r="445" spans="1:9">
      <c r="A445" s="1">
        <v>10000444</v>
      </c>
      <c r="B445" s="3" t="str">
        <f t="shared" ca="1" si="42"/>
        <v>Hooghly</v>
      </c>
      <c r="C445" s="3" t="str">
        <f t="shared" ca="1" si="43"/>
        <v>Moderate Risk</v>
      </c>
      <c r="D445" s="3" t="str">
        <f t="shared" ca="1" si="44"/>
        <v>Residential</v>
      </c>
      <c r="E445" s="3" t="str" cm="1">
        <f t="array" aca="1" ref="E445" ca="1">_xlfn.IFS(D445="Industrial", "Reinforced Concrete", D445 = "Commercial", CHOOSE(RANDBETWEEN(1, 2), "Reinforced Concrete", "Unreinforced Masonry"), D445 = "Residential", CHOOSE(RANDBETWEEN(1, 3), "Reinforced Concrete", "Unreinforced Masonry", "Adobe / Light Timber"))</f>
        <v>Reinforced Concrete</v>
      </c>
      <c r="F445" s="3">
        <f t="shared" ca="1" si="45"/>
        <v>2014</v>
      </c>
      <c r="G445" s="3">
        <f t="shared" ca="1" si="46"/>
        <v>5</v>
      </c>
      <c r="H445" s="2">
        <f t="shared" ca="1" si="47"/>
        <v>4</v>
      </c>
      <c r="I445" s="4">
        <f t="shared" ca="1" si="48"/>
        <v>3566432</v>
      </c>
    </row>
    <row r="446" spans="1:9">
      <c r="A446" s="1">
        <v>10000445</v>
      </c>
      <c r="B446" s="3" t="str">
        <f t="shared" ca="1" si="42"/>
        <v>Malda</v>
      </c>
      <c r="C446" s="3" t="str">
        <f t="shared" ca="1" si="43"/>
        <v>High Risk</v>
      </c>
      <c r="D446" s="3" t="str">
        <f t="shared" ca="1" si="44"/>
        <v>Residential</v>
      </c>
      <c r="E446" s="3" t="str" cm="1">
        <f t="array" aca="1" ref="E446" ca="1">_xlfn.IFS(D446="Industrial", "Reinforced Concrete", D446 = "Commercial", CHOOSE(RANDBETWEEN(1, 2), "Reinforced Concrete", "Unreinforced Masonry"), D446 = "Residential", CHOOSE(RANDBETWEEN(1, 3), "Reinforced Concrete", "Unreinforced Masonry", "Adobe / Light Timber"))</f>
        <v>Reinforced Concrete</v>
      </c>
      <c r="F446" s="3">
        <f t="shared" ca="1" si="45"/>
        <v>1989</v>
      </c>
      <c r="G446" s="3">
        <f t="shared" ca="1" si="46"/>
        <v>4</v>
      </c>
      <c r="H446" s="2">
        <f t="shared" ca="1" si="47"/>
        <v>4</v>
      </c>
      <c r="I446" s="4">
        <f t="shared" ca="1" si="48"/>
        <v>5696625</v>
      </c>
    </row>
    <row r="447" spans="1:9">
      <c r="A447" s="1">
        <v>10000446</v>
      </c>
      <c r="B447" s="3" t="str">
        <f t="shared" ca="1" si="42"/>
        <v>Paschim Medinipur</v>
      </c>
      <c r="C447" s="3" t="str">
        <f t="shared" ca="1" si="43"/>
        <v>Moderate Risk</v>
      </c>
      <c r="D447" s="3" t="str">
        <f t="shared" ca="1" si="44"/>
        <v>Industrial</v>
      </c>
      <c r="E447" s="3" t="str" cm="1">
        <f t="array" aca="1" ref="E447" ca="1">_xlfn.IFS(D447="Industrial", "Reinforced Concrete", D447 = "Commercial", CHOOSE(RANDBETWEEN(1, 2), "Reinforced Concrete", "Unreinforced Masonry"), D447 = "Residential", CHOOSE(RANDBETWEEN(1, 3), "Reinforced Concrete", "Unreinforced Masonry", "Adobe / Light Timber"))</f>
        <v>Reinforced Concrete</v>
      </c>
      <c r="F447" s="3">
        <f t="shared" ca="1" si="45"/>
        <v>2005</v>
      </c>
      <c r="G447" s="3">
        <f t="shared" ca="1" si="46"/>
        <v>1</v>
      </c>
      <c r="H447" s="2">
        <f t="shared" ca="1" si="47"/>
        <v>4</v>
      </c>
      <c r="I447" s="4">
        <f t="shared" ca="1" si="48"/>
        <v>51820025</v>
      </c>
    </row>
    <row r="448" spans="1:9">
      <c r="A448" s="1">
        <v>10000447</v>
      </c>
      <c r="B448" s="3" t="str">
        <f t="shared" ca="1" si="42"/>
        <v>South 24 Parganas</v>
      </c>
      <c r="C448" s="3" t="str">
        <f t="shared" ca="1" si="43"/>
        <v>High Risk</v>
      </c>
      <c r="D448" s="3" t="str">
        <f t="shared" ca="1" si="44"/>
        <v>Residential</v>
      </c>
      <c r="E448" s="3" t="str" cm="1">
        <f t="array" aca="1" ref="E448" ca="1">_xlfn.IFS(D448="Industrial", "Reinforced Concrete", D448 = "Commercial", CHOOSE(RANDBETWEEN(1, 2), "Reinforced Concrete", "Unreinforced Masonry"), D448 = "Residential", CHOOSE(RANDBETWEEN(1, 3), "Reinforced Concrete", "Unreinforced Masonry", "Adobe / Light Timber"))</f>
        <v>Adobe / Light Timber</v>
      </c>
      <c r="F448" s="3">
        <f t="shared" ca="1" si="45"/>
        <v>2007</v>
      </c>
      <c r="G448" s="3">
        <f t="shared" ca="1" si="46"/>
        <v>1</v>
      </c>
      <c r="H448" s="2">
        <f t="shared" ca="1" si="47"/>
        <v>0</v>
      </c>
      <c r="I448" s="4">
        <f t="shared" ca="1" si="48"/>
        <v>590191</v>
      </c>
    </row>
    <row r="449" spans="1:9">
      <c r="A449" s="1">
        <v>10000448</v>
      </c>
      <c r="B449" s="3" t="str">
        <f t="shared" ca="1" si="42"/>
        <v>Kolkata</v>
      </c>
      <c r="C449" s="3" t="str">
        <f t="shared" ca="1" si="43"/>
        <v>Moderate Risk</v>
      </c>
      <c r="D449" s="3" t="str">
        <f t="shared" ca="1" si="44"/>
        <v>Industrial</v>
      </c>
      <c r="E449" s="3" t="str" cm="1">
        <f t="array" aca="1" ref="E449" ca="1">_xlfn.IFS(D449="Industrial", "Reinforced Concrete", D449 = "Commercial", CHOOSE(RANDBETWEEN(1, 2), "Reinforced Concrete", "Unreinforced Masonry"), D449 = "Residential", CHOOSE(RANDBETWEEN(1, 3), "Reinforced Concrete", "Unreinforced Masonry", "Adobe / Light Timber"))</f>
        <v>Reinforced Concrete</v>
      </c>
      <c r="F449" s="3">
        <f t="shared" ca="1" si="45"/>
        <v>2023</v>
      </c>
      <c r="G449" s="3">
        <f t="shared" ca="1" si="46"/>
        <v>3</v>
      </c>
      <c r="H449" s="2">
        <f t="shared" ca="1" si="47"/>
        <v>5</v>
      </c>
      <c r="I449" s="4">
        <f t="shared" ca="1" si="48"/>
        <v>38141357</v>
      </c>
    </row>
    <row r="450" spans="1:9">
      <c r="A450" s="1">
        <v>10000449</v>
      </c>
      <c r="B450" s="3" t="str">
        <f t="shared" ca="1" si="42"/>
        <v>South 24 Parganas</v>
      </c>
      <c r="C450" s="3" t="str">
        <f t="shared" ca="1" si="43"/>
        <v>High Risk</v>
      </c>
      <c r="D450" s="3" t="str">
        <f t="shared" ca="1" si="44"/>
        <v>Commercial</v>
      </c>
      <c r="E450" s="3" t="str" cm="1">
        <f t="array" aca="1" ref="E450" ca="1">_xlfn.IFS(D450="Industrial", "Reinforced Concrete", D450 = "Commercial", CHOOSE(RANDBETWEEN(1, 2), "Reinforced Concrete", "Unreinforced Masonry"), D450 = "Residential", CHOOSE(RANDBETWEEN(1, 3), "Reinforced Concrete", "Unreinforced Masonry", "Adobe / Light Timber"))</f>
        <v>Unreinforced Masonry</v>
      </c>
      <c r="F450" s="3">
        <f t="shared" ca="1" si="45"/>
        <v>2011</v>
      </c>
      <c r="G450" s="3">
        <f t="shared" ca="1" si="46"/>
        <v>4</v>
      </c>
      <c r="H450" s="2">
        <f t="shared" ca="1" si="47"/>
        <v>1</v>
      </c>
      <c r="I450" s="4">
        <f t="shared" ca="1" si="48"/>
        <v>11125866</v>
      </c>
    </row>
    <row r="451" spans="1:9">
      <c r="A451" s="1">
        <v>10000450</v>
      </c>
      <c r="B451" s="3" t="str">
        <f t="shared" ref="B451:B514" ca="1" si="49">CHOOSE(RANDBETWEEN(1, 6),"South 24 Parganas", "Malda", "Jalpaiguri","Kolkata","Hooghly","Paschim Medinipur")</f>
        <v>Kolkata</v>
      </c>
      <c r="C451" s="3" t="str">
        <f t="shared" ref="C451:C514" ca="1" si="50">IF(OR(B451 = "South 24 Parganas", B451 = "Malda", B451 = "Jalpaiguri"), "High Risk", "Moderate Risk")</f>
        <v>Moderate Risk</v>
      </c>
      <c r="D451" s="3" t="str">
        <f t="shared" ref="D451:D514" ca="1" si="51">CHOOSE(RANDBETWEEN(1, 3), "Residential","Commercial","Industrial")</f>
        <v>Industrial</v>
      </c>
      <c r="E451" s="3" t="str" cm="1">
        <f t="array" aca="1" ref="E451" ca="1">_xlfn.IFS(D451="Industrial", "Reinforced Concrete", D451 = "Commercial", CHOOSE(RANDBETWEEN(1, 2), "Reinforced Concrete", "Unreinforced Masonry"), D451 = "Residential", CHOOSE(RANDBETWEEN(1, 3), "Reinforced Concrete", "Unreinforced Masonry", "Adobe / Light Timber"))</f>
        <v>Reinforced Concrete</v>
      </c>
      <c r="F451" s="3">
        <f t="shared" ref="F451:F514" ca="1" si="52">RANDBETWEEN(1980, 2024)</f>
        <v>2015</v>
      </c>
      <c r="G451" s="3">
        <f t="shared" ref="G451:G514" ca="1" si="53">IF(E451 = "Adobe / Light Timber", 1, RANDBETWEEN(1, 5))</f>
        <v>3</v>
      </c>
      <c r="H451" s="2">
        <f t="shared" ref="H451:H514" ca="1" si="54">IF(E451="Reinforced Concrete",RANDBETWEEN(3, 5),RANDBETWEEN(0,2))</f>
        <v>3</v>
      </c>
      <c r="I451" s="4">
        <f t="shared" ref="I451:I514" ca="1" si="55">MAX(200000, _xlfn.IFS(D451 = "Industrial", ROUND(_xlfn.NORM.INV(RAND(), 50000000, 10000000), 0), D451 = "Commercial",ROUND(_xlfn.NORM.INV(RAND(), 15000000, 5000000), 0),E451 = "Adobe / Light Timber", ROUND(_xlfn.NORM.INV(RAND(), 500000, 100000), 0),TRUE, ROUND(_xlfn.NORM.INV(RAND(), 4000000, 1500000), 0)))</f>
        <v>42332744</v>
      </c>
    </row>
    <row r="452" spans="1:9">
      <c r="A452" s="1">
        <v>10000451</v>
      </c>
      <c r="B452" s="3" t="str">
        <f t="shared" ca="1" si="49"/>
        <v>Malda</v>
      </c>
      <c r="C452" s="3" t="str">
        <f t="shared" ca="1" si="50"/>
        <v>High Risk</v>
      </c>
      <c r="D452" s="3" t="str">
        <f t="shared" ca="1" si="51"/>
        <v>Commercial</v>
      </c>
      <c r="E452" s="3" t="str" cm="1">
        <f t="array" aca="1" ref="E452" ca="1">_xlfn.IFS(D452="Industrial", "Reinforced Concrete", D452 = "Commercial", CHOOSE(RANDBETWEEN(1, 2), "Reinforced Concrete", "Unreinforced Masonry"), D452 = "Residential", CHOOSE(RANDBETWEEN(1, 3), "Reinforced Concrete", "Unreinforced Masonry", "Adobe / Light Timber"))</f>
        <v>Unreinforced Masonry</v>
      </c>
      <c r="F452" s="3">
        <f t="shared" ca="1" si="52"/>
        <v>2021</v>
      </c>
      <c r="G452" s="3">
        <f t="shared" ca="1" si="53"/>
        <v>1</v>
      </c>
      <c r="H452" s="2">
        <f t="shared" ca="1" si="54"/>
        <v>2</v>
      </c>
      <c r="I452" s="4">
        <f t="shared" ca="1" si="55"/>
        <v>16992236</v>
      </c>
    </row>
    <row r="453" spans="1:9">
      <c r="A453" s="1">
        <v>10000452</v>
      </c>
      <c r="B453" s="3" t="str">
        <f t="shared" ca="1" si="49"/>
        <v>Paschim Medinipur</v>
      </c>
      <c r="C453" s="3" t="str">
        <f t="shared" ca="1" si="50"/>
        <v>Moderate Risk</v>
      </c>
      <c r="D453" s="3" t="str">
        <f t="shared" ca="1" si="51"/>
        <v>Residential</v>
      </c>
      <c r="E453" s="3" t="str" cm="1">
        <f t="array" aca="1" ref="E453" ca="1">_xlfn.IFS(D453="Industrial", "Reinforced Concrete", D453 = "Commercial", CHOOSE(RANDBETWEEN(1, 2), "Reinforced Concrete", "Unreinforced Masonry"), D453 = "Residential", CHOOSE(RANDBETWEEN(1, 3), "Reinforced Concrete", "Unreinforced Masonry", "Adobe / Light Timber"))</f>
        <v>Adobe / Light Timber</v>
      </c>
      <c r="F453" s="3">
        <f t="shared" ca="1" si="52"/>
        <v>1983</v>
      </c>
      <c r="G453" s="3">
        <f t="shared" ca="1" si="53"/>
        <v>1</v>
      </c>
      <c r="H453" s="2">
        <f t="shared" ca="1" si="54"/>
        <v>0</v>
      </c>
      <c r="I453" s="4">
        <f t="shared" ca="1" si="55"/>
        <v>546067</v>
      </c>
    </row>
    <row r="454" spans="1:9">
      <c r="A454" s="1">
        <v>10000453</v>
      </c>
      <c r="B454" s="3" t="str">
        <f t="shared" ca="1" si="49"/>
        <v>Paschim Medinipur</v>
      </c>
      <c r="C454" s="3" t="str">
        <f t="shared" ca="1" si="50"/>
        <v>Moderate Risk</v>
      </c>
      <c r="D454" s="3" t="str">
        <f t="shared" ca="1" si="51"/>
        <v>Industrial</v>
      </c>
      <c r="E454" s="3" t="str" cm="1">
        <f t="array" aca="1" ref="E454" ca="1">_xlfn.IFS(D454="Industrial", "Reinforced Concrete", D454 = "Commercial", CHOOSE(RANDBETWEEN(1, 2), "Reinforced Concrete", "Unreinforced Masonry"), D454 = "Residential", CHOOSE(RANDBETWEEN(1, 3), "Reinforced Concrete", "Unreinforced Masonry", "Adobe / Light Timber"))</f>
        <v>Reinforced Concrete</v>
      </c>
      <c r="F454" s="3">
        <f t="shared" ca="1" si="52"/>
        <v>1981</v>
      </c>
      <c r="G454" s="3">
        <f t="shared" ca="1" si="53"/>
        <v>5</v>
      </c>
      <c r="H454" s="2">
        <f t="shared" ca="1" si="54"/>
        <v>5</v>
      </c>
      <c r="I454" s="4">
        <f t="shared" ca="1" si="55"/>
        <v>46311202</v>
      </c>
    </row>
    <row r="455" spans="1:9">
      <c r="A455" s="1">
        <v>10000454</v>
      </c>
      <c r="B455" s="3" t="str">
        <f t="shared" ca="1" si="49"/>
        <v>Hooghly</v>
      </c>
      <c r="C455" s="3" t="str">
        <f t="shared" ca="1" si="50"/>
        <v>Moderate Risk</v>
      </c>
      <c r="D455" s="3" t="str">
        <f t="shared" ca="1" si="51"/>
        <v>Residential</v>
      </c>
      <c r="E455" s="3" t="str" cm="1">
        <f t="array" aca="1" ref="E455" ca="1">_xlfn.IFS(D455="Industrial", "Reinforced Concrete", D455 = "Commercial", CHOOSE(RANDBETWEEN(1, 2), "Reinforced Concrete", "Unreinforced Masonry"), D455 = "Residential", CHOOSE(RANDBETWEEN(1, 3), "Reinforced Concrete", "Unreinforced Masonry", "Adobe / Light Timber"))</f>
        <v>Unreinforced Masonry</v>
      </c>
      <c r="F455" s="3">
        <f t="shared" ca="1" si="52"/>
        <v>2019</v>
      </c>
      <c r="G455" s="3">
        <f t="shared" ca="1" si="53"/>
        <v>2</v>
      </c>
      <c r="H455" s="2">
        <f t="shared" ca="1" si="54"/>
        <v>2</v>
      </c>
      <c r="I455" s="4">
        <f t="shared" ca="1" si="55"/>
        <v>2585469</v>
      </c>
    </row>
    <row r="456" spans="1:9">
      <c r="A456" s="1">
        <v>10000455</v>
      </c>
      <c r="B456" s="3" t="str">
        <f t="shared" ca="1" si="49"/>
        <v>Hooghly</v>
      </c>
      <c r="C456" s="3" t="str">
        <f t="shared" ca="1" si="50"/>
        <v>Moderate Risk</v>
      </c>
      <c r="D456" s="3" t="str">
        <f t="shared" ca="1" si="51"/>
        <v>Residential</v>
      </c>
      <c r="E456" s="3" t="str" cm="1">
        <f t="array" aca="1" ref="E456" ca="1">_xlfn.IFS(D456="Industrial", "Reinforced Concrete", D456 = "Commercial", CHOOSE(RANDBETWEEN(1, 2), "Reinforced Concrete", "Unreinforced Masonry"), D456 = "Residential", CHOOSE(RANDBETWEEN(1, 3), "Reinforced Concrete", "Unreinforced Masonry", "Adobe / Light Timber"))</f>
        <v>Unreinforced Masonry</v>
      </c>
      <c r="F456" s="3">
        <f t="shared" ca="1" si="52"/>
        <v>2003</v>
      </c>
      <c r="G456" s="3">
        <f t="shared" ca="1" si="53"/>
        <v>4</v>
      </c>
      <c r="H456" s="2">
        <f t="shared" ca="1" si="54"/>
        <v>0</v>
      </c>
      <c r="I456" s="4">
        <f t="shared" ca="1" si="55"/>
        <v>5953655</v>
      </c>
    </row>
    <row r="457" spans="1:9">
      <c r="A457" s="1">
        <v>10000456</v>
      </c>
      <c r="B457" s="3" t="str">
        <f t="shared" ca="1" si="49"/>
        <v>South 24 Parganas</v>
      </c>
      <c r="C457" s="3" t="str">
        <f t="shared" ca="1" si="50"/>
        <v>High Risk</v>
      </c>
      <c r="D457" s="3" t="str">
        <f t="shared" ca="1" si="51"/>
        <v>Commercial</v>
      </c>
      <c r="E457" s="3" t="str" cm="1">
        <f t="array" aca="1" ref="E457" ca="1">_xlfn.IFS(D457="Industrial", "Reinforced Concrete", D457 = "Commercial", CHOOSE(RANDBETWEEN(1, 2), "Reinforced Concrete", "Unreinforced Masonry"), D457 = "Residential", CHOOSE(RANDBETWEEN(1, 3), "Reinforced Concrete", "Unreinforced Masonry", "Adobe / Light Timber"))</f>
        <v>Reinforced Concrete</v>
      </c>
      <c r="F457" s="3">
        <f t="shared" ca="1" si="52"/>
        <v>2024</v>
      </c>
      <c r="G457" s="3">
        <f t="shared" ca="1" si="53"/>
        <v>4</v>
      </c>
      <c r="H457" s="2">
        <f t="shared" ca="1" si="54"/>
        <v>4</v>
      </c>
      <c r="I457" s="4">
        <f t="shared" ca="1" si="55"/>
        <v>17443667</v>
      </c>
    </row>
    <row r="458" spans="1:9">
      <c r="A458" s="1">
        <v>10000457</v>
      </c>
      <c r="B458" s="3" t="str">
        <f t="shared" ca="1" si="49"/>
        <v>Paschim Medinipur</v>
      </c>
      <c r="C458" s="3" t="str">
        <f t="shared" ca="1" si="50"/>
        <v>Moderate Risk</v>
      </c>
      <c r="D458" s="3" t="str">
        <f t="shared" ca="1" si="51"/>
        <v>Industrial</v>
      </c>
      <c r="E458" s="3" t="str" cm="1">
        <f t="array" aca="1" ref="E458" ca="1">_xlfn.IFS(D458="Industrial", "Reinforced Concrete", D458 = "Commercial", CHOOSE(RANDBETWEEN(1, 2), "Reinforced Concrete", "Unreinforced Masonry"), D458 = "Residential", CHOOSE(RANDBETWEEN(1, 3), "Reinforced Concrete", "Unreinforced Masonry", "Adobe / Light Timber"))</f>
        <v>Reinforced Concrete</v>
      </c>
      <c r="F458" s="3">
        <f t="shared" ca="1" si="52"/>
        <v>1998</v>
      </c>
      <c r="G458" s="3">
        <f t="shared" ca="1" si="53"/>
        <v>3</v>
      </c>
      <c r="H458" s="2">
        <f t="shared" ca="1" si="54"/>
        <v>4</v>
      </c>
      <c r="I458" s="4">
        <f t="shared" ca="1" si="55"/>
        <v>47694812</v>
      </c>
    </row>
    <row r="459" spans="1:9">
      <c r="A459" s="1">
        <v>10000458</v>
      </c>
      <c r="B459" s="3" t="str">
        <f t="shared" ca="1" si="49"/>
        <v>Malda</v>
      </c>
      <c r="C459" s="3" t="str">
        <f t="shared" ca="1" si="50"/>
        <v>High Risk</v>
      </c>
      <c r="D459" s="3" t="str">
        <f t="shared" ca="1" si="51"/>
        <v>Commercial</v>
      </c>
      <c r="E459" s="3" t="str" cm="1">
        <f t="array" aca="1" ref="E459" ca="1">_xlfn.IFS(D459="Industrial", "Reinforced Concrete", D459 = "Commercial", CHOOSE(RANDBETWEEN(1, 2), "Reinforced Concrete", "Unreinforced Masonry"), D459 = "Residential", CHOOSE(RANDBETWEEN(1, 3), "Reinforced Concrete", "Unreinforced Masonry", "Adobe / Light Timber"))</f>
        <v>Unreinforced Masonry</v>
      </c>
      <c r="F459" s="3">
        <f t="shared" ca="1" si="52"/>
        <v>1989</v>
      </c>
      <c r="G459" s="3">
        <f t="shared" ca="1" si="53"/>
        <v>4</v>
      </c>
      <c r="H459" s="2">
        <f t="shared" ca="1" si="54"/>
        <v>2</v>
      </c>
      <c r="I459" s="4">
        <f t="shared" ca="1" si="55"/>
        <v>24268066</v>
      </c>
    </row>
    <row r="460" spans="1:9">
      <c r="A460" s="1">
        <v>10000459</v>
      </c>
      <c r="B460" s="3" t="str">
        <f t="shared" ca="1" si="49"/>
        <v>South 24 Parganas</v>
      </c>
      <c r="C460" s="3" t="str">
        <f t="shared" ca="1" si="50"/>
        <v>High Risk</v>
      </c>
      <c r="D460" s="3" t="str">
        <f t="shared" ca="1" si="51"/>
        <v>Industrial</v>
      </c>
      <c r="E460" s="3" t="str" cm="1">
        <f t="array" aca="1" ref="E460" ca="1">_xlfn.IFS(D460="Industrial", "Reinforced Concrete", D460 = "Commercial", CHOOSE(RANDBETWEEN(1, 2), "Reinforced Concrete", "Unreinforced Masonry"), D460 = "Residential", CHOOSE(RANDBETWEEN(1, 3), "Reinforced Concrete", "Unreinforced Masonry", "Adobe / Light Timber"))</f>
        <v>Reinforced Concrete</v>
      </c>
      <c r="F460" s="3">
        <f t="shared" ca="1" si="52"/>
        <v>2004</v>
      </c>
      <c r="G460" s="3">
        <f t="shared" ca="1" si="53"/>
        <v>5</v>
      </c>
      <c r="H460" s="2">
        <f t="shared" ca="1" si="54"/>
        <v>5</v>
      </c>
      <c r="I460" s="4">
        <f t="shared" ca="1" si="55"/>
        <v>51060871</v>
      </c>
    </row>
    <row r="461" spans="1:9">
      <c r="A461" s="1">
        <v>10000460</v>
      </c>
      <c r="B461" s="3" t="str">
        <f t="shared" ca="1" si="49"/>
        <v>Kolkata</v>
      </c>
      <c r="C461" s="3" t="str">
        <f t="shared" ca="1" si="50"/>
        <v>Moderate Risk</v>
      </c>
      <c r="D461" s="3" t="str">
        <f t="shared" ca="1" si="51"/>
        <v>Commercial</v>
      </c>
      <c r="E461" s="3" t="str" cm="1">
        <f t="array" aca="1" ref="E461" ca="1">_xlfn.IFS(D461="Industrial", "Reinforced Concrete", D461 = "Commercial", CHOOSE(RANDBETWEEN(1, 2), "Reinforced Concrete", "Unreinforced Masonry"), D461 = "Residential", CHOOSE(RANDBETWEEN(1, 3), "Reinforced Concrete", "Unreinforced Masonry", "Adobe / Light Timber"))</f>
        <v>Unreinforced Masonry</v>
      </c>
      <c r="F461" s="3">
        <f t="shared" ca="1" si="52"/>
        <v>2019</v>
      </c>
      <c r="G461" s="3">
        <f t="shared" ca="1" si="53"/>
        <v>4</v>
      </c>
      <c r="H461" s="2">
        <f t="shared" ca="1" si="54"/>
        <v>0</v>
      </c>
      <c r="I461" s="4">
        <f t="shared" ca="1" si="55"/>
        <v>19571432</v>
      </c>
    </row>
    <row r="462" spans="1:9">
      <c r="A462" s="1">
        <v>10000461</v>
      </c>
      <c r="B462" s="3" t="str">
        <f t="shared" ca="1" si="49"/>
        <v>Malda</v>
      </c>
      <c r="C462" s="3" t="str">
        <f t="shared" ca="1" si="50"/>
        <v>High Risk</v>
      </c>
      <c r="D462" s="3" t="str">
        <f t="shared" ca="1" si="51"/>
        <v>Industrial</v>
      </c>
      <c r="E462" s="3" t="str" cm="1">
        <f t="array" aca="1" ref="E462" ca="1">_xlfn.IFS(D462="Industrial", "Reinforced Concrete", D462 = "Commercial", CHOOSE(RANDBETWEEN(1, 2), "Reinforced Concrete", "Unreinforced Masonry"), D462 = "Residential", CHOOSE(RANDBETWEEN(1, 3), "Reinforced Concrete", "Unreinforced Masonry", "Adobe / Light Timber"))</f>
        <v>Reinforced Concrete</v>
      </c>
      <c r="F462" s="3">
        <f t="shared" ca="1" si="52"/>
        <v>2011</v>
      </c>
      <c r="G462" s="3">
        <f t="shared" ca="1" si="53"/>
        <v>3</v>
      </c>
      <c r="H462" s="2">
        <f t="shared" ca="1" si="54"/>
        <v>4</v>
      </c>
      <c r="I462" s="4">
        <f t="shared" ca="1" si="55"/>
        <v>56696147</v>
      </c>
    </row>
    <row r="463" spans="1:9">
      <c r="A463" s="1">
        <v>10000462</v>
      </c>
      <c r="B463" s="3" t="str">
        <f t="shared" ca="1" si="49"/>
        <v>South 24 Parganas</v>
      </c>
      <c r="C463" s="3" t="str">
        <f t="shared" ca="1" si="50"/>
        <v>High Risk</v>
      </c>
      <c r="D463" s="3" t="str">
        <f t="shared" ca="1" si="51"/>
        <v>Industrial</v>
      </c>
      <c r="E463" s="3" t="str" cm="1">
        <f t="array" aca="1" ref="E463" ca="1">_xlfn.IFS(D463="Industrial", "Reinforced Concrete", D463 = "Commercial", CHOOSE(RANDBETWEEN(1, 2), "Reinforced Concrete", "Unreinforced Masonry"), D463 = "Residential", CHOOSE(RANDBETWEEN(1, 3), "Reinforced Concrete", "Unreinforced Masonry", "Adobe / Light Timber"))</f>
        <v>Reinforced Concrete</v>
      </c>
      <c r="F463" s="3">
        <f t="shared" ca="1" si="52"/>
        <v>1998</v>
      </c>
      <c r="G463" s="3">
        <f t="shared" ca="1" si="53"/>
        <v>3</v>
      </c>
      <c r="H463" s="2">
        <f t="shared" ca="1" si="54"/>
        <v>5</v>
      </c>
      <c r="I463" s="4">
        <f t="shared" ca="1" si="55"/>
        <v>57281811</v>
      </c>
    </row>
    <row r="464" spans="1:9">
      <c r="A464" s="1">
        <v>10000463</v>
      </c>
      <c r="B464" s="3" t="str">
        <f t="shared" ca="1" si="49"/>
        <v>Hooghly</v>
      </c>
      <c r="C464" s="3" t="str">
        <f t="shared" ca="1" si="50"/>
        <v>Moderate Risk</v>
      </c>
      <c r="D464" s="3" t="str">
        <f t="shared" ca="1" si="51"/>
        <v>Commercial</v>
      </c>
      <c r="E464" s="3" t="str" cm="1">
        <f t="array" aca="1" ref="E464" ca="1">_xlfn.IFS(D464="Industrial", "Reinforced Concrete", D464 = "Commercial", CHOOSE(RANDBETWEEN(1, 2), "Reinforced Concrete", "Unreinforced Masonry"), D464 = "Residential", CHOOSE(RANDBETWEEN(1, 3), "Reinforced Concrete", "Unreinforced Masonry", "Adobe / Light Timber"))</f>
        <v>Unreinforced Masonry</v>
      </c>
      <c r="F464" s="3">
        <f t="shared" ca="1" si="52"/>
        <v>1994</v>
      </c>
      <c r="G464" s="3">
        <f t="shared" ca="1" si="53"/>
        <v>1</v>
      </c>
      <c r="H464" s="2">
        <f t="shared" ca="1" si="54"/>
        <v>0</v>
      </c>
      <c r="I464" s="4">
        <f t="shared" ca="1" si="55"/>
        <v>23459409</v>
      </c>
    </row>
    <row r="465" spans="1:9">
      <c r="A465" s="1">
        <v>10000464</v>
      </c>
      <c r="B465" s="3" t="str">
        <f t="shared" ca="1" si="49"/>
        <v>South 24 Parganas</v>
      </c>
      <c r="C465" s="3" t="str">
        <f t="shared" ca="1" si="50"/>
        <v>High Risk</v>
      </c>
      <c r="D465" s="3" t="str">
        <f t="shared" ca="1" si="51"/>
        <v>Industrial</v>
      </c>
      <c r="E465" s="3" t="str" cm="1">
        <f t="array" aca="1" ref="E465" ca="1">_xlfn.IFS(D465="Industrial", "Reinforced Concrete", D465 = "Commercial", CHOOSE(RANDBETWEEN(1, 2), "Reinforced Concrete", "Unreinforced Masonry"), D465 = "Residential", CHOOSE(RANDBETWEEN(1, 3), "Reinforced Concrete", "Unreinforced Masonry", "Adobe / Light Timber"))</f>
        <v>Reinforced Concrete</v>
      </c>
      <c r="F465" s="3">
        <f t="shared" ca="1" si="52"/>
        <v>2008</v>
      </c>
      <c r="G465" s="3">
        <f t="shared" ca="1" si="53"/>
        <v>2</v>
      </c>
      <c r="H465" s="2">
        <f t="shared" ca="1" si="54"/>
        <v>3</v>
      </c>
      <c r="I465" s="4">
        <f t="shared" ca="1" si="55"/>
        <v>50731810</v>
      </c>
    </row>
    <row r="466" spans="1:9">
      <c r="A466" s="1">
        <v>10000465</v>
      </c>
      <c r="B466" s="3" t="str">
        <f t="shared" ca="1" si="49"/>
        <v>South 24 Parganas</v>
      </c>
      <c r="C466" s="3" t="str">
        <f t="shared" ca="1" si="50"/>
        <v>High Risk</v>
      </c>
      <c r="D466" s="3" t="str">
        <f t="shared" ca="1" si="51"/>
        <v>Industrial</v>
      </c>
      <c r="E466" s="3" t="str" cm="1">
        <f t="array" aca="1" ref="E466" ca="1">_xlfn.IFS(D466="Industrial", "Reinforced Concrete", D466 = "Commercial", CHOOSE(RANDBETWEEN(1, 2), "Reinforced Concrete", "Unreinforced Masonry"), D466 = "Residential", CHOOSE(RANDBETWEEN(1, 3), "Reinforced Concrete", "Unreinforced Masonry", "Adobe / Light Timber"))</f>
        <v>Reinforced Concrete</v>
      </c>
      <c r="F466" s="3">
        <f t="shared" ca="1" si="52"/>
        <v>1983</v>
      </c>
      <c r="G466" s="3">
        <f t="shared" ca="1" si="53"/>
        <v>3</v>
      </c>
      <c r="H466" s="2">
        <f t="shared" ca="1" si="54"/>
        <v>4</v>
      </c>
      <c r="I466" s="4">
        <f t="shared" ca="1" si="55"/>
        <v>42152056</v>
      </c>
    </row>
    <row r="467" spans="1:9">
      <c r="A467" s="1">
        <v>10000466</v>
      </c>
      <c r="B467" s="3" t="str">
        <f t="shared" ca="1" si="49"/>
        <v>Malda</v>
      </c>
      <c r="C467" s="3" t="str">
        <f t="shared" ca="1" si="50"/>
        <v>High Risk</v>
      </c>
      <c r="D467" s="3" t="str">
        <f t="shared" ca="1" si="51"/>
        <v>Commercial</v>
      </c>
      <c r="E467" s="3" t="str" cm="1">
        <f t="array" aca="1" ref="E467" ca="1">_xlfn.IFS(D467="Industrial", "Reinforced Concrete", D467 = "Commercial", CHOOSE(RANDBETWEEN(1, 2), "Reinforced Concrete", "Unreinforced Masonry"), D467 = "Residential", CHOOSE(RANDBETWEEN(1, 3), "Reinforced Concrete", "Unreinforced Masonry", "Adobe / Light Timber"))</f>
        <v>Unreinforced Masonry</v>
      </c>
      <c r="F467" s="3">
        <f t="shared" ca="1" si="52"/>
        <v>1983</v>
      </c>
      <c r="G467" s="3">
        <f t="shared" ca="1" si="53"/>
        <v>1</v>
      </c>
      <c r="H467" s="2">
        <f t="shared" ca="1" si="54"/>
        <v>1</v>
      </c>
      <c r="I467" s="4">
        <f t="shared" ca="1" si="55"/>
        <v>14681393</v>
      </c>
    </row>
    <row r="468" spans="1:9">
      <c r="A468" s="1">
        <v>10000467</v>
      </c>
      <c r="B468" s="3" t="str">
        <f t="shared" ca="1" si="49"/>
        <v>Malda</v>
      </c>
      <c r="C468" s="3" t="str">
        <f t="shared" ca="1" si="50"/>
        <v>High Risk</v>
      </c>
      <c r="D468" s="3" t="str">
        <f t="shared" ca="1" si="51"/>
        <v>Residential</v>
      </c>
      <c r="E468" s="3" t="str" cm="1">
        <f t="array" aca="1" ref="E468" ca="1">_xlfn.IFS(D468="Industrial", "Reinforced Concrete", D468 = "Commercial", CHOOSE(RANDBETWEEN(1, 2), "Reinforced Concrete", "Unreinforced Masonry"), D468 = "Residential", CHOOSE(RANDBETWEEN(1, 3), "Reinforced Concrete", "Unreinforced Masonry", "Adobe / Light Timber"))</f>
        <v>Unreinforced Masonry</v>
      </c>
      <c r="F468" s="3">
        <f t="shared" ca="1" si="52"/>
        <v>2024</v>
      </c>
      <c r="G468" s="3">
        <f t="shared" ca="1" si="53"/>
        <v>3</v>
      </c>
      <c r="H468" s="2">
        <f t="shared" ca="1" si="54"/>
        <v>1</v>
      </c>
      <c r="I468" s="4">
        <f t="shared" ca="1" si="55"/>
        <v>4304120</v>
      </c>
    </row>
    <row r="469" spans="1:9">
      <c r="A469" s="1">
        <v>10000468</v>
      </c>
      <c r="B469" s="3" t="str">
        <f t="shared" ca="1" si="49"/>
        <v>Malda</v>
      </c>
      <c r="C469" s="3" t="str">
        <f t="shared" ca="1" si="50"/>
        <v>High Risk</v>
      </c>
      <c r="D469" s="3" t="str">
        <f t="shared" ca="1" si="51"/>
        <v>Commercial</v>
      </c>
      <c r="E469" s="3" t="str" cm="1">
        <f t="array" aca="1" ref="E469" ca="1">_xlfn.IFS(D469="Industrial", "Reinforced Concrete", D469 = "Commercial", CHOOSE(RANDBETWEEN(1, 2), "Reinforced Concrete", "Unreinforced Masonry"), D469 = "Residential", CHOOSE(RANDBETWEEN(1, 3), "Reinforced Concrete", "Unreinforced Masonry", "Adobe / Light Timber"))</f>
        <v>Unreinforced Masonry</v>
      </c>
      <c r="F469" s="3">
        <f t="shared" ca="1" si="52"/>
        <v>1983</v>
      </c>
      <c r="G469" s="3">
        <f t="shared" ca="1" si="53"/>
        <v>1</v>
      </c>
      <c r="H469" s="2">
        <f t="shared" ca="1" si="54"/>
        <v>1</v>
      </c>
      <c r="I469" s="4">
        <f t="shared" ca="1" si="55"/>
        <v>13084035</v>
      </c>
    </row>
    <row r="470" spans="1:9">
      <c r="A470" s="1">
        <v>10000469</v>
      </c>
      <c r="B470" s="3" t="str">
        <f t="shared" ca="1" si="49"/>
        <v>Jalpaiguri</v>
      </c>
      <c r="C470" s="3" t="str">
        <f t="shared" ca="1" si="50"/>
        <v>High Risk</v>
      </c>
      <c r="D470" s="3" t="str">
        <f t="shared" ca="1" si="51"/>
        <v>Commercial</v>
      </c>
      <c r="E470" s="3" t="str" cm="1">
        <f t="array" aca="1" ref="E470" ca="1">_xlfn.IFS(D470="Industrial", "Reinforced Concrete", D470 = "Commercial", CHOOSE(RANDBETWEEN(1, 2), "Reinforced Concrete", "Unreinforced Masonry"), D470 = "Residential", CHOOSE(RANDBETWEEN(1, 3), "Reinforced Concrete", "Unreinforced Masonry", "Adobe / Light Timber"))</f>
        <v>Unreinforced Masonry</v>
      </c>
      <c r="F470" s="3">
        <f t="shared" ca="1" si="52"/>
        <v>2000</v>
      </c>
      <c r="G470" s="3">
        <f t="shared" ca="1" si="53"/>
        <v>3</v>
      </c>
      <c r="H470" s="2">
        <f t="shared" ca="1" si="54"/>
        <v>1</v>
      </c>
      <c r="I470" s="4">
        <f t="shared" ca="1" si="55"/>
        <v>10772612</v>
      </c>
    </row>
    <row r="471" spans="1:9">
      <c r="A471" s="1">
        <v>10000470</v>
      </c>
      <c r="B471" s="3" t="str">
        <f t="shared" ca="1" si="49"/>
        <v>Kolkata</v>
      </c>
      <c r="C471" s="3" t="str">
        <f t="shared" ca="1" si="50"/>
        <v>Moderate Risk</v>
      </c>
      <c r="D471" s="3" t="str">
        <f t="shared" ca="1" si="51"/>
        <v>Industrial</v>
      </c>
      <c r="E471" s="3" t="str" cm="1">
        <f t="array" aca="1" ref="E471" ca="1">_xlfn.IFS(D471="Industrial", "Reinforced Concrete", D471 = "Commercial", CHOOSE(RANDBETWEEN(1, 2), "Reinforced Concrete", "Unreinforced Masonry"), D471 = "Residential", CHOOSE(RANDBETWEEN(1, 3), "Reinforced Concrete", "Unreinforced Masonry", "Adobe / Light Timber"))</f>
        <v>Reinforced Concrete</v>
      </c>
      <c r="F471" s="3">
        <f t="shared" ca="1" si="52"/>
        <v>1984</v>
      </c>
      <c r="G471" s="3">
        <f t="shared" ca="1" si="53"/>
        <v>1</v>
      </c>
      <c r="H471" s="2">
        <f t="shared" ca="1" si="54"/>
        <v>3</v>
      </c>
      <c r="I471" s="4">
        <f t="shared" ca="1" si="55"/>
        <v>70870934</v>
      </c>
    </row>
    <row r="472" spans="1:9">
      <c r="A472" s="1">
        <v>10000471</v>
      </c>
      <c r="B472" s="3" t="str">
        <f t="shared" ca="1" si="49"/>
        <v>Hooghly</v>
      </c>
      <c r="C472" s="3" t="str">
        <f t="shared" ca="1" si="50"/>
        <v>Moderate Risk</v>
      </c>
      <c r="D472" s="3" t="str">
        <f t="shared" ca="1" si="51"/>
        <v>Industrial</v>
      </c>
      <c r="E472" s="3" t="str" cm="1">
        <f t="array" aca="1" ref="E472" ca="1">_xlfn.IFS(D472="Industrial", "Reinforced Concrete", D472 = "Commercial", CHOOSE(RANDBETWEEN(1, 2), "Reinforced Concrete", "Unreinforced Masonry"), D472 = "Residential", CHOOSE(RANDBETWEEN(1, 3), "Reinforced Concrete", "Unreinforced Masonry", "Adobe / Light Timber"))</f>
        <v>Reinforced Concrete</v>
      </c>
      <c r="F472" s="3">
        <f t="shared" ca="1" si="52"/>
        <v>1984</v>
      </c>
      <c r="G472" s="3">
        <f t="shared" ca="1" si="53"/>
        <v>5</v>
      </c>
      <c r="H472" s="2">
        <f t="shared" ca="1" si="54"/>
        <v>4</v>
      </c>
      <c r="I472" s="4">
        <f t="shared" ca="1" si="55"/>
        <v>28994682</v>
      </c>
    </row>
    <row r="473" spans="1:9">
      <c r="A473" s="1">
        <v>10000472</v>
      </c>
      <c r="B473" s="3" t="str">
        <f t="shared" ca="1" si="49"/>
        <v>Malda</v>
      </c>
      <c r="C473" s="3" t="str">
        <f t="shared" ca="1" si="50"/>
        <v>High Risk</v>
      </c>
      <c r="D473" s="3" t="str">
        <f t="shared" ca="1" si="51"/>
        <v>Commercial</v>
      </c>
      <c r="E473" s="3" t="str" cm="1">
        <f t="array" aca="1" ref="E473" ca="1">_xlfn.IFS(D473="Industrial", "Reinforced Concrete", D473 = "Commercial", CHOOSE(RANDBETWEEN(1, 2), "Reinforced Concrete", "Unreinforced Masonry"), D473 = "Residential", CHOOSE(RANDBETWEEN(1, 3), "Reinforced Concrete", "Unreinforced Masonry", "Adobe / Light Timber"))</f>
        <v>Unreinforced Masonry</v>
      </c>
      <c r="F473" s="3">
        <f t="shared" ca="1" si="52"/>
        <v>2009</v>
      </c>
      <c r="G473" s="3">
        <f t="shared" ca="1" si="53"/>
        <v>3</v>
      </c>
      <c r="H473" s="2">
        <f t="shared" ca="1" si="54"/>
        <v>2</v>
      </c>
      <c r="I473" s="4">
        <f t="shared" ca="1" si="55"/>
        <v>16470729</v>
      </c>
    </row>
    <row r="474" spans="1:9">
      <c r="A474" s="1">
        <v>10000473</v>
      </c>
      <c r="B474" s="3" t="str">
        <f t="shared" ca="1" si="49"/>
        <v>Paschim Medinipur</v>
      </c>
      <c r="C474" s="3" t="str">
        <f t="shared" ca="1" si="50"/>
        <v>Moderate Risk</v>
      </c>
      <c r="D474" s="3" t="str">
        <f t="shared" ca="1" si="51"/>
        <v>Residential</v>
      </c>
      <c r="E474" s="3" t="str" cm="1">
        <f t="array" aca="1" ref="E474" ca="1">_xlfn.IFS(D474="Industrial", "Reinforced Concrete", D474 = "Commercial", CHOOSE(RANDBETWEEN(1, 2), "Reinforced Concrete", "Unreinforced Masonry"), D474 = "Residential", CHOOSE(RANDBETWEEN(1, 3), "Reinforced Concrete", "Unreinforced Masonry", "Adobe / Light Timber"))</f>
        <v>Adobe / Light Timber</v>
      </c>
      <c r="F474" s="3">
        <f t="shared" ca="1" si="52"/>
        <v>2006</v>
      </c>
      <c r="G474" s="3">
        <f t="shared" ca="1" si="53"/>
        <v>1</v>
      </c>
      <c r="H474" s="2">
        <f t="shared" ca="1" si="54"/>
        <v>0</v>
      </c>
      <c r="I474" s="4">
        <f t="shared" ca="1" si="55"/>
        <v>515720</v>
      </c>
    </row>
    <row r="475" spans="1:9">
      <c r="A475" s="1">
        <v>10000474</v>
      </c>
      <c r="B475" s="3" t="str">
        <f t="shared" ca="1" si="49"/>
        <v>Paschim Medinipur</v>
      </c>
      <c r="C475" s="3" t="str">
        <f t="shared" ca="1" si="50"/>
        <v>Moderate Risk</v>
      </c>
      <c r="D475" s="3" t="str">
        <f t="shared" ca="1" si="51"/>
        <v>Industrial</v>
      </c>
      <c r="E475" s="3" t="str" cm="1">
        <f t="array" aca="1" ref="E475" ca="1">_xlfn.IFS(D475="Industrial", "Reinforced Concrete", D475 = "Commercial", CHOOSE(RANDBETWEEN(1, 2), "Reinforced Concrete", "Unreinforced Masonry"), D475 = "Residential", CHOOSE(RANDBETWEEN(1, 3), "Reinforced Concrete", "Unreinforced Masonry", "Adobe / Light Timber"))</f>
        <v>Reinforced Concrete</v>
      </c>
      <c r="F475" s="3">
        <f t="shared" ca="1" si="52"/>
        <v>1995</v>
      </c>
      <c r="G475" s="3">
        <f t="shared" ca="1" si="53"/>
        <v>2</v>
      </c>
      <c r="H475" s="2">
        <f t="shared" ca="1" si="54"/>
        <v>5</v>
      </c>
      <c r="I475" s="4">
        <f t="shared" ca="1" si="55"/>
        <v>42674461</v>
      </c>
    </row>
    <row r="476" spans="1:9">
      <c r="A476" s="1">
        <v>10000475</v>
      </c>
      <c r="B476" s="3" t="str">
        <f t="shared" ca="1" si="49"/>
        <v>Hooghly</v>
      </c>
      <c r="C476" s="3" t="str">
        <f t="shared" ca="1" si="50"/>
        <v>Moderate Risk</v>
      </c>
      <c r="D476" s="3" t="str">
        <f t="shared" ca="1" si="51"/>
        <v>Industrial</v>
      </c>
      <c r="E476" s="3" t="str" cm="1">
        <f t="array" aca="1" ref="E476" ca="1">_xlfn.IFS(D476="Industrial", "Reinforced Concrete", D476 = "Commercial", CHOOSE(RANDBETWEEN(1, 2), "Reinforced Concrete", "Unreinforced Masonry"), D476 = "Residential", CHOOSE(RANDBETWEEN(1, 3), "Reinforced Concrete", "Unreinforced Masonry", "Adobe / Light Timber"))</f>
        <v>Reinforced Concrete</v>
      </c>
      <c r="F476" s="3">
        <f t="shared" ca="1" si="52"/>
        <v>1996</v>
      </c>
      <c r="G476" s="3">
        <f t="shared" ca="1" si="53"/>
        <v>4</v>
      </c>
      <c r="H476" s="2">
        <f t="shared" ca="1" si="54"/>
        <v>5</v>
      </c>
      <c r="I476" s="4">
        <f t="shared" ca="1" si="55"/>
        <v>47597661</v>
      </c>
    </row>
    <row r="477" spans="1:9">
      <c r="A477" s="1">
        <v>10000476</v>
      </c>
      <c r="B477" s="3" t="str">
        <f t="shared" ca="1" si="49"/>
        <v>Paschim Medinipur</v>
      </c>
      <c r="C477" s="3" t="str">
        <f t="shared" ca="1" si="50"/>
        <v>Moderate Risk</v>
      </c>
      <c r="D477" s="3" t="str">
        <f t="shared" ca="1" si="51"/>
        <v>Industrial</v>
      </c>
      <c r="E477" s="3" t="str" cm="1">
        <f t="array" aca="1" ref="E477" ca="1">_xlfn.IFS(D477="Industrial", "Reinforced Concrete", D477 = "Commercial", CHOOSE(RANDBETWEEN(1, 2), "Reinforced Concrete", "Unreinforced Masonry"), D477 = "Residential", CHOOSE(RANDBETWEEN(1, 3), "Reinforced Concrete", "Unreinforced Masonry", "Adobe / Light Timber"))</f>
        <v>Reinforced Concrete</v>
      </c>
      <c r="F477" s="3">
        <f t="shared" ca="1" si="52"/>
        <v>2020</v>
      </c>
      <c r="G477" s="3">
        <f t="shared" ca="1" si="53"/>
        <v>1</v>
      </c>
      <c r="H477" s="2">
        <f t="shared" ca="1" si="54"/>
        <v>5</v>
      </c>
      <c r="I477" s="4">
        <f t="shared" ca="1" si="55"/>
        <v>62673656</v>
      </c>
    </row>
    <row r="478" spans="1:9">
      <c r="A478" s="1">
        <v>10000477</v>
      </c>
      <c r="B478" s="3" t="str">
        <f t="shared" ca="1" si="49"/>
        <v>Jalpaiguri</v>
      </c>
      <c r="C478" s="3" t="str">
        <f t="shared" ca="1" si="50"/>
        <v>High Risk</v>
      </c>
      <c r="D478" s="3" t="str">
        <f t="shared" ca="1" si="51"/>
        <v>Commercial</v>
      </c>
      <c r="E478" s="3" t="str" cm="1">
        <f t="array" aca="1" ref="E478" ca="1">_xlfn.IFS(D478="Industrial", "Reinforced Concrete", D478 = "Commercial", CHOOSE(RANDBETWEEN(1, 2), "Reinforced Concrete", "Unreinforced Masonry"), D478 = "Residential", CHOOSE(RANDBETWEEN(1, 3), "Reinforced Concrete", "Unreinforced Masonry", "Adobe / Light Timber"))</f>
        <v>Unreinforced Masonry</v>
      </c>
      <c r="F478" s="3">
        <f t="shared" ca="1" si="52"/>
        <v>2012</v>
      </c>
      <c r="G478" s="3">
        <f t="shared" ca="1" si="53"/>
        <v>4</v>
      </c>
      <c r="H478" s="2">
        <f t="shared" ca="1" si="54"/>
        <v>1</v>
      </c>
      <c r="I478" s="4">
        <f t="shared" ca="1" si="55"/>
        <v>15139143</v>
      </c>
    </row>
    <row r="479" spans="1:9">
      <c r="A479" s="1">
        <v>10000478</v>
      </c>
      <c r="B479" s="3" t="str">
        <f t="shared" ca="1" si="49"/>
        <v>Paschim Medinipur</v>
      </c>
      <c r="C479" s="3" t="str">
        <f t="shared" ca="1" si="50"/>
        <v>Moderate Risk</v>
      </c>
      <c r="D479" s="3" t="str">
        <f t="shared" ca="1" si="51"/>
        <v>Commercial</v>
      </c>
      <c r="E479" s="3" t="str" cm="1">
        <f t="array" aca="1" ref="E479" ca="1">_xlfn.IFS(D479="Industrial", "Reinforced Concrete", D479 = "Commercial", CHOOSE(RANDBETWEEN(1, 2), "Reinforced Concrete", "Unreinforced Masonry"), D479 = "Residential", CHOOSE(RANDBETWEEN(1, 3), "Reinforced Concrete", "Unreinforced Masonry", "Adobe / Light Timber"))</f>
        <v>Unreinforced Masonry</v>
      </c>
      <c r="F479" s="3">
        <f t="shared" ca="1" si="52"/>
        <v>1985</v>
      </c>
      <c r="G479" s="3">
        <f t="shared" ca="1" si="53"/>
        <v>5</v>
      </c>
      <c r="H479" s="2">
        <f t="shared" ca="1" si="54"/>
        <v>2</v>
      </c>
      <c r="I479" s="4">
        <f t="shared" ca="1" si="55"/>
        <v>18716211</v>
      </c>
    </row>
    <row r="480" spans="1:9">
      <c r="A480" s="1">
        <v>10000479</v>
      </c>
      <c r="B480" s="3" t="str">
        <f t="shared" ca="1" si="49"/>
        <v>South 24 Parganas</v>
      </c>
      <c r="C480" s="3" t="str">
        <f t="shared" ca="1" si="50"/>
        <v>High Risk</v>
      </c>
      <c r="D480" s="3" t="str">
        <f t="shared" ca="1" si="51"/>
        <v>Industrial</v>
      </c>
      <c r="E480" s="3" t="str" cm="1">
        <f t="array" aca="1" ref="E480" ca="1">_xlfn.IFS(D480="Industrial", "Reinforced Concrete", D480 = "Commercial", CHOOSE(RANDBETWEEN(1, 2), "Reinforced Concrete", "Unreinforced Masonry"), D480 = "Residential", CHOOSE(RANDBETWEEN(1, 3), "Reinforced Concrete", "Unreinforced Masonry", "Adobe / Light Timber"))</f>
        <v>Reinforced Concrete</v>
      </c>
      <c r="F480" s="3">
        <f t="shared" ca="1" si="52"/>
        <v>1988</v>
      </c>
      <c r="G480" s="3">
        <f t="shared" ca="1" si="53"/>
        <v>2</v>
      </c>
      <c r="H480" s="2">
        <f t="shared" ca="1" si="54"/>
        <v>4</v>
      </c>
      <c r="I480" s="4">
        <f t="shared" ca="1" si="55"/>
        <v>28328632</v>
      </c>
    </row>
    <row r="481" spans="1:9">
      <c r="A481" s="1">
        <v>10000480</v>
      </c>
      <c r="B481" s="3" t="str">
        <f t="shared" ca="1" si="49"/>
        <v>Kolkata</v>
      </c>
      <c r="C481" s="3" t="str">
        <f t="shared" ca="1" si="50"/>
        <v>Moderate Risk</v>
      </c>
      <c r="D481" s="3" t="str">
        <f t="shared" ca="1" si="51"/>
        <v>Commercial</v>
      </c>
      <c r="E481" s="3" t="str" cm="1">
        <f t="array" aca="1" ref="E481" ca="1">_xlfn.IFS(D481="Industrial", "Reinforced Concrete", D481 = "Commercial", CHOOSE(RANDBETWEEN(1, 2), "Reinforced Concrete", "Unreinforced Masonry"), D481 = "Residential", CHOOSE(RANDBETWEEN(1, 3), "Reinforced Concrete", "Unreinforced Masonry", "Adobe / Light Timber"))</f>
        <v>Reinforced Concrete</v>
      </c>
      <c r="F481" s="3">
        <f t="shared" ca="1" si="52"/>
        <v>1988</v>
      </c>
      <c r="G481" s="3">
        <f t="shared" ca="1" si="53"/>
        <v>4</v>
      </c>
      <c r="H481" s="2">
        <f t="shared" ca="1" si="54"/>
        <v>5</v>
      </c>
      <c r="I481" s="4">
        <f t="shared" ca="1" si="55"/>
        <v>8414025</v>
      </c>
    </row>
    <row r="482" spans="1:9">
      <c r="A482" s="1">
        <v>10000481</v>
      </c>
      <c r="B482" s="3" t="str">
        <f t="shared" ca="1" si="49"/>
        <v>Malda</v>
      </c>
      <c r="C482" s="3" t="str">
        <f t="shared" ca="1" si="50"/>
        <v>High Risk</v>
      </c>
      <c r="D482" s="3" t="str">
        <f t="shared" ca="1" si="51"/>
        <v>Commercial</v>
      </c>
      <c r="E482" s="3" t="str" cm="1">
        <f t="array" aca="1" ref="E482" ca="1">_xlfn.IFS(D482="Industrial", "Reinforced Concrete", D482 = "Commercial", CHOOSE(RANDBETWEEN(1, 2), "Reinforced Concrete", "Unreinforced Masonry"), D482 = "Residential", CHOOSE(RANDBETWEEN(1, 3), "Reinforced Concrete", "Unreinforced Masonry", "Adobe / Light Timber"))</f>
        <v>Unreinforced Masonry</v>
      </c>
      <c r="F482" s="3">
        <f t="shared" ca="1" si="52"/>
        <v>1983</v>
      </c>
      <c r="G482" s="3">
        <f t="shared" ca="1" si="53"/>
        <v>5</v>
      </c>
      <c r="H482" s="2">
        <f t="shared" ca="1" si="54"/>
        <v>1</v>
      </c>
      <c r="I482" s="4">
        <f t="shared" ca="1" si="55"/>
        <v>18075621</v>
      </c>
    </row>
    <row r="483" spans="1:9">
      <c r="A483" s="1">
        <v>10000482</v>
      </c>
      <c r="B483" s="3" t="str">
        <f t="shared" ca="1" si="49"/>
        <v>Jalpaiguri</v>
      </c>
      <c r="C483" s="3" t="str">
        <f t="shared" ca="1" si="50"/>
        <v>High Risk</v>
      </c>
      <c r="D483" s="3" t="str">
        <f t="shared" ca="1" si="51"/>
        <v>Residential</v>
      </c>
      <c r="E483" s="3" t="str" cm="1">
        <f t="array" aca="1" ref="E483" ca="1">_xlfn.IFS(D483="Industrial", "Reinforced Concrete", D483 = "Commercial", CHOOSE(RANDBETWEEN(1, 2), "Reinforced Concrete", "Unreinforced Masonry"), D483 = "Residential", CHOOSE(RANDBETWEEN(1, 3), "Reinforced Concrete", "Unreinforced Masonry", "Adobe / Light Timber"))</f>
        <v>Reinforced Concrete</v>
      </c>
      <c r="F483" s="3">
        <f t="shared" ca="1" si="52"/>
        <v>1982</v>
      </c>
      <c r="G483" s="3">
        <f t="shared" ca="1" si="53"/>
        <v>3</v>
      </c>
      <c r="H483" s="2">
        <f t="shared" ca="1" si="54"/>
        <v>3</v>
      </c>
      <c r="I483" s="4">
        <f t="shared" ca="1" si="55"/>
        <v>5168765</v>
      </c>
    </row>
    <row r="484" spans="1:9">
      <c r="A484" s="1">
        <v>10000483</v>
      </c>
      <c r="B484" s="3" t="str">
        <f t="shared" ca="1" si="49"/>
        <v>Malda</v>
      </c>
      <c r="C484" s="3" t="str">
        <f t="shared" ca="1" si="50"/>
        <v>High Risk</v>
      </c>
      <c r="D484" s="3" t="str">
        <f t="shared" ca="1" si="51"/>
        <v>Industrial</v>
      </c>
      <c r="E484" s="3" t="str" cm="1">
        <f t="array" aca="1" ref="E484" ca="1">_xlfn.IFS(D484="Industrial", "Reinforced Concrete", D484 = "Commercial", CHOOSE(RANDBETWEEN(1, 2), "Reinforced Concrete", "Unreinforced Masonry"), D484 = "Residential", CHOOSE(RANDBETWEEN(1, 3), "Reinforced Concrete", "Unreinforced Masonry", "Adobe / Light Timber"))</f>
        <v>Reinforced Concrete</v>
      </c>
      <c r="F484" s="3">
        <f t="shared" ca="1" si="52"/>
        <v>1987</v>
      </c>
      <c r="G484" s="3">
        <f t="shared" ca="1" si="53"/>
        <v>5</v>
      </c>
      <c r="H484" s="2">
        <f t="shared" ca="1" si="54"/>
        <v>3</v>
      </c>
      <c r="I484" s="4">
        <f t="shared" ca="1" si="55"/>
        <v>41281958</v>
      </c>
    </row>
    <row r="485" spans="1:9">
      <c r="A485" s="1">
        <v>10000484</v>
      </c>
      <c r="B485" s="3" t="str">
        <f t="shared" ca="1" si="49"/>
        <v>Malda</v>
      </c>
      <c r="C485" s="3" t="str">
        <f t="shared" ca="1" si="50"/>
        <v>High Risk</v>
      </c>
      <c r="D485" s="3" t="str">
        <f t="shared" ca="1" si="51"/>
        <v>Commercial</v>
      </c>
      <c r="E485" s="3" t="str" cm="1">
        <f t="array" aca="1" ref="E485" ca="1">_xlfn.IFS(D485="Industrial", "Reinforced Concrete", D485 = "Commercial", CHOOSE(RANDBETWEEN(1, 2), "Reinforced Concrete", "Unreinforced Masonry"), D485 = "Residential", CHOOSE(RANDBETWEEN(1, 3), "Reinforced Concrete", "Unreinforced Masonry", "Adobe / Light Timber"))</f>
        <v>Unreinforced Masonry</v>
      </c>
      <c r="F485" s="3">
        <f t="shared" ca="1" si="52"/>
        <v>2000</v>
      </c>
      <c r="G485" s="3">
        <f t="shared" ca="1" si="53"/>
        <v>1</v>
      </c>
      <c r="H485" s="2">
        <f t="shared" ca="1" si="54"/>
        <v>1</v>
      </c>
      <c r="I485" s="4">
        <f t="shared" ca="1" si="55"/>
        <v>10434118</v>
      </c>
    </row>
    <row r="486" spans="1:9">
      <c r="A486" s="1">
        <v>10000485</v>
      </c>
      <c r="B486" s="3" t="str">
        <f t="shared" ca="1" si="49"/>
        <v>South 24 Parganas</v>
      </c>
      <c r="C486" s="3" t="str">
        <f t="shared" ca="1" si="50"/>
        <v>High Risk</v>
      </c>
      <c r="D486" s="3" t="str">
        <f t="shared" ca="1" si="51"/>
        <v>Commercial</v>
      </c>
      <c r="E486" s="3" t="str" cm="1">
        <f t="array" aca="1" ref="E486" ca="1">_xlfn.IFS(D486="Industrial", "Reinforced Concrete", D486 = "Commercial", CHOOSE(RANDBETWEEN(1, 2), "Reinforced Concrete", "Unreinforced Masonry"), D486 = "Residential", CHOOSE(RANDBETWEEN(1, 3), "Reinforced Concrete", "Unreinforced Masonry", "Adobe / Light Timber"))</f>
        <v>Unreinforced Masonry</v>
      </c>
      <c r="F486" s="3">
        <f t="shared" ca="1" si="52"/>
        <v>1982</v>
      </c>
      <c r="G486" s="3">
        <f t="shared" ca="1" si="53"/>
        <v>4</v>
      </c>
      <c r="H486" s="2">
        <f t="shared" ca="1" si="54"/>
        <v>2</v>
      </c>
      <c r="I486" s="4">
        <f t="shared" ca="1" si="55"/>
        <v>13962292</v>
      </c>
    </row>
    <row r="487" spans="1:9">
      <c r="A487" s="1">
        <v>10000486</v>
      </c>
      <c r="B487" s="3" t="str">
        <f t="shared" ca="1" si="49"/>
        <v>Malda</v>
      </c>
      <c r="C487" s="3" t="str">
        <f t="shared" ca="1" si="50"/>
        <v>High Risk</v>
      </c>
      <c r="D487" s="3" t="str">
        <f t="shared" ca="1" si="51"/>
        <v>Commercial</v>
      </c>
      <c r="E487" s="3" t="str" cm="1">
        <f t="array" aca="1" ref="E487" ca="1">_xlfn.IFS(D487="Industrial", "Reinforced Concrete", D487 = "Commercial", CHOOSE(RANDBETWEEN(1, 2), "Reinforced Concrete", "Unreinforced Masonry"), D487 = "Residential", CHOOSE(RANDBETWEEN(1, 3), "Reinforced Concrete", "Unreinforced Masonry", "Adobe / Light Timber"))</f>
        <v>Reinforced Concrete</v>
      </c>
      <c r="F487" s="3">
        <f t="shared" ca="1" si="52"/>
        <v>2008</v>
      </c>
      <c r="G487" s="3">
        <f t="shared" ca="1" si="53"/>
        <v>4</v>
      </c>
      <c r="H487" s="2">
        <f t="shared" ca="1" si="54"/>
        <v>5</v>
      </c>
      <c r="I487" s="4">
        <f t="shared" ca="1" si="55"/>
        <v>16930428</v>
      </c>
    </row>
    <row r="488" spans="1:9">
      <c r="A488" s="1">
        <v>10000487</v>
      </c>
      <c r="B488" s="3" t="str">
        <f t="shared" ca="1" si="49"/>
        <v>Hooghly</v>
      </c>
      <c r="C488" s="3" t="str">
        <f t="shared" ca="1" si="50"/>
        <v>Moderate Risk</v>
      </c>
      <c r="D488" s="3" t="str">
        <f t="shared" ca="1" si="51"/>
        <v>Industrial</v>
      </c>
      <c r="E488" s="3" t="str" cm="1">
        <f t="array" aca="1" ref="E488" ca="1">_xlfn.IFS(D488="Industrial", "Reinforced Concrete", D488 = "Commercial", CHOOSE(RANDBETWEEN(1, 2), "Reinforced Concrete", "Unreinforced Masonry"), D488 = "Residential", CHOOSE(RANDBETWEEN(1, 3), "Reinforced Concrete", "Unreinforced Masonry", "Adobe / Light Timber"))</f>
        <v>Reinforced Concrete</v>
      </c>
      <c r="F488" s="3">
        <f t="shared" ca="1" si="52"/>
        <v>2022</v>
      </c>
      <c r="G488" s="3">
        <f t="shared" ca="1" si="53"/>
        <v>5</v>
      </c>
      <c r="H488" s="2">
        <f t="shared" ca="1" si="54"/>
        <v>4</v>
      </c>
      <c r="I488" s="4">
        <f t="shared" ca="1" si="55"/>
        <v>49686250</v>
      </c>
    </row>
    <row r="489" spans="1:9">
      <c r="A489" s="1">
        <v>10000488</v>
      </c>
      <c r="B489" s="3" t="str">
        <f t="shared" ca="1" si="49"/>
        <v>Kolkata</v>
      </c>
      <c r="C489" s="3" t="str">
        <f t="shared" ca="1" si="50"/>
        <v>Moderate Risk</v>
      </c>
      <c r="D489" s="3" t="str">
        <f t="shared" ca="1" si="51"/>
        <v>Commercial</v>
      </c>
      <c r="E489" s="3" t="str" cm="1">
        <f t="array" aca="1" ref="E489" ca="1">_xlfn.IFS(D489="Industrial", "Reinforced Concrete", D489 = "Commercial", CHOOSE(RANDBETWEEN(1, 2), "Reinforced Concrete", "Unreinforced Masonry"), D489 = "Residential", CHOOSE(RANDBETWEEN(1, 3), "Reinforced Concrete", "Unreinforced Masonry", "Adobe / Light Timber"))</f>
        <v>Unreinforced Masonry</v>
      </c>
      <c r="F489" s="3">
        <f t="shared" ca="1" si="52"/>
        <v>1990</v>
      </c>
      <c r="G489" s="3">
        <f t="shared" ca="1" si="53"/>
        <v>4</v>
      </c>
      <c r="H489" s="2">
        <f t="shared" ca="1" si="54"/>
        <v>1</v>
      </c>
      <c r="I489" s="4">
        <f t="shared" ca="1" si="55"/>
        <v>7482244</v>
      </c>
    </row>
    <row r="490" spans="1:9">
      <c r="A490" s="1">
        <v>10000489</v>
      </c>
      <c r="B490" s="3" t="str">
        <f t="shared" ca="1" si="49"/>
        <v>Jalpaiguri</v>
      </c>
      <c r="C490" s="3" t="str">
        <f t="shared" ca="1" si="50"/>
        <v>High Risk</v>
      </c>
      <c r="D490" s="3" t="str">
        <f t="shared" ca="1" si="51"/>
        <v>Industrial</v>
      </c>
      <c r="E490" s="3" t="str" cm="1">
        <f t="array" aca="1" ref="E490" ca="1">_xlfn.IFS(D490="Industrial", "Reinforced Concrete", D490 = "Commercial", CHOOSE(RANDBETWEEN(1, 2), "Reinforced Concrete", "Unreinforced Masonry"), D490 = "Residential", CHOOSE(RANDBETWEEN(1, 3), "Reinforced Concrete", "Unreinforced Masonry", "Adobe / Light Timber"))</f>
        <v>Reinforced Concrete</v>
      </c>
      <c r="F490" s="3">
        <f t="shared" ca="1" si="52"/>
        <v>1996</v>
      </c>
      <c r="G490" s="3">
        <f t="shared" ca="1" si="53"/>
        <v>4</v>
      </c>
      <c r="H490" s="2">
        <f t="shared" ca="1" si="54"/>
        <v>3</v>
      </c>
      <c r="I490" s="4">
        <f t="shared" ca="1" si="55"/>
        <v>65995229</v>
      </c>
    </row>
    <row r="491" spans="1:9">
      <c r="A491" s="1">
        <v>10000490</v>
      </c>
      <c r="B491" s="3" t="str">
        <f t="shared" ca="1" si="49"/>
        <v>Hooghly</v>
      </c>
      <c r="C491" s="3" t="str">
        <f t="shared" ca="1" si="50"/>
        <v>Moderate Risk</v>
      </c>
      <c r="D491" s="3" t="str">
        <f t="shared" ca="1" si="51"/>
        <v>Residential</v>
      </c>
      <c r="E491" s="3" t="str" cm="1">
        <f t="array" aca="1" ref="E491" ca="1">_xlfn.IFS(D491="Industrial", "Reinforced Concrete", D491 = "Commercial", CHOOSE(RANDBETWEEN(1, 2), "Reinforced Concrete", "Unreinforced Masonry"), D491 = "Residential", CHOOSE(RANDBETWEEN(1, 3), "Reinforced Concrete", "Unreinforced Masonry", "Adobe / Light Timber"))</f>
        <v>Reinforced Concrete</v>
      </c>
      <c r="F491" s="3">
        <f t="shared" ca="1" si="52"/>
        <v>2018</v>
      </c>
      <c r="G491" s="3">
        <f t="shared" ca="1" si="53"/>
        <v>1</v>
      </c>
      <c r="H491" s="2">
        <f t="shared" ca="1" si="54"/>
        <v>3</v>
      </c>
      <c r="I491" s="4">
        <f t="shared" ca="1" si="55"/>
        <v>5497092</v>
      </c>
    </row>
    <row r="492" spans="1:9">
      <c r="A492" s="1">
        <v>10000491</v>
      </c>
      <c r="B492" s="3" t="str">
        <f t="shared" ca="1" si="49"/>
        <v>Kolkata</v>
      </c>
      <c r="C492" s="3" t="str">
        <f t="shared" ca="1" si="50"/>
        <v>Moderate Risk</v>
      </c>
      <c r="D492" s="3" t="str">
        <f t="shared" ca="1" si="51"/>
        <v>Residential</v>
      </c>
      <c r="E492" s="3" t="str" cm="1">
        <f t="array" aca="1" ref="E492" ca="1">_xlfn.IFS(D492="Industrial", "Reinforced Concrete", D492 = "Commercial", CHOOSE(RANDBETWEEN(1, 2), "Reinforced Concrete", "Unreinforced Masonry"), D492 = "Residential", CHOOSE(RANDBETWEEN(1, 3), "Reinforced Concrete", "Unreinforced Masonry", "Adobe / Light Timber"))</f>
        <v>Adobe / Light Timber</v>
      </c>
      <c r="F492" s="3">
        <f t="shared" ca="1" si="52"/>
        <v>1988</v>
      </c>
      <c r="G492" s="3">
        <f t="shared" ca="1" si="53"/>
        <v>1</v>
      </c>
      <c r="H492" s="2">
        <f t="shared" ca="1" si="54"/>
        <v>0</v>
      </c>
      <c r="I492" s="4">
        <f t="shared" ca="1" si="55"/>
        <v>642782</v>
      </c>
    </row>
    <row r="493" spans="1:9">
      <c r="A493" s="1">
        <v>10000492</v>
      </c>
      <c r="B493" s="3" t="str">
        <f t="shared" ca="1" si="49"/>
        <v>Kolkata</v>
      </c>
      <c r="C493" s="3" t="str">
        <f t="shared" ca="1" si="50"/>
        <v>Moderate Risk</v>
      </c>
      <c r="D493" s="3" t="str">
        <f t="shared" ca="1" si="51"/>
        <v>Commercial</v>
      </c>
      <c r="E493" s="3" t="str" cm="1">
        <f t="array" aca="1" ref="E493" ca="1">_xlfn.IFS(D493="Industrial", "Reinforced Concrete", D493 = "Commercial", CHOOSE(RANDBETWEEN(1, 2), "Reinforced Concrete", "Unreinforced Masonry"), D493 = "Residential", CHOOSE(RANDBETWEEN(1, 3), "Reinforced Concrete", "Unreinforced Masonry", "Adobe / Light Timber"))</f>
        <v>Reinforced Concrete</v>
      </c>
      <c r="F493" s="3">
        <f t="shared" ca="1" si="52"/>
        <v>1986</v>
      </c>
      <c r="G493" s="3">
        <f t="shared" ca="1" si="53"/>
        <v>3</v>
      </c>
      <c r="H493" s="2">
        <f t="shared" ca="1" si="54"/>
        <v>4</v>
      </c>
      <c r="I493" s="4">
        <f t="shared" ca="1" si="55"/>
        <v>19276535</v>
      </c>
    </row>
    <row r="494" spans="1:9">
      <c r="A494" s="1">
        <v>10000493</v>
      </c>
      <c r="B494" s="3" t="str">
        <f t="shared" ca="1" si="49"/>
        <v>Hooghly</v>
      </c>
      <c r="C494" s="3" t="str">
        <f t="shared" ca="1" si="50"/>
        <v>Moderate Risk</v>
      </c>
      <c r="D494" s="3" t="str">
        <f t="shared" ca="1" si="51"/>
        <v>Industrial</v>
      </c>
      <c r="E494" s="3" t="str" cm="1">
        <f t="array" aca="1" ref="E494" ca="1">_xlfn.IFS(D494="Industrial", "Reinforced Concrete", D494 = "Commercial", CHOOSE(RANDBETWEEN(1, 2), "Reinforced Concrete", "Unreinforced Masonry"), D494 = "Residential", CHOOSE(RANDBETWEEN(1, 3), "Reinforced Concrete", "Unreinforced Masonry", "Adobe / Light Timber"))</f>
        <v>Reinforced Concrete</v>
      </c>
      <c r="F494" s="3">
        <f t="shared" ca="1" si="52"/>
        <v>2022</v>
      </c>
      <c r="G494" s="3">
        <f t="shared" ca="1" si="53"/>
        <v>5</v>
      </c>
      <c r="H494" s="2">
        <f t="shared" ca="1" si="54"/>
        <v>3</v>
      </c>
      <c r="I494" s="4">
        <f t="shared" ca="1" si="55"/>
        <v>48246263</v>
      </c>
    </row>
    <row r="495" spans="1:9">
      <c r="A495" s="1">
        <v>10000494</v>
      </c>
      <c r="B495" s="3" t="str">
        <f t="shared" ca="1" si="49"/>
        <v>Malda</v>
      </c>
      <c r="C495" s="3" t="str">
        <f t="shared" ca="1" si="50"/>
        <v>High Risk</v>
      </c>
      <c r="D495" s="3" t="str">
        <f t="shared" ca="1" si="51"/>
        <v>Industrial</v>
      </c>
      <c r="E495" s="3" t="str" cm="1">
        <f t="array" aca="1" ref="E495" ca="1">_xlfn.IFS(D495="Industrial", "Reinforced Concrete", D495 = "Commercial", CHOOSE(RANDBETWEEN(1, 2), "Reinforced Concrete", "Unreinforced Masonry"), D495 = "Residential", CHOOSE(RANDBETWEEN(1, 3), "Reinforced Concrete", "Unreinforced Masonry", "Adobe / Light Timber"))</f>
        <v>Reinforced Concrete</v>
      </c>
      <c r="F495" s="3">
        <f t="shared" ca="1" si="52"/>
        <v>1988</v>
      </c>
      <c r="G495" s="3">
        <f t="shared" ca="1" si="53"/>
        <v>1</v>
      </c>
      <c r="H495" s="2">
        <f t="shared" ca="1" si="54"/>
        <v>3</v>
      </c>
      <c r="I495" s="4">
        <f t="shared" ca="1" si="55"/>
        <v>64955702</v>
      </c>
    </row>
    <row r="496" spans="1:9">
      <c r="A496" s="1">
        <v>10000495</v>
      </c>
      <c r="B496" s="3" t="str">
        <f t="shared" ca="1" si="49"/>
        <v>Paschim Medinipur</v>
      </c>
      <c r="C496" s="3" t="str">
        <f t="shared" ca="1" si="50"/>
        <v>Moderate Risk</v>
      </c>
      <c r="D496" s="3" t="str">
        <f t="shared" ca="1" si="51"/>
        <v>Residential</v>
      </c>
      <c r="E496" s="3" t="str" cm="1">
        <f t="array" aca="1" ref="E496" ca="1">_xlfn.IFS(D496="Industrial", "Reinforced Concrete", D496 = "Commercial", CHOOSE(RANDBETWEEN(1, 2), "Reinforced Concrete", "Unreinforced Masonry"), D496 = "Residential", CHOOSE(RANDBETWEEN(1, 3), "Reinforced Concrete", "Unreinforced Masonry", "Adobe / Light Timber"))</f>
        <v>Adobe / Light Timber</v>
      </c>
      <c r="F496" s="3">
        <f t="shared" ca="1" si="52"/>
        <v>1980</v>
      </c>
      <c r="G496" s="3">
        <f t="shared" ca="1" si="53"/>
        <v>1</v>
      </c>
      <c r="H496" s="2">
        <f t="shared" ca="1" si="54"/>
        <v>1</v>
      </c>
      <c r="I496" s="4">
        <f t="shared" ca="1" si="55"/>
        <v>382242</v>
      </c>
    </row>
    <row r="497" spans="1:9">
      <c r="A497" s="1">
        <v>10000496</v>
      </c>
      <c r="B497" s="3" t="str">
        <f t="shared" ca="1" si="49"/>
        <v>Hooghly</v>
      </c>
      <c r="C497" s="3" t="str">
        <f t="shared" ca="1" si="50"/>
        <v>Moderate Risk</v>
      </c>
      <c r="D497" s="3" t="str">
        <f t="shared" ca="1" si="51"/>
        <v>Industrial</v>
      </c>
      <c r="E497" s="3" t="str" cm="1">
        <f t="array" aca="1" ref="E497" ca="1">_xlfn.IFS(D497="Industrial", "Reinforced Concrete", D497 = "Commercial", CHOOSE(RANDBETWEEN(1, 2), "Reinforced Concrete", "Unreinforced Masonry"), D497 = "Residential", CHOOSE(RANDBETWEEN(1, 3), "Reinforced Concrete", "Unreinforced Masonry", "Adobe / Light Timber"))</f>
        <v>Reinforced Concrete</v>
      </c>
      <c r="F497" s="3">
        <f t="shared" ca="1" si="52"/>
        <v>2004</v>
      </c>
      <c r="G497" s="3">
        <f t="shared" ca="1" si="53"/>
        <v>3</v>
      </c>
      <c r="H497" s="2">
        <f t="shared" ca="1" si="54"/>
        <v>3</v>
      </c>
      <c r="I497" s="4">
        <f t="shared" ca="1" si="55"/>
        <v>49556527</v>
      </c>
    </row>
    <row r="498" spans="1:9">
      <c r="A498" s="1">
        <v>10000497</v>
      </c>
      <c r="B498" s="3" t="str">
        <f t="shared" ca="1" si="49"/>
        <v>Malda</v>
      </c>
      <c r="C498" s="3" t="str">
        <f t="shared" ca="1" si="50"/>
        <v>High Risk</v>
      </c>
      <c r="D498" s="3" t="str">
        <f t="shared" ca="1" si="51"/>
        <v>Commercial</v>
      </c>
      <c r="E498" s="3" t="str" cm="1">
        <f t="array" aca="1" ref="E498" ca="1">_xlfn.IFS(D498="Industrial", "Reinforced Concrete", D498 = "Commercial", CHOOSE(RANDBETWEEN(1, 2), "Reinforced Concrete", "Unreinforced Masonry"), D498 = "Residential", CHOOSE(RANDBETWEEN(1, 3), "Reinforced Concrete", "Unreinforced Masonry", "Adobe / Light Timber"))</f>
        <v>Unreinforced Masonry</v>
      </c>
      <c r="F498" s="3">
        <f t="shared" ca="1" si="52"/>
        <v>2008</v>
      </c>
      <c r="G498" s="3">
        <f t="shared" ca="1" si="53"/>
        <v>2</v>
      </c>
      <c r="H498" s="2">
        <f t="shared" ca="1" si="54"/>
        <v>1</v>
      </c>
      <c r="I498" s="4">
        <f t="shared" ca="1" si="55"/>
        <v>14427904</v>
      </c>
    </row>
    <row r="499" spans="1:9">
      <c r="A499" s="1">
        <v>10000498</v>
      </c>
      <c r="B499" s="3" t="str">
        <f t="shared" ca="1" si="49"/>
        <v>Hooghly</v>
      </c>
      <c r="C499" s="3" t="str">
        <f t="shared" ca="1" si="50"/>
        <v>Moderate Risk</v>
      </c>
      <c r="D499" s="3" t="str">
        <f t="shared" ca="1" si="51"/>
        <v>Industrial</v>
      </c>
      <c r="E499" s="3" t="str" cm="1">
        <f t="array" aca="1" ref="E499" ca="1">_xlfn.IFS(D499="Industrial", "Reinforced Concrete", D499 = "Commercial", CHOOSE(RANDBETWEEN(1, 2), "Reinforced Concrete", "Unreinforced Masonry"), D499 = "Residential", CHOOSE(RANDBETWEEN(1, 3), "Reinforced Concrete", "Unreinforced Masonry", "Adobe / Light Timber"))</f>
        <v>Reinforced Concrete</v>
      </c>
      <c r="F499" s="3">
        <f t="shared" ca="1" si="52"/>
        <v>2009</v>
      </c>
      <c r="G499" s="3">
        <f t="shared" ca="1" si="53"/>
        <v>2</v>
      </c>
      <c r="H499" s="2">
        <f t="shared" ca="1" si="54"/>
        <v>5</v>
      </c>
      <c r="I499" s="4">
        <f t="shared" ca="1" si="55"/>
        <v>48265334</v>
      </c>
    </row>
    <row r="500" spans="1:9">
      <c r="A500" s="1">
        <v>10000499</v>
      </c>
      <c r="B500" s="3" t="str">
        <f t="shared" ca="1" si="49"/>
        <v>South 24 Parganas</v>
      </c>
      <c r="C500" s="3" t="str">
        <f t="shared" ca="1" si="50"/>
        <v>High Risk</v>
      </c>
      <c r="D500" s="3" t="str">
        <f t="shared" ca="1" si="51"/>
        <v>Residential</v>
      </c>
      <c r="E500" s="3" t="str" cm="1">
        <f t="array" aca="1" ref="E500" ca="1">_xlfn.IFS(D500="Industrial", "Reinforced Concrete", D500 = "Commercial", CHOOSE(RANDBETWEEN(1, 2), "Reinforced Concrete", "Unreinforced Masonry"), D500 = "Residential", CHOOSE(RANDBETWEEN(1, 3), "Reinforced Concrete", "Unreinforced Masonry", "Adobe / Light Timber"))</f>
        <v>Unreinforced Masonry</v>
      </c>
      <c r="F500" s="3">
        <f t="shared" ca="1" si="52"/>
        <v>1982</v>
      </c>
      <c r="G500" s="3">
        <f t="shared" ca="1" si="53"/>
        <v>5</v>
      </c>
      <c r="H500" s="2">
        <f t="shared" ca="1" si="54"/>
        <v>1</v>
      </c>
      <c r="I500" s="4">
        <f t="shared" ca="1" si="55"/>
        <v>3051592</v>
      </c>
    </row>
    <row r="501" spans="1:9">
      <c r="A501" s="1">
        <v>10000500</v>
      </c>
      <c r="B501" s="3" t="str">
        <f t="shared" ca="1" si="49"/>
        <v>Paschim Medinipur</v>
      </c>
      <c r="C501" s="3" t="str">
        <f t="shared" ca="1" si="50"/>
        <v>Moderate Risk</v>
      </c>
      <c r="D501" s="3" t="str">
        <f t="shared" ca="1" si="51"/>
        <v>Residential</v>
      </c>
      <c r="E501" s="3" t="str" cm="1">
        <f t="array" aca="1" ref="E501" ca="1">_xlfn.IFS(D501="Industrial", "Reinforced Concrete", D501 = "Commercial", CHOOSE(RANDBETWEEN(1, 2), "Reinforced Concrete", "Unreinforced Masonry"), D501 = "Residential", CHOOSE(RANDBETWEEN(1, 3), "Reinforced Concrete", "Unreinforced Masonry", "Adobe / Light Timber"))</f>
        <v>Reinforced Concrete</v>
      </c>
      <c r="F501" s="3">
        <f t="shared" ca="1" si="52"/>
        <v>1982</v>
      </c>
      <c r="G501" s="3">
        <f t="shared" ca="1" si="53"/>
        <v>5</v>
      </c>
      <c r="H501" s="2">
        <f t="shared" ca="1" si="54"/>
        <v>4</v>
      </c>
      <c r="I501" s="4">
        <f t="shared" ca="1" si="55"/>
        <v>4388227</v>
      </c>
    </row>
    <row r="502" spans="1:9">
      <c r="A502" s="1">
        <v>10000501</v>
      </c>
      <c r="B502" s="3" t="str">
        <f t="shared" ca="1" si="49"/>
        <v>Jalpaiguri</v>
      </c>
      <c r="C502" s="3" t="str">
        <f t="shared" ca="1" si="50"/>
        <v>High Risk</v>
      </c>
      <c r="D502" s="3" t="str">
        <f t="shared" ca="1" si="51"/>
        <v>Industrial</v>
      </c>
      <c r="E502" s="3" t="str" cm="1">
        <f t="array" aca="1" ref="E502" ca="1">_xlfn.IFS(D502="Industrial", "Reinforced Concrete", D502 = "Commercial", CHOOSE(RANDBETWEEN(1, 2), "Reinforced Concrete", "Unreinforced Masonry"), D502 = "Residential", CHOOSE(RANDBETWEEN(1, 3), "Reinforced Concrete", "Unreinforced Masonry", "Adobe / Light Timber"))</f>
        <v>Reinforced Concrete</v>
      </c>
      <c r="F502" s="3">
        <f t="shared" ca="1" si="52"/>
        <v>1998</v>
      </c>
      <c r="G502" s="3">
        <f t="shared" ca="1" si="53"/>
        <v>3</v>
      </c>
      <c r="H502" s="2">
        <f t="shared" ca="1" si="54"/>
        <v>5</v>
      </c>
      <c r="I502" s="4">
        <f t="shared" ca="1" si="55"/>
        <v>23833866</v>
      </c>
    </row>
    <row r="503" spans="1:9">
      <c r="A503" s="1">
        <v>10000502</v>
      </c>
      <c r="B503" s="3" t="str">
        <f t="shared" ca="1" si="49"/>
        <v>Jalpaiguri</v>
      </c>
      <c r="C503" s="3" t="str">
        <f t="shared" ca="1" si="50"/>
        <v>High Risk</v>
      </c>
      <c r="D503" s="3" t="str">
        <f t="shared" ca="1" si="51"/>
        <v>Industrial</v>
      </c>
      <c r="E503" s="3" t="str" cm="1">
        <f t="array" aca="1" ref="E503" ca="1">_xlfn.IFS(D503="Industrial", "Reinforced Concrete", D503 = "Commercial", CHOOSE(RANDBETWEEN(1, 2), "Reinforced Concrete", "Unreinforced Masonry"), D503 = "Residential", CHOOSE(RANDBETWEEN(1, 3), "Reinforced Concrete", "Unreinforced Masonry", "Adobe / Light Timber"))</f>
        <v>Reinforced Concrete</v>
      </c>
      <c r="F503" s="3">
        <f t="shared" ca="1" si="52"/>
        <v>2008</v>
      </c>
      <c r="G503" s="3">
        <f t="shared" ca="1" si="53"/>
        <v>3</v>
      </c>
      <c r="H503" s="2">
        <f t="shared" ca="1" si="54"/>
        <v>3</v>
      </c>
      <c r="I503" s="4">
        <f t="shared" ca="1" si="55"/>
        <v>52967109</v>
      </c>
    </row>
    <row r="504" spans="1:9">
      <c r="A504" s="1">
        <v>10000503</v>
      </c>
      <c r="B504" s="3" t="str">
        <f t="shared" ca="1" si="49"/>
        <v>Malda</v>
      </c>
      <c r="C504" s="3" t="str">
        <f t="shared" ca="1" si="50"/>
        <v>High Risk</v>
      </c>
      <c r="D504" s="3" t="str">
        <f t="shared" ca="1" si="51"/>
        <v>Commercial</v>
      </c>
      <c r="E504" s="3" t="str" cm="1">
        <f t="array" aca="1" ref="E504" ca="1">_xlfn.IFS(D504="Industrial", "Reinforced Concrete", D504 = "Commercial", CHOOSE(RANDBETWEEN(1, 2), "Reinforced Concrete", "Unreinforced Masonry"), D504 = "Residential", CHOOSE(RANDBETWEEN(1, 3), "Reinforced Concrete", "Unreinforced Masonry", "Adobe / Light Timber"))</f>
        <v>Unreinforced Masonry</v>
      </c>
      <c r="F504" s="3">
        <f t="shared" ca="1" si="52"/>
        <v>2010</v>
      </c>
      <c r="G504" s="3">
        <f t="shared" ca="1" si="53"/>
        <v>5</v>
      </c>
      <c r="H504" s="2">
        <f t="shared" ca="1" si="54"/>
        <v>0</v>
      </c>
      <c r="I504" s="4">
        <f t="shared" ca="1" si="55"/>
        <v>14723830</v>
      </c>
    </row>
    <row r="505" spans="1:9">
      <c r="A505" s="1">
        <v>10000504</v>
      </c>
      <c r="B505" s="3" t="str">
        <f t="shared" ca="1" si="49"/>
        <v>Hooghly</v>
      </c>
      <c r="C505" s="3" t="str">
        <f t="shared" ca="1" si="50"/>
        <v>Moderate Risk</v>
      </c>
      <c r="D505" s="3" t="str">
        <f t="shared" ca="1" si="51"/>
        <v>Commercial</v>
      </c>
      <c r="E505" s="3" t="str" cm="1">
        <f t="array" aca="1" ref="E505" ca="1">_xlfn.IFS(D505="Industrial", "Reinforced Concrete", D505 = "Commercial", CHOOSE(RANDBETWEEN(1, 2), "Reinforced Concrete", "Unreinforced Masonry"), D505 = "Residential", CHOOSE(RANDBETWEEN(1, 3), "Reinforced Concrete", "Unreinforced Masonry", "Adobe / Light Timber"))</f>
        <v>Unreinforced Masonry</v>
      </c>
      <c r="F505" s="3">
        <f t="shared" ca="1" si="52"/>
        <v>2013</v>
      </c>
      <c r="G505" s="3">
        <f t="shared" ca="1" si="53"/>
        <v>3</v>
      </c>
      <c r="H505" s="2">
        <f t="shared" ca="1" si="54"/>
        <v>0</v>
      </c>
      <c r="I505" s="4">
        <f t="shared" ca="1" si="55"/>
        <v>11630461</v>
      </c>
    </row>
    <row r="506" spans="1:9">
      <c r="A506" s="1">
        <v>10000505</v>
      </c>
      <c r="B506" s="3" t="str">
        <f t="shared" ca="1" si="49"/>
        <v>South 24 Parganas</v>
      </c>
      <c r="C506" s="3" t="str">
        <f t="shared" ca="1" si="50"/>
        <v>High Risk</v>
      </c>
      <c r="D506" s="3" t="str">
        <f t="shared" ca="1" si="51"/>
        <v>Residential</v>
      </c>
      <c r="E506" s="3" t="str" cm="1">
        <f t="array" aca="1" ref="E506" ca="1">_xlfn.IFS(D506="Industrial", "Reinforced Concrete", D506 = "Commercial", CHOOSE(RANDBETWEEN(1, 2), "Reinforced Concrete", "Unreinforced Masonry"), D506 = "Residential", CHOOSE(RANDBETWEEN(1, 3), "Reinforced Concrete", "Unreinforced Masonry", "Adobe / Light Timber"))</f>
        <v>Unreinforced Masonry</v>
      </c>
      <c r="F506" s="3">
        <f t="shared" ca="1" si="52"/>
        <v>1991</v>
      </c>
      <c r="G506" s="3">
        <f t="shared" ca="1" si="53"/>
        <v>5</v>
      </c>
      <c r="H506" s="2">
        <f t="shared" ca="1" si="54"/>
        <v>0</v>
      </c>
      <c r="I506" s="4">
        <f t="shared" ca="1" si="55"/>
        <v>4847438</v>
      </c>
    </row>
    <row r="507" spans="1:9">
      <c r="A507" s="1">
        <v>10000506</v>
      </c>
      <c r="B507" s="3" t="str">
        <f t="shared" ca="1" si="49"/>
        <v>Malda</v>
      </c>
      <c r="C507" s="3" t="str">
        <f t="shared" ca="1" si="50"/>
        <v>High Risk</v>
      </c>
      <c r="D507" s="3" t="str">
        <f t="shared" ca="1" si="51"/>
        <v>Industrial</v>
      </c>
      <c r="E507" s="3" t="str" cm="1">
        <f t="array" aca="1" ref="E507" ca="1">_xlfn.IFS(D507="Industrial", "Reinforced Concrete", D507 = "Commercial", CHOOSE(RANDBETWEEN(1, 2), "Reinforced Concrete", "Unreinforced Masonry"), D507 = "Residential", CHOOSE(RANDBETWEEN(1, 3), "Reinforced Concrete", "Unreinforced Masonry", "Adobe / Light Timber"))</f>
        <v>Reinforced Concrete</v>
      </c>
      <c r="F507" s="3">
        <f t="shared" ca="1" si="52"/>
        <v>2021</v>
      </c>
      <c r="G507" s="3">
        <f t="shared" ca="1" si="53"/>
        <v>3</v>
      </c>
      <c r="H507" s="2">
        <f t="shared" ca="1" si="54"/>
        <v>3</v>
      </c>
      <c r="I507" s="4">
        <f t="shared" ca="1" si="55"/>
        <v>59912061</v>
      </c>
    </row>
    <row r="508" spans="1:9">
      <c r="A508" s="1">
        <v>10000507</v>
      </c>
      <c r="B508" s="3" t="str">
        <f t="shared" ca="1" si="49"/>
        <v>South 24 Parganas</v>
      </c>
      <c r="C508" s="3" t="str">
        <f t="shared" ca="1" si="50"/>
        <v>High Risk</v>
      </c>
      <c r="D508" s="3" t="str">
        <f t="shared" ca="1" si="51"/>
        <v>Industrial</v>
      </c>
      <c r="E508" s="3" t="str" cm="1">
        <f t="array" aca="1" ref="E508" ca="1">_xlfn.IFS(D508="Industrial", "Reinforced Concrete", D508 = "Commercial", CHOOSE(RANDBETWEEN(1, 2), "Reinforced Concrete", "Unreinforced Masonry"), D508 = "Residential", CHOOSE(RANDBETWEEN(1, 3), "Reinforced Concrete", "Unreinforced Masonry", "Adobe / Light Timber"))</f>
        <v>Reinforced Concrete</v>
      </c>
      <c r="F508" s="3">
        <f t="shared" ca="1" si="52"/>
        <v>2024</v>
      </c>
      <c r="G508" s="3">
        <f t="shared" ca="1" si="53"/>
        <v>2</v>
      </c>
      <c r="H508" s="2">
        <f t="shared" ca="1" si="54"/>
        <v>3</v>
      </c>
      <c r="I508" s="4">
        <f t="shared" ca="1" si="55"/>
        <v>54912101</v>
      </c>
    </row>
    <row r="509" spans="1:9">
      <c r="A509" s="1">
        <v>10000508</v>
      </c>
      <c r="B509" s="3" t="str">
        <f t="shared" ca="1" si="49"/>
        <v>South 24 Parganas</v>
      </c>
      <c r="C509" s="3" t="str">
        <f t="shared" ca="1" si="50"/>
        <v>High Risk</v>
      </c>
      <c r="D509" s="3" t="str">
        <f t="shared" ca="1" si="51"/>
        <v>Industrial</v>
      </c>
      <c r="E509" s="3" t="str" cm="1">
        <f t="array" aca="1" ref="E509" ca="1">_xlfn.IFS(D509="Industrial", "Reinforced Concrete", D509 = "Commercial", CHOOSE(RANDBETWEEN(1, 2), "Reinforced Concrete", "Unreinforced Masonry"), D509 = "Residential", CHOOSE(RANDBETWEEN(1, 3), "Reinforced Concrete", "Unreinforced Masonry", "Adobe / Light Timber"))</f>
        <v>Reinforced Concrete</v>
      </c>
      <c r="F509" s="3">
        <f t="shared" ca="1" si="52"/>
        <v>1988</v>
      </c>
      <c r="G509" s="3">
        <f t="shared" ca="1" si="53"/>
        <v>3</v>
      </c>
      <c r="H509" s="2">
        <f t="shared" ca="1" si="54"/>
        <v>3</v>
      </c>
      <c r="I509" s="4">
        <f t="shared" ca="1" si="55"/>
        <v>52705938</v>
      </c>
    </row>
    <row r="510" spans="1:9">
      <c r="A510" s="1">
        <v>10000509</v>
      </c>
      <c r="B510" s="3" t="str">
        <f t="shared" ca="1" si="49"/>
        <v>South 24 Parganas</v>
      </c>
      <c r="C510" s="3" t="str">
        <f t="shared" ca="1" si="50"/>
        <v>High Risk</v>
      </c>
      <c r="D510" s="3" t="str">
        <f t="shared" ca="1" si="51"/>
        <v>Residential</v>
      </c>
      <c r="E510" s="3" t="str" cm="1">
        <f t="array" aca="1" ref="E510" ca="1">_xlfn.IFS(D510="Industrial", "Reinforced Concrete", D510 = "Commercial", CHOOSE(RANDBETWEEN(1, 2), "Reinforced Concrete", "Unreinforced Masonry"), D510 = "Residential", CHOOSE(RANDBETWEEN(1, 3), "Reinforced Concrete", "Unreinforced Masonry", "Adobe / Light Timber"))</f>
        <v>Reinforced Concrete</v>
      </c>
      <c r="F510" s="3">
        <f t="shared" ca="1" si="52"/>
        <v>1993</v>
      </c>
      <c r="G510" s="3">
        <f t="shared" ca="1" si="53"/>
        <v>3</v>
      </c>
      <c r="H510" s="2">
        <f t="shared" ca="1" si="54"/>
        <v>3</v>
      </c>
      <c r="I510" s="4">
        <f t="shared" ca="1" si="55"/>
        <v>3341324</v>
      </c>
    </row>
    <row r="511" spans="1:9">
      <c r="A511" s="1">
        <v>10000510</v>
      </c>
      <c r="B511" s="3" t="str">
        <f t="shared" ca="1" si="49"/>
        <v>Kolkata</v>
      </c>
      <c r="C511" s="3" t="str">
        <f t="shared" ca="1" si="50"/>
        <v>Moderate Risk</v>
      </c>
      <c r="D511" s="3" t="str">
        <f t="shared" ca="1" si="51"/>
        <v>Commercial</v>
      </c>
      <c r="E511" s="3" t="str" cm="1">
        <f t="array" aca="1" ref="E511" ca="1">_xlfn.IFS(D511="Industrial", "Reinforced Concrete", D511 = "Commercial", CHOOSE(RANDBETWEEN(1, 2), "Reinforced Concrete", "Unreinforced Masonry"), D511 = "Residential", CHOOSE(RANDBETWEEN(1, 3), "Reinforced Concrete", "Unreinforced Masonry", "Adobe / Light Timber"))</f>
        <v>Reinforced Concrete</v>
      </c>
      <c r="F511" s="3">
        <f t="shared" ca="1" si="52"/>
        <v>2024</v>
      </c>
      <c r="G511" s="3">
        <f t="shared" ca="1" si="53"/>
        <v>3</v>
      </c>
      <c r="H511" s="2">
        <f t="shared" ca="1" si="54"/>
        <v>3</v>
      </c>
      <c r="I511" s="4">
        <f t="shared" ca="1" si="55"/>
        <v>15837731</v>
      </c>
    </row>
    <row r="512" spans="1:9">
      <c r="A512" s="1">
        <v>10000511</v>
      </c>
      <c r="B512" s="3" t="str">
        <f t="shared" ca="1" si="49"/>
        <v>South 24 Parganas</v>
      </c>
      <c r="C512" s="3" t="str">
        <f t="shared" ca="1" si="50"/>
        <v>High Risk</v>
      </c>
      <c r="D512" s="3" t="str">
        <f t="shared" ca="1" si="51"/>
        <v>Commercial</v>
      </c>
      <c r="E512" s="3" t="str" cm="1">
        <f t="array" aca="1" ref="E512" ca="1">_xlfn.IFS(D512="Industrial", "Reinforced Concrete", D512 = "Commercial", CHOOSE(RANDBETWEEN(1, 2), "Reinforced Concrete", "Unreinforced Masonry"), D512 = "Residential", CHOOSE(RANDBETWEEN(1, 3), "Reinforced Concrete", "Unreinforced Masonry", "Adobe / Light Timber"))</f>
        <v>Reinforced Concrete</v>
      </c>
      <c r="F512" s="3">
        <f t="shared" ca="1" si="52"/>
        <v>2015</v>
      </c>
      <c r="G512" s="3">
        <f t="shared" ca="1" si="53"/>
        <v>1</v>
      </c>
      <c r="H512" s="2">
        <f t="shared" ca="1" si="54"/>
        <v>5</v>
      </c>
      <c r="I512" s="4">
        <f t="shared" ca="1" si="55"/>
        <v>14532250</v>
      </c>
    </row>
    <row r="513" spans="1:9">
      <c r="A513" s="1">
        <v>10000512</v>
      </c>
      <c r="B513" s="3" t="str">
        <f t="shared" ca="1" si="49"/>
        <v>Kolkata</v>
      </c>
      <c r="C513" s="3" t="str">
        <f t="shared" ca="1" si="50"/>
        <v>Moderate Risk</v>
      </c>
      <c r="D513" s="3" t="str">
        <f t="shared" ca="1" si="51"/>
        <v>Residential</v>
      </c>
      <c r="E513" s="3" t="str" cm="1">
        <f t="array" aca="1" ref="E513" ca="1">_xlfn.IFS(D513="Industrial", "Reinforced Concrete", D513 = "Commercial", CHOOSE(RANDBETWEEN(1, 2), "Reinforced Concrete", "Unreinforced Masonry"), D513 = "Residential", CHOOSE(RANDBETWEEN(1, 3), "Reinforced Concrete", "Unreinforced Masonry", "Adobe / Light Timber"))</f>
        <v>Adobe / Light Timber</v>
      </c>
      <c r="F513" s="3">
        <f t="shared" ca="1" si="52"/>
        <v>2005</v>
      </c>
      <c r="G513" s="3">
        <f t="shared" ca="1" si="53"/>
        <v>1</v>
      </c>
      <c r="H513" s="2">
        <f t="shared" ca="1" si="54"/>
        <v>0</v>
      </c>
      <c r="I513" s="4">
        <f t="shared" ca="1" si="55"/>
        <v>600176</v>
      </c>
    </row>
    <row r="514" spans="1:9">
      <c r="A514" s="1">
        <v>10000513</v>
      </c>
      <c r="B514" s="3" t="str">
        <f t="shared" ca="1" si="49"/>
        <v>Hooghly</v>
      </c>
      <c r="C514" s="3" t="str">
        <f t="shared" ca="1" si="50"/>
        <v>Moderate Risk</v>
      </c>
      <c r="D514" s="3" t="str">
        <f t="shared" ca="1" si="51"/>
        <v>Residential</v>
      </c>
      <c r="E514" s="3" t="str" cm="1">
        <f t="array" aca="1" ref="E514" ca="1">_xlfn.IFS(D514="Industrial", "Reinforced Concrete", D514 = "Commercial", CHOOSE(RANDBETWEEN(1, 2), "Reinforced Concrete", "Unreinforced Masonry"), D514 = "Residential", CHOOSE(RANDBETWEEN(1, 3), "Reinforced Concrete", "Unreinforced Masonry", "Adobe / Light Timber"))</f>
        <v>Unreinforced Masonry</v>
      </c>
      <c r="F514" s="3">
        <f t="shared" ca="1" si="52"/>
        <v>2010</v>
      </c>
      <c r="G514" s="3">
        <f t="shared" ca="1" si="53"/>
        <v>1</v>
      </c>
      <c r="H514" s="2">
        <f t="shared" ca="1" si="54"/>
        <v>1</v>
      </c>
      <c r="I514" s="4">
        <f t="shared" ca="1" si="55"/>
        <v>1141379</v>
      </c>
    </row>
    <row r="515" spans="1:9">
      <c r="A515" s="1">
        <v>10000514</v>
      </c>
      <c r="B515" s="3" t="str">
        <f t="shared" ref="B515:B578" ca="1" si="56">CHOOSE(RANDBETWEEN(1, 6),"South 24 Parganas", "Malda", "Jalpaiguri","Kolkata","Hooghly","Paschim Medinipur")</f>
        <v>Jalpaiguri</v>
      </c>
      <c r="C515" s="3" t="str">
        <f t="shared" ref="C515:C578" ca="1" si="57">IF(OR(B515 = "South 24 Parganas", B515 = "Malda", B515 = "Jalpaiguri"), "High Risk", "Moderate Risk")</f>
        <v>High Risk</v>
      </c>
      <c r="D515" s="3" t="str">
        <f t="shared" ref="D515:D578" ca="1" si="58">CHOOSE(RANDBETWEEN(1, 3), "Residential","Commercial","Industrial")</f>
        <v>Commercial</v>
      </c>
      <c r="E515" s="3" t="str" cm="1">
        <f t="array" aca="1" ref="E515" ca="1">_xlfn.IFS(D515="Industrial", "Reinforced Concrete", D515 = "Commercial", CHOOSE(RANDBETWEEN(1, 2), "Reinforced Concrete", "Unreinforced Masonry"), D515 = "Residential", CHOOSE(RANDBETWEEN(1, 3), "Reinforced Concrete", "Unreinforced Masonry", "Adobe / Light Timber"))</f>
        <v>Reinforced Concrete</v>
      </c>
      <c r="F515" s="3">
        <f t="shared" ref="F515:F578" ca="1" si="59">RANDBETWEEN(1980, 2024)</f>
        <v>1991</v>
      </c>
      <c r="G515" s="3">
        <f t="shared" ref="G515:G578" ca="1" si="60">IF(E515 = "Adobe / Light Timber", 1, RANDBETWEEN(1, 5))</f>
        <v>2</v>
      </c>
      <c r="H515" s="2">
        <f t="shared" ref="H515:H578" ca="1" si="61">IF(E515="Reinforced Concrete",RANDBETWEEN(3, 5),RANDBETWEEN(0,2))</f>
        <v>3</v>
      </c>
      <c r="I515" s="4">
        <f t="shared" ref="I515:I578" ca="1" si="62">MAX(200000, _xlfn.IFS(D515 = "Industrial", ROUND(_xlfn.NORM.INV(RAND(), 50000000, 10000000), 0), D515 = "Commercial",ROUND(_xlfn.NORM.INV(RAND(), 15000000, 5000000), 0),E515 = "Adobe / Light Timber", ROUND(_xlfn.NORM.INV(RAND(), 500000, 100000), 0),TRUE, ROUND(_xlfn.NORM.INV(RAND(), 4000000, 1500000), 0)))</f>
        <v>19274733</v>
      </c>
    </row>
    <row r="516" spans="1:9">
      <c r="A516" s="1">
        <v>10000515</v>
      </c>
      <c r="B516" s="3" t="str">
        <f t="shared" ca="1" si="56"/>
        <v>Jalpaiguri</v>
      </c>
      <c r="C516" s="3" t="str">
        <f t="shared" ca="1" si="57"/>
        <v>High Risk</v>
      </c>
      <c r="D516" s="3" t="str">
        <f t="shared" ca="1" si="58"/>
        <v>Residential</v>
      </c>
      <c r="E516" s="3" t="str" cm="1">
        <f t="array" aca="1" ref="E516" ca="1">_xlfn.IFS(D516="Industrial", "Reinforced Concrete", D516 = "Commercial", CHOOSE(RANDBETWEEN(1, 2), "Reinforced Concrete", "Unreinforced Masonry"), D516 = "Residential", CHOOSE(RANDBETWEEN(1, 3), "Reinforced Concrete", "Unreinforced Masonry", "Adobe / Light Timber"))</f>
        <v>Reinforced Concrete</v>
      </c>
      <c r="F516" s="3">
        <f t="shared" ca="1" si="59"/>
        <v>2016</v>
      </c>
      <c r="G516" s="3">
        <f t="shared" ca="1" si="60"/>
        <v>5</v>
      </c>
      <c r="H516" s="2">
        <f t="shared" ca="1" si="61"/>
        <v>4</v>
      </c>
      <c r="I516" s="4">
        <f t="shared" ca="1" si="62"/>
        <v>5540347</v>
      </c>
    </row>
    <row r="517" spans="1:9">
      <c r="A517" s="1">
        <v>10000516</v>
      </c>
      <c r="B517" s="3" t="str">
        <f t="shared" ca="1" si="56"/>
        <v>Hooghly</v>
      </c>
      <c r="C517" s="3" t="str">
        <f t="shared" ca="1" si="57"/>
        <v>Moderate Risk</v>
      </c>
      <c r="D517" s="3" t="str">
        <f t="shared" ca="1" si="58"/>
        <v>Commercial</v>
      </c>
      <c r="E517" s="3" t="str" cm="1">
        <f t="array" aca="1" ref="E517" ca="1">_xlfn.IFS(D517="Industrial", "Reinforced Concrete", D517 = "Commercial", CHOOSE(RANDBETWEEN(1, 2), "Reinforced Concrete", "Unreinforced Masonry"), D517 = "Residential", CHOOSE(RANDBETWEEN(1, 3), "Reinforced Concrete", "Unreinforced Masonry", "Adobe / Light Timber"))</f>
        <v>Reinforced Concrete</v>
      </c>
      <c r="F517" s="3">
        <f t="shared" ca="1" si="59"/>
        <v>2001</v>
      </c>
      <c r="G517" s="3">
        <f t="shared" ca="1" si="60"/>
        <v>4</v>
      </c>
      <c r="H517" s="2">
        <f t="shared" ca="1" si="61"/>
        <v>3</v>
      </c>
      <c r="I517" s="4">
        <f t="shared" ca="1" si="62"/>
        <v>16431661</v>
      </c>
    </row>
    <row r="518" spans="1:9">
      <c r="A518" s="1">
        <v>10000517</v>
      </c>
      <c r="B518" s="3" t="str">
        <f t="shared" ca="1" si="56"/>
        <v>South 24 Parganas</v>
      </c>
      <c r="C518" s="3" t="str">
        <f t="shared" ca="1" si="57"/>
        <v>High Risk</v>
      </c>
      <c r="D518" s="3" t="str">
        <f t="shared" ca="1" si="58"/>
        <v>Commercial</v>
      </c>
      <c r="E518" s="3" t="str" cm="1">
        <f t="array" aca="1" ref="E518" ca="1">_xlfn.IFS(D518="Industrial", "Reinforced Concrete", D518 = "Commercial", CHOOSE(RANDBETWEEN(1, 2), "Reinforced Concrete", "Unreinforced Masonry"), D518 = "Residential", CHOOSE(RANDBETWEEN(1, 3), "Reinforced Concrete", "Unreinforced Masonry", "Adobe / Light Timber"))</f>
        <v>Unreinforced Masonry</v>
      </c>
      <c r="F518" s="3">
        <f t="shared" ca="1" si="59"/>
        <v>1996</v>
      </c>
      <c r="G518" s="3">
        <f t="shared" ca="1" si="60"/>
        <v>1</v>
      </c>
      <c r="H518" s="2">
        <f t="shared" ca="1" si="61"/>
        <v>1</v>
      </c>
      <c r="I518" s="4">
        <f t="shared" ca="1" si="62"/>
        <v>12152519</v>
      </c>
    </row>
    <row r="519" spans="1:9">
      <c r="A519" s="1">
        <v>10000518</v>
      </c>
      <c r="B519" s="3" t="str">
        <f t="shared" ca="1" si="56"/>
        <v>Kolkata</v>
      </c>
      <c r="C519" s="3" t="str">
        <f t="shared" ca="1" si="57"/>
        <v>Moderate Risk</v>
      </c>
      <c r="D519" s="3" t="str">
        <f t="shared" ca="1" si="58"/>
        <v>Commercial</v>
      </c>
      <c r="E519" s="3" t="str" cm="1">
        <f t="array" aca="1" ref="E519" ca="1">_xlfn.IFS(D519="Industrial", "Reinforced Concrete", D519 = "Commercial", CHOOSE(RANDBETWEEN(1, 2), "Reinforced Concrete", "Unreinforced Masonry"), D519 = "Residential", CHOOSE(RANDBETWEEN(1, 3), "Reinforced Concrete", "Unreinforced Masonry", "Adobe / Light Timber"))</f>
        <v>Unreinforced Masonry</v>
      </c>
      <c r="F519" s="3">
        <f t="shared" ca="1" si="59"/>
        <v>1990</v>
      </c>
      <c r="G519" s="3">
        <f t="shared" ca="1" si="60"/>
        <v>4</v>
      </c>
      <c r="H519" s="2">
        <f t="shared" ca="1" si="61"/>
        <v>1</v>
      </c>
      <c r="I519" s="4">
        <f t="shared" ca="1" si="62"/>
        <v>9828216</v>
      </c>
    </row>
    <row r="520" spans="1:9">
      <c r="A520" s="1">
        <v>10000519</v>
      </c>
      <c r="B520" s="3" t="str">
        <f t="shared" ca="1" si="56"/>
        <v>Hooghly</v>
      </c>
      <c r="C520" s="3" t="str">
        <f t="shared" ca="1" si="57"/>
        <v>Moderate Risk</v>
      </c>
      <c r="D520" s="3" t="str">
        <f t="shared" ca="1" si="58"/>
        <v>Industrial</v>
      </c>
      <c r="E520" s="3" t="str" cm="1">
        <f t="array" aca="1" ref="E520" ca="1">_xlfn.IFS(D520="Industrial", "Reinforced Concrete", D520 = "Commercial", CHOOSE(RANDBETWEEN(1, 2), "Reinforced Concrete", "Unreinforced Masonry"), D520 = "Residential", CHOOSE(RANDBETWEEN(1, 3), "Reinforced Concrete", "Unreinforced Masonry", "Adobe / Light Timber"))</f>
        <v>Reinforced Concrete</v>
      </c>
      <c r="F520" s="3">
        <f t="shared" ca="1" si="59"/>
        <v>2005</v>
      </c>
      <c r="G520" s="3">
        <f t="shared" ca="1" si="60"/>
        <v>5</v>
      </c>
      <c r="H520" s="2">
        <f t="shared" ca="1" si="61"/>
        <v>5</v>
      </c>
      <c r="I520" s="4">
        <f t="shared" ca="1" si="62"/>
        <v>46446896</v>
      </c>
    </row>
    <row r="521" spans="1:9">
      <c r="A521" s="1">
        <v>10000520</v>
      </c>
      <c r="B521" s="3" t="str">
        <f t="shared" ca="1" si="56"/>
        <v>Hooghly</v>
      </c>
      <c r="C521" s="3" t="str">
        <f t="shared" ca="1" si="57"/>
        <v>Moderate Risk</v>
      </c>
      <c r="D521" s="3" t="str">
        <f t="shared" ca="1" si="58"/>
        <v>Industrial</v>
      </c>
      <c r="E521" s="3" t="str" cm="1">
        <f t="array" aca="1" ref="E521" ca="1">_xlfn.IFS(D521="Industrial", "Reinforced Concrete", D521 = "Commercial", CHOOSE(RANDBETWEEN(1, 2), "Reinforced Concrete", "Unreinforced Masonry"), D521 = "Residential", CHOOSE(RANDBETWEEN(1, 3), "Reinforced Concrete", "Unreinforced Masonry", "Adobe / Light Timber"))</f>
        <v>Reinforced Concrete</v>
      </c>
      <c r="F521" s="3">
        <f t="shared" ca="1" si="59"/>
        <v>1996</v>
      </c>
      <c r="G521" s="3">
        <f t="shared" ca="1" si="60"/>
        <v>2</v>
      </c>
      <c r="H521" s="2">
        <f t="shared" ca="1" si="61"/>
        <v>4</v>
      </c>
      <c r="I521" s="4">
        <f t="shared" ca="1" si="62"/>
        <v>53499622</v>
      </c>
    </row>
    <row r="522" spans="1:9">
      <c r="A522" s="1">
        <v>10000521</v>
      </c>
      <c r="B522" s="3" t="str">
        <f t="shared" ca="1" si="56"/>
        <v>South 24 Parganas</v>
      </c>
      <c r="C522" s="3" t="str">
        <f t="shared" ca="1" si="57"/>
        <v>High Risk</v>
      </c>
      <c r="D522" s="3" t="str">
        <f t="shared" ca="1" si="58"/>
        <v>Residential</v>
      </c>
      <c r="E522" s="3" t="str" cm="1">
        <f t="array" aca="1" ref="E522" ca="1">_xlfn.IFS(D522="Industrial", "Reinforced Concrete", D522 = "Commercial", CHOOSE(RANDBETWEEN(1, 2), "Reinforced Concrete", "Unreinforced Masonry"), D522 = "Residential", CHOOSE(RANDBETWEEN(1, 3), "Reinforced Concrete", "Unreinforced Masonry", "Adobe / Light Timber"))</f>
        <v>Reinforced Concrete</v>
      </c>
      <c r="F522" s="3">
        <f t="shared" ca="1" si="59"/>
        <v>2006</v>
      </c>
      <c r="G522" s="3">
        <f t="shared" ca="1" si="60"/>
        <v>3</v>
      </c>
      <c r="H522" s="2">
        <f t="shared" ca="1" si="61"/>
        <v>3</v>
      </c>
      <c r="I522" s="4">
        <f t="shared" ca="1" si="62"/>
        <v>3926611</v>
      </c>
    </row>
    <row r="523" spans="1:9">
      <c r="A523" s="1">
        <v>10000522</v>
      </c>
      <c r="B523" s="3" t="str">
        <f t="shared" ca="1" si="56"/>
        <v>Hooghly</v>
      </c>
      <c r="C523" s="3" t="str">
        <f t="shared" ca="1" si="57"/>
        <v>Moderate Risk</v>
      </c>
      <c r="D523" s="3" t="str">
        <f t="shared" ca="1" si="58"/>
        <v>Commercial</v>
      </c>
      <c r="E523" s="3" t="str" cm="1">
        <f t="array" aca="1" ref="E523" ca="1">_xlfn.IFS(D523="Industrial", "Reinforced Concrete", D523 = "Commercial", CHOOSE(RANDBETWEEN(1, 2), "Reinforced Concrete", "Unreinforced Masonry"), D523 = "Residential", CHOOSE(RANDBETWEEN(1, 3), "Reinforced Concrete", "Unreinforced Masonry", "Adobe / Light Timber"))</f>
        <v>Unreinforced Masonry</v>
      </c>
      <c r="F523" s="3">
        <f t="shared" ca="1" si="59"/>
        <v>1995</v>
      </c>
      <c r="G523" s="3">
        <f t="shared" ca="1" si="60"/>
        <v>4</v>
      </c>
      <c r="H523" s="2">
        <f t="shared" ca="1" si="61"/>
        <v>2</v>
      </c>
      <c r="I523" s="4">
        <f t="shared" ca="1" si="62"/>
        <v>7088662</v>
      </c>
    </row>
    <row r="524" spans="1:9">
      <c r="A524" s="1">
        <v>10000523</v>
      </c>
      <c r="B524" s="3" t="str">
        <f t="shared" ca="1" si="56"/>
        <v>Hooghly</v>
      </c>
      <c r="C524" s="3" t="str">
        <f t="shared" ca="1" si="57"/>
        <v>Moderate Risk</v>
      </c>
      <c r="D524" s="3" t="str">
        <f t="shared" ca="1" si="58"/>
        <v>Commercial</v>
      </c>
      <c r="E524" s="3" t="str" cm="1">
        <f t="array" aca="1" ref="E524" ca="1">_xlfn.IFS(D524="Industrial", "Reinforced Concrete", D524 = "Commercial", CHOOSE(RANDBETWEEN(1, 2), "Reinforced Concrete", "Unreinforced Masonry"), D524 = "Residential", CHOOSE(RANDBETWEEN(1, 3), "Reinforced Concrete", "Unreinforced Masonry", "Adobe / Light Timber"))</f>
        <v>Reinforced Concrete</v>
      </c>
      <c r="F524" s="3">
        <f t="shared" ca="1" si="59"/>
        <v>1993</v>
      </c>
      <c r="G524" s="3">
        <f t="shared" ca="1" si="60"/>
        <v>2</v>
      </c>
      <c r="H524" s="2">
        <f t="shared" ca="1" si="61"/>
        <v>4</v>
      </c>
      <c r="I524" s="4">
        <f t="shared" ca="1" si="62"/>
        <v>17904897</v>
      </c>
    </row>
    <row r="525" spans="1:9">
      <c r="A525" s="1">
        <v>10000524</v>
      </c>
      <c r="B525" s="3" t="str">
        <f t="shared" ca="1" si="56"/>
        <v>Jalpaiguri</v>
      </c>
      <c r="C525" s="3" t="str">
        <f t="shared" ca="1" si="57"/>
        <v>High Risk</v>
      </c>
      <c r="D525" s="3" t="str">
        <f t="shared" ca="1" si="58"/>
        <v>Industrial</v>
      </c>
      <c r="E525" s="3" t="str" cm="1">
        <f t="array" aca="1" ref="E525" ca="1">_xlfn.IFS(D525="Industrial", "Reinforced Concrete", D525 = "Commercial", CHOOSE(RANDBETWEEN(1, 2), "Reinforced Concrete", "Unreinforced Masonry"), D525 = "Residential", CHOOSE(RANDBETWEEN(1, 3), "Reinforced Concrete", "Unreinforced Masonry", "Adobe / Light Timber"))</f>
        <v>Reinforced Concrete</v>
      </c>
      <c r="F525" s="3">
        <f t="shared" ca="1" si="59"/>
        <v>2021</v>
      </c>
      <c r="G525" s="3">
        <f t="shared" ca="1" si="60"/>
        <v>4</v>
      </c>
      <c r="H525" s="2">
        <f t="shared" ca="1" si="61"/>
        <v>3</v>
      </c>
      <c r="I525" s="4">
        <f t="shared" ca="1" si="62"/>
        <v>61570716</v>
      </c>
    </row>
    <row r="526" spans="1:9">
      <c r="A526" s="1">
        <v>10000525</v>
      </c>
      <c r="B526" s="3" t="str">
        <f t="shared" ca="1" si="56"/>
        <v>Hooghly</v>
      </c>
      <c r="C526" s="3" t="str">
        <f t="shared" ca="1" si="57"/>
        <v>Moderate Risk</v>
      </c>
      <c r="D526" s="3" t="str">
        <f t="shared" ca="1" si="58"/>
        <v>Residential</v>
      </c>
      <c r="E526" s="3" t="str" cm="1">
        <f t="array" aca="1" ref="E526" ca="1">_xlfn.IFS(D526="Industrial", "Reinforced Concrete", D526 = "Commercial", CHOOSE(RANDBETWEEN(1, 2), "Reinforced Concrete", "Unreinforced Masonry"), D526 = "Residential", CHOOSE(RANDBETWEEN(1, 3), "Reinforced Concrete", "Unreinforced Masonry", "Adobe / Light Timber"))</f>
        <v>Reinforced Concrete</v>
      </c>
      <c r="F526" s="3">
        <f t="shared" ca="1" si="59"/>
        <v>1981</v>
      </c>
      <c r="G526" s="3">
        <f t="shared" ca="1" si="60"/>
        <v>4</v>
      </c>
      <c r="H526" s="2">
        <f t="shared" ca="1" si="61"/>
        <v>3</v>
      </c>
      <c r="I526" s="4">
        <f t="shared" ca="1" si="62"/>
        <v>5417385</v>
      </c>
    </row>
    <row r="527" spans="1:9">
      <c r="A527" s="1">
        <v>10000526</v>
      </c>
      <c r="B527" s="3" t="str">
        <f t="shared" ca="1" si="56"/>
        <v>Paschim Medinipur</v>
      </c>
      <c r="C527" s="3" t="str">
        <f t="shared" ca="1" si="57"/>
        <v>Moderate Risk</v>
      </c>
      <c r="D527" s="3" t="str">
        <f t="shared" ca="1" si="58"/>
        <v>Industrial</v>
      </c>
      <c r="E527" s="3" t="str" cm="1">
        <f t="array" aca="1" ref="E527" ca="1">_xlfn.IFS(D527="Industrial", "Reinforced Concrete", D527 = "Commercial", CHOOSE(RANDBETWEEN(1, 2), "Reinforced Concrete", "Unreinforced Masonry"), D527 = "Residential", CHOOSE(RANDBETWEEN(1, 3), "Reinforced Concrete", "Unreinforced Masonry", "Adobe / Light Timber"))</f>
        <v>Reinforced Concrete</v>
      </c>
      <c r="F527" s="3">
        <f t="shared" ca="1" si="59"/>
        <v>1988</v>
      </c>
      <c r="G527" s="3">
        <f t="shared" ca="1" si="60"/>
        <v>2</v>
      </c>
      <c r="H527" s="2">
        <f t="shared" ca="1" si="61"/>
        <v>5</v>
      </c>
      <c r="I527" s="4">
        <f t="shared" ca="1" si="62"/>
        <v>48805846</v>
      </c>
    </row>
    <row r="528" spans="1:9">
      <c r="A528" s="1">
        <v>10000527</v>
      </c>
      <c r="B528" s="3" t="str">
        <f t="shared" ca="1" si="56"/>
        <v>South 24 Parganas</v>
      </c>
      <c r="C528" s="3" t="str">
        <f t="shared" ca="1" si="57"/>
        <v>High Risk</v>
      </c>
      <c r="D528" s="3" t="str">
        <f t="shared" ca="1" si="58"/>
        <v>Commercial</v>
      </c>
      <c r="E528" s="3" t="str" cm="1">
        <f t="array" aca="1" ref="E528" ca="1">_xlfn.IFS(D528="Industrial", "Reinforced Concrete", D528 = "Commercial", CHOOSE(RANDBETWEEN(1, 2), "Reinforced Concrete", "Unreinforced Masonry"), D528 = "Residential", CHOOSE(RANDBETWEEN(1, 3), "Reinforced Concrete", "Unreinforced Masonry", "Adobe / Light Timber"))</f>
        <v>Reinforced Concrete</v>
      </c>
      <c r="F528" s="3">
        <f t="shared" ca="1" si="59"/>
        <v>1981</v>
      </c>
      <c r="G528" s="3">
        <f t="shared" ca="1" si="60"/>
        <v>1</v>
      </c>
      <c r="H528" s="2">
        <f t="shared" ca="1" si="61"/>
        <v>3</v>
      </c>
      <c r="I528" s="4">
        <f t="shared" ca="1" si="62"/>
        <v>12849856</v>
      </c>
    </row>
    <row r="529" spans="1:9">
      <c r="A529" s="1">
        <v>10000528</v>
      </c>
      <c r="B529" s="3" t="str">
        <f t="shared" ca="1" si="56"/>
        <v>Malda</v>
      </c>
      <c r="C529" s="3" t="str">
        <f t="shared" ca="1" si="57"/>
        <v>High Risk</v>
      </c>
      <c r="D529" s="3" t="str">
        <f t="shared" ca="1" si="58"/>
        <v>Residential</v>
      </c>
      <c r="E529" s="3" t="str" cm="1">
        <f t="array" aca="1" ref="E529" ca="1">_xlfn.IFS(D529="Industrial", "Reinforced Concrete", D529 = "Commercial", CHOOSE(RANDBETWEEN(1, 2), "Reinforced Concrete", "Unreinforced Masonry"), D529 = "Residential", CHOOSE(RANDBETWEEN(1, 3), "Reinforced Concrete", "Unreinforced Masonry", "Adobe / Light Timber"))</f>
        <v>Reinforced Concrete</v>
      </c>
      <c r="F529" s="3">
        <f t="shared" ca="1" si="59"/>
        <v>2012</v>
      </c>
      <c r="G529" s="3">
        <f t="shared" ca="1" si="60"/>
        <v>4</v>
      </c>
      <c r="H529" s="2">
        <f t="shared" ca="1" si="61"/>
        <v>3</v>
      </c>
      <c r="I529" s="4">
        <f t="shared" ca="1" si="62"/>
        <v>6275392</v>
      </c>
    </row>
    <row r="530" spans="1:9">
      <c r="A530" s="1">
        <v>10000529</v>
      </c>
      <c r="B530" s="3" t="str">
        <f t="shared" ca="1" si="56"/>
        <v>Jalpaiguri</v>
      </c>
      <c r="C530" s="3" t="str">
        <f t="shared" ca="1" si="57"/>
        <v>High Risk</v>
      </c>
      <c r="D530" s="3" t="str">
        <f t="shared" ca="1" si="58"/>
        <v>Industrial</v>
      </c>
      <c r="E530" s="3" t="str" cm="1">
        <f t="array" aca="1" ref="E530" ca="1">_xlfn.IFS(D530="Industrial", "Reinforced Concrete", D530 = "Commercial", CHOOSE(RANDBETWEEN(1, 2), "Reinforced Concrete", "Unreinforced Masonry"), D530 = "Residential", CHOOSE(RANDBETWEEN(1, 3), "Reinforced Concrete", "Unreinforced Masonry", "Adobe / Light Timber"))</f>
        <v>Reinforced Concrete</v>
      </c>
      <c r="F530" s="3">
        <f t="shared" ca="1" si="59"/>
        <v>2013</v>
      </c>
      <c r="G530" s="3">
        <f t="shared" ca="1" si="60"/>
        <v>3</v>
      </c>
      <c r="H530" s="2">
        <f t="shared" ca="1" si="61"/>
        <v>4</v>
      </c>
      <c r="I530" s="4">
        <f t="shared" ca="1" si="62"/>
        <v>33042477</v>
      </c>
    </row>
    <row r="531" spans="1:9">
      <c r="A531" s="1">
        <v>10000530</v>
      </c>
      <c r="B531" s="3" t="str">
        <f t="shared" ca="1" si="56"/>
        <v>Paschim Medinipur</v>
      </c>
      <c r="C531" s="3" t="str">
        <f t="shared" ca="1" si="57"/>
        <v>Moderate Risk</v>
      </c>
      <c r="D531" s="3" t="str">
        <f t="shared" ca="1" si="58"/>
        <v>Industrial</v>
      </c>
      <c r="E531" s="3" t="str" cm="1">
        <f t="array" aca="1" ref="E531" ca="1">_xlfn.IFS(D531="Industrial", "Reinforced Concrete", D531 = "Commercial", CHOOSE(RANDBETWEEN(1, 2), "Reinforced Concrete", "Unreinforced Masonry"), D531 = "Residential", CHOOSE(RANDBETWEEN(1, 3), "Reinforced Concrete", "Unreinforced Masonry", "Adobe / Light Timber"))</f>
        <v>Reinforced Concrete</v>
      </c>
      <c r="F531" s="3">
        <f t="shared" ca="1" si="59"/>
        <v>2010</v>
      </c>
      <c r="G531" s="3">
        <f t="shared" ca="1" si="60"/>
        <v>3</v>
      </c>
      <c r="H531" s="2">
        <f t="shared" ca="1" si="61"/>
        <v>3</v>
      </c>
      <c r="I531" s="4">
        <f t="shared" ca="1" si="62"/>
        <v>33643765</v>
      </c>
    </row>
    <row r="532" spans="1:9">
      <c r="A532" s="1">
        <v>10000531</v>
      </c>
      <c r="B532" s="3" t="str">
        <f t="shared" ca="1" si="56"/>
        <v>Hooghly</v>
      </c>
      <c r="C532" s="3" t="str">
        <f t="shared" ca="1" si="57"/>
        <v>Moderate Risk</v>
      </c>
      <c r="D532" s="3" t="str">
        <f t="shared" ca="1" si="58"/>
        <v>Industrial</v>
      </c>
      <c r="E532" s="3" t="str" cm="1">
        <f t="array" aca="1" ref="E532" ca="1">_xlfn.IFS(D532="Industrial", "Reinforced Concrete", D532 = "Commercial", CHOOSE(RANDBETWEEN(1, 2), "Reinforced Concrete", "Unreinforced Masonry"), D532 = "Residential", CHOOSE(RANDBETWEEN(1, 3), "Reinforced Concrete", "Unreinforced Masonry", "Adobe / Light Timber"))</f>
        <v>Reinforced Concrete</v>
      </c>
      <c r="F532" s="3">
        <f t="shared" ca="1" si="59"/>
        <v>1992</v>
      </c>
      <c r="G532" s="3">
        <f t="shared" ca="1" si="60"/>
        <v>1</v>
      </c>
      <c r="H532" s="2">
        <f t="shared" ca="1" si="61"/>
        <v>3</v>
      </c>
      <c r="I532" s="4">
        <f t="shared" ca="1" si="62"/>
        <v>74726511</v>
      </c>
    </row>
    <row r="533" spans="1:9">
      <c r="A533" s="1">
        <v>10000532</v>
      </c>
      <c r="B533" s="3" t="str">
        <f t="shared" ca="1" si="56"/>
        <v>South 24 Parganas</v>
      </c>
      <c r="C533" s="3" t="str">
        <f t="shared" ca="1" si="57"/>
        <v>High Risk</v>
      </c>
      <c r="D533" s="3" t="str">
        <f t="shared" ca="1" si="58"/>
        <v>Industrial</v>
      </c>
      <c r="E533" s="3" t="str" cm="1">
        <f t="array" aca="1" ref="E533" ca="1">_xlfn.IFS(D533="Industrial", "Reinforced Concrete", D533 = "Commercial", CHOOSE(RANDBETWEEN(1, 2), "Reinforced Concrete", "Unreinforced Masonry"), D533 = "Residential", CHOOSE(RANDBETWEEN(1, 3), "Reinforced Concrete", "Unreinforced Masonry", "Adobe / Light Timber"))</f>
        <v>Reinforced Concrete</v>
      </c>
      <c r="F533" s="3">
        <f t="shared" ca="1" si="59"/>
        <v>1997</v>
      </c>
      <c r="G533" s="3">
        <f t="shared" ca="1" si="60"/>
        <v>2</v>
      </c>
      <c r="H533" s="2">
        <f t="shared" ca="1" si="61"/>
        <v>3</v>
      </c>
      <c r="I533" s="4">
        <f t="shared" ca="1" si="62"/>
        <v>64785674</v>
      </c>
    </row>
    <row r="534" spans="1:9">
      <c r="A534" s="1">
        <v>10000533</v>
      </c>
      <c r="B534" s="3" t="str">
        <f t="shared" ca="1" si="56"/>
        <v>Jalpaiguri</v>
      </c>
      <c r="C534" s="3" t="str">
        <f t="shared" ca="1" si="57"/>
        <v>High Risk</v>
      </c>
      <c r="D534" s="3" t="str">
        <f t="shared" ca="1" si="58"/>
        <v>Residential</v>
      </c>
      <c r="E534" s="3" t="str" cm="1">
        <f t="array" aca="1" ref="E534" ca="1">_xlfn.IFS(D534="Industrial", "Reinforced Concrete", D534 = "Commercial", CHOOSE(RANDBETWEEN(1, 2), "Reinforced Concrete", "Unreinforced Masonry"), D534 = "Residential", CHOOSE(RANDBETWEEN(1, 3), "Reinforced Concrete", "Unreinforced Masonry", "Adobe / Light Timber"))</f>
        <v>Reinforced Concrete</v>
      </c>
      <c r="F534" s="3">
        <f t="shared" ca="1" si="59"/>
        <v>1997</v>
      </c>
      <c r="G534" s="3">
        <f t="shared" ca="1" si="60"/>
        <v>3</v>
      </c>
      <c r="H534" s="2">
        <f t="shared" ca="1" si="61"/>
        <v>3</v>
      </c>
      <c r="I534" s="4">
        <f t="shared" ca="1" si="62"/>
        <v>3855024</v>
      </c>
    </row>
    <row r="535" spans="1:9">
      <c r="A535" s="1">
        <v>10000534</v>
      </c>
      <c r="B535" s="3" t="str">
        <f t="shared" ca="1" si="56"/>
        <v>Paschim Medinipur</v>
      </c>
      <c r="C535" s="3" t="str">
        <f t="shared" ca="1" si="57"/>
        <v>Moderate Risk</v>
      </c>
      <c r="D535" s="3" t="str">
        <f t="shared" ca="1" si="58"/>
        <v>Residential</v>
      </c>
      <c r="E535" s="3" t="str" cm="1">
        <f t="array" aca="1" ref="E535" ca="1">_xlfn.IFS(D535="Industrial", "Reinforced Concrete", D535 = "Commercial", CHOOSE(RANDBETWEEN(1, 2), "Reinforced Concrete", "Unreinforced Masonry"), D535 = "Residential", CHOOSE(RANDBETWEEN(1, 3), "Reinforced Concrete", "Unreinforced Masonry", "Adobe / Light Timber"))</f>
        <v>Reinforced Concrete</v>
      </c>
      <c r="F535" s="3">
        <f t="shared" ca="1" si="59"/>
        <v>1989</v>
      </c>
      <c r="G535" s="3">
        <f t="shared" ca="1" si="60"/>
        <v>3</v>
      </c>
      <c r="H535" s="2">
        <f t="shared" ca="1" si="61"/>
        <v>3</v>
      </c>
      <c r="I535" s="4">
        <f t="shared" ca="1" si="62"/>
        <v>4770427</v>
      </c>
    </row>
    <row r="536" spans="1:9">
      <c r="A536" s="1">
        <v>10000535</v>
      </c>
      <c r="B536" s="3" t="str">
        <f t="shared" ca="1" si="56"/>
        <v>Paschim Medinipur</v>
      </c>
      <c r="C536" s="3" t="str">
        <f t="shared" ca="1" si="57"/>
        <v>Moderate Risk</v>
      </c>
      <c r="D536" s="3" t="str">
        <f t="shared" ca="1" si="58"/>
        <v>Industrial</v>
      </c>
      <c r="E536" s="3" t="str" cm="1">
        <f t="array" aca="1" ref="E536" ca="1">_xlfn.IFS(D536="Industrial", "Reinforced Concrete", D536 = "Commercial", CHOOSE(RANDBETWEEN(1, 2), "Reinforced Concrete", "Unreinforced Masonry"), D536 = "Residential", CHOOSE(RANDBETWEEN(1, 3), "Reinforced Concrete", "Unreinforced Masonry", "Adobe / Light Timber"))</f>
        <v>Reinforced Concrete</v>
      </c>
      <c r="F536" s="3">
        <f t="shared" ca="1" si="59"/>
        <v>2010</v>
      </c>
      <c r="G536" s="3">
        <f t="shared" ca="1" si="60"/>
        <v>3</v>
      </c>
      <c r="H536" s="2">
        <f t="shared" ca="1" si="61"/>
        <v>5</v>
      </c>
      <c r="I536" s="4">
        <f t="shared" ca="1" si="62"/>
        <v>40130518</v>
      </c>
    </row>
    <row r="537" spans="1:9">
      <c r="A537" s="1">
        <v>10000536</v>
      </c>
      <c r="B537" s="3" t="str">
        <f t="shared" ca="1" si="56"/>
        <v>Paschim Medinipur</v>
      </c>
      <c r="C537" s="3" t="str">
        <f t="shared" ca="1" si="57"/>
        <v>Moderate Risk</v>
      </c>
      <c r="D537" s="3" t="str">
        <f t="shared" ca="1" si="58"/>
        <v>Residential</v>
      </c>
      <c r="E537" s="3" t="str" cm="1">
        <f t="array" aca="1" ref="E537" ca="1">_xlfn.IFS(D537="Industrial", "Reinforced Concrete", D537 = "Commercial", CHOOSE(RANDBETWEEN(1, 2), "Reinforced Concrete", "Unreinforced Masonry"), D537 = "Residential", CHOOSE(RANDBETWEEN(1, 3), "Reinforced Concrete", "Unreinforced Masonry", "Adobe / Light Timber"))</f>
        <v>Adobe / Light Timber</v>
      </c>
      <c r="F537" s="3">
        <f t="shared" ca="1" si="59"/>
        <v>1988</v>
      </c>
      <c r="G537" s="3">
        <f t="shared" ca="1" si="60"/>
        <v>1</v>
      </c>
      <c r="H537" s="2">
        <f t="shared" ca="1" si="61"/>
        <v>2</v>
      </c>
      <c r="I537" s="4">
        <f t="shared" ca="1" si="62"/>
        <v>525101</v>
      </c>
    </row>
    <row r="538" spans="1:9">
      <c r="A538" s="1">
        <v>10000537</v>
      </c>
      <c r="B538" s="3" t="str">
        <f t="shared" ca="1" si="56"/>
        <v>Paschim Medinipur</v>
      </c>
      <c r="C538" s="3" t="str">
        <f t="shared" ca="1" si="57"/>
        <v>Moderate Risk</v>
      </c>
      <c r="D538" s="3" t="str">
        <f t="shared" ca="1" si="58"/>
        <v>Commercial</v>
      </c>
      <c r="E538" s="3" t="str" cm="1">
        <f t="array" aca="1" ref="E538" ca="1">_xlfn.IFS(D538="Industrial", "Reinforced Concrete", D538 = "Commercial", CHOOSE(RANDBETWEEN(1, 2), "Reinforced Concrete", "Unreinforced Masonry"), D538 = "Residential", CHOOSE(RANDBETWEEN(1, 3), "Reinforced Concrete", "Unreinforced Masonry", "Adobe / Light Timber"))</f>
        <v>Reinforced Concrete</v>
      </c>
      <c r="F538" s="3">
        <f t="shared" ca="1" si="59"/>
        <v>1986</v>
      </c>
      <c r="G538" s="3">
        <f t="shared" ca="1" si="60"/>
        <v>2</v>
      </c>
      <c r="H538" s="2">
        <f t="shared" ca="1" si="61"/>
        <v>3</v>
      </c>
      <c r="I538" s="4">
        <f t="shared" ca="1" si="62"/>
        <v>21009785</v>
      </c>
    </row>
    <row r="539" spans="1:9">
      <c r="A539" s="1">
        <v>10000538</v>
      </c>
      <c r="B539" s="3" t="str">
        <f t="shared" ca="1" si="56"/>
        <v>Kolkata</v>
      </c>
      <c r="C539" s="3" t="str">
        <f t="shared" ca="1" si="57"/>
        <v>Moderate Risk</v>
      </c>
      <c r="D539" s="3" t="str">
        <f t="shared" ca="1" si="58"/>
        <v>Residential</v>
      </c>
      <c r="E539" s="3" t="str" cm="1">
        <f t="array" aca="1" ref="E539" ca="1">_xlfn.IFS(D539="Industrial", "Reinforced Concrete", D539 = "Commercial", CHOOSE(RANDBETWEEN(1, 2), "Reinforced Concrete", "Unreinforced Masonry"), D539 = "Residential", CHOOSE(RANDBETWEEN(1, 3), "Reinforced Concrete", "Unreinforced Masonry", "Adobe / Light Timber"))</f>
        <v>Reinforced Concrete</v>
      </c>
      <c r="F539" s="3">
        <f t="shared" ca="1" si="59"/>
        <v>1998</v>
      </c>
      <c r="G539" s="3">
        <f t="shared" ca="1" si="60"/>
        <v>1</v>
      </c>
      <c r="H539" s="2">
        <f t="shared" ca="1" si="61"/>
        <v>5</v>
      </c>
      <c r="I539" s="4">
        <f t="shared" ca="1" si="62"/>
        <v>4164690</v>
      </c>
    </row>
    <row r="540" spans="1:9">
      <c r="A540" s="1">
        <v>10000539</v>
      </c>
      <c r="B540" s="3" t="str">
        <f t="shared" ca="1" si="56"/>
        <v>Malda</v>
      </c>
      <c r="C540" s="3" t="str">
        <f t="shared" ca="1" si="57"/>
        <v>High Risk</v>
      </c>
      <c r="D540" s="3" t="str">
        <f t="shared" ca="1" si="58"/>
        <v>Industrial</v>
      </c>
      <c r="E540" s="3" t="str" cm="1">
        <f t="array" aca="1" ref="E540" ca="1">_xlfn.IFS(D540="Industrial", "Reinforced Concrete", D540 = "Commercial", CHOOSE(RANDBETWEEN(1, 2), "Reinforced Concrete", "Unreinforced Masonry"), D540 = "Residential", CHOOSE(RANDBETWEEN(1, 3), "Reinforced Concrete", "Unreinforced Masonry", "Adobe / Light Timber"))</f>
        <v>Reinforced Concrete</v>
      </c>
      <c r="F540" s="3">
        <f t="shared" ca="1" si="59"/>
        <v>1984</v>
      </c>
      <c r="G540" s="3">
        <f t="shared" ca="1" si="60"/>
        <v>1</v>
      </c>
      <c r="H540" s="2">
        <f t="shared" ca="1" si="61"/>
        <v>3</v>
      </c>
      <c r="I540" s="4">
        <f t="shared" ca="1" si="62"/>
        <v>56891336</v>
      </c>
    </row>
    <row r="541" spans="1:9">
      <c r="A541" s="1">
        <v>10000540</v>
      </c>
      <c r="B541" s="3" t="str">
        <f t="shared" ca="1" si="56"/>
        <v>Malda</v>
      </c>
      <c r="C541" s="3" t="str">
        <f t="shared" ca="1" si="57"/>
        <v>High Risk</v>
      </c>
      <c r="D541" s="3" t="str">
        <f t="shared" ca="1" si="58"/>
        <v>Industrial</v>
      </c>
      <c r="E541" s="3" t="str" cm="1">
        <f t="array" aca="1" ref="E541" ca="1">_xlfn.IFS(D541="Industrial", "Reinforced Concrete", D541 = "Commercial", CHOOSE(RANDBETWEEN(1, 2), "Reinforced Concrete", "Unreinforced Masonry"), D541 = "Residential", CHOOSE(RANDBETWEEN(1, 3), "Reinforced Concrete", "Unreinforced Masonry", "Adobe / Light Timber"))</f>
        <v>Reinforced Concrete</v>
      </c>
      <c r="F541" s="3">
        <f t="shared" ca="1" si="59"/>
        <v>1991</v>
      </c>
      <c r="G541" s="3">
        <f t="shared" ca="1" si="60"/>
        <v>5</v>
      </c>
      <c r="H541" s="2">
        <f t="shared" ca="1" si="61"/>
        <v>4</v>
      </c>
      <c r="I541" s="4">
        <f t="shared" ca="1" si="62"/>
        <v>48223007</v>
      </c>
    </row>
    <row r="542" spans="1:9">
      <c r="A542" s="1">
        <v>10000541</v>
      </c>
      <c r="B542" s="3" t="str">
        <f t="shared" ca="1" si="56"/>
        <v>Malda</v>
      </c>
      <c r="C542" s="3" t="str">
        <f t="shared" ca="1" si="57"/>
        <v>High Risk</v>
      </c>
      <c r="D542" s="3" t="str">
        <f t="shared" ca="1" si="58"/>
        <v>Commercial</v>
      </c>
      <c r="E542" s="3" t="str" cm="1">
        <f t="array" aca="1" ref="E542" ca="1">_xlfn.IFS(D542="Industrial", "Reinforced Concrete", D542 = "Commercial", CHOOSE(RANDBETWEEN(1, 2), "Reinforced Concrete", "Unreinforced Masonry"), D542 = "Residential", CHOOSE(RANDBETWEEN(1, 3), "Reinforced Concrete", "Unreinforced Masonry", "Adobe / Light Timber"))</f>
        <v>Unreinforced Masonry</v>
      </c>
      <c r="F542" s="3">
        <f t="shared" ca="1" si="59"/>
        <v>2008</v>
      </c>
      <c r="G542" s="3">
        <f t="shared" ca="1" si="60"/>
        <v>4</v>
      </c>
      <c r="H542" s="2">
        <f t="shared" ca="1" si="61"/>
        <v>0</v>
      </c>
      <c r="I542" s="4">
        <f t="shared" ca="1" si="62"/>
        <v>26539500</v>
      </c>
    </row>
    <row r="543" spans="1:9">
      <c r="A543" s="1">
        <v>10000542</v>
      </c>
      <c r="B543" s="3" t="str">
        <f t="shared" ca="1" si="56"/>
        <v>Malda</v>
      </c>
      <c r="C543" s="3" t="str">
        <f t="shared" ca="1" si="57"/>
        <v>High Risk</v>
      </c>
      <c r="D543" s="3" t="str">
        <f t="shared" ca="1" si="58"/>
        <v>Commercial</v>
      </c>
      <c r="E543" s="3" t="str" cm="1">
        <f t="array" aca="1" ref="E543" ca="1">_xlfn.IFS(D543="Industrial", "Reinforced Concrete", D543 = "Commercial", CHOOSE(RANDBETWEEN(1, 2), "Reinforced Concrete", "Unreinforced Masonry"), D543 = "Residential", CHOOSE(RANDBETWEEN(1, 3), "Reinforced Concrete", "Unreinforced Masonry", "Adobe / Light Timber"))</f>
        <v>Reinforced Concrete</v>
      </c>
      <c r="F543" s="3">
        <f t="shared" ca="1" si="59"/>
        <v>1997</v>
      </c>
      <c r="G543" s="3">
        <f t="shared" ca="1" si="60"/>
        <v>1</v>
      </c>
      <c r="H543" s="2">
        <f t="shared" ca="1" si="61"/>
        <v>3</v>
      </c>
      <c r="I543" s="4">
        <f t="shared" ca="1" si="62"/>
        <v>15861545</v>
      </c>
    </row>
    <row r="544" spans="1:9">
      <c r="A544" s="1">
        <v>10000543</v>
      </c>
      <c r="B544" s="3" t="str">
        <f t="shared" ca="1" si="56"/>
        <v>Jalpaiguri</v>
      </c>
      <c r="C544" s="3" t="str">
        <f t="shared" ca="1" si="57"/>
        <v>High Risk</v>
      </c>
      <c r="D544" s="3" t="str">
        <f t="shared" ca="1" si="58"/>
        <v>Commercial</v>
      </c>
      <c r="E544" s="3" t="str" cm="1">
        <f t="array" aca="1" ref="E544" ca="1">_xlfn.IFS(D544="Industrial", "Reinforced Concrete", D544 = "Commercial", CHOOSE(RANDBETWEEN(1, 2), "Reinforced Concrete", "Unreinforced Masonry"), D544 = "Residential", CHOOSE(RANDBETWEEN(1, 3), "Reinforced Concrete", "Unreinforced Masonry", "Adobe / Light Timber"))</f>
        <v>Reinforced Concrete</v>
      </c>
      <c r="F544" s="3">
        <f t="shared" ca="1" si="59"/>
        <v>2001</v>
      </c>
      <c r="G544" s="3">
        <f t="shared" ca="1" si="60"/>
        <v>5</v>
      </c>
      <c r="H544" s="2">
        <f t="shared" ca="1" si="61"/>
        <v>3</v>
      </c>
      <c r="I544" s="4">
        <f t="shared" ca="1" si="62"/>
        <v>13841096</v>
      </c>
    </row>
    <row r="545" spans="1:9">
      <c r="A545" s="1">
        <v>10000544</v>
      </c>
      <c r="B545" s="3" t="str">
        <f t="shared" ca="1" si="56"/>
        <v>Kolkata</v>
      </c>
      <c r="C545" s="3" t="str">
        <f t="shared" ca="1" si="57"/>
        <v>Moderate Risk</v>
      </c>
      <c r="D545" s="3" t="str">
        <f t="shared" ca="1" si="58"/>
        <v>Residential</v>
      </c>
      <c r="E545" s="3" t="str" cm="1">
        <f t="array" aca="1" ref="E545" ca="1">_xlfn.IFS(D545="Industrial", "Reinforced Concrete", D545 = "Commercial", CHOOSE(RANDBETWEEN(1, 2), "Reinforced Concrete", "Unreinforced Masonry"), D545 = "Residential", CHOOSE(RANDBETWEEN(1, 3), "Reinforced Concrete", "Unreinforced Masonry", "Adobe / Light Timber"))</f>
        <v>Reinforced Concrete</v>
      </c>
      <c r="F545" s="3">
        <f t="shared" ca="1" si="59"/>
        <v>2004</v>
      </c>
      <c r="G545" s="3">
        <f t="shared" ca="1" si="60"/>
        <v>1</v>
      </c>
      <c r="H545" s="2">
        <f t="shared" ca="1" si="61"/>
        <v>4</v>
      </c>
      <c r="I545" s="4">
        <f t="shared" ca="1" si="62"/>
        <v>4118250</v>
      </c>
    </row>
    <row r="546" spans="1:9">
      <c r="A546" s="1">
        <v>10000545</v>
      </c>
      <c r="B546" s="3" t="str">
        <f t="shared" ca="1" si="56"/>
        <v>Jalpaiguri</v>
      </c>
      <c r="C546" s="3" t="str">
        <f t="shared" ca="1" si="57"/>
        <v>High Risk</v>
      </c>
      <c r="D546" s="3" t="str">
        <f t="shared" ca="1" si="58"/>
        <v>Industrial</v>
      </c>
      <c r="E546" s="3" t="str" cm="1">
        <f t="array" aca="1" ref="E546" ca="1">_xlfn.IFS(D546="Industrial", "Reinforced Concrete", D546 = "Commercial", CHOOSE(RANDBETWEEN(1, 2), "Reinforced Concrete", "Unreinforced Masonry"), D546 = "Residential", CHOOSE(RANDBETWEEN(1, 3), "Reinforced Concrete", "Unreinforced Masonry", "Adobe / Light Timber"))</f>
        <v>Reinforced Concrete</v>
      </c>
      <c r="F546" s="3">
        <f t="shared" ca="1" si="59"/>
        <v>1984</v>
      </c>
      <c r="G546" s="3">
        <f t="shared" ca="1" si="60"/>
        <v>3</v>
      </c>
      <c r="H546" s="2">
        <f t="shared" ca="1" si="61"/>
        <v>3</v>
      </c>
      <c r="I546" s="4">
        <f t="shared" ca="1" si="62"/>
        <v>51616312</v>
      </c>
    </row>
    <row r="547" spans="1:9">
      <c r="A547" s="1">
        <v>10000546</v>
      </c>
      <c r="B547" s="3" t="str">
        <f t="shared" ca="1" si="56"/>
        <v>Kolkata</v>
      </c>
      <c r="C547" s="3" t="str">
        <f t="shared" ca="1" si="57"/>
        <v>Moderate Risk</v>
      </c>
      <c r="D547" s="3" t="str">
        <f t="shared" ca="1" si="58"/>
        <v>Residential</v>
      </c>
      <c r="E547" s="3" t="str" cm="1">
        <f t="array" aca="1" ref="E547" ca="1">_xlfn.IFS(D547="Industrial", "Reinforced Concrete", D547 = "Commercial", CHOOSE(RANDBETWEEN(1, 2), "Reinforced Concrete", "Unreinforced Masonry"), D547 = "Residential", CHOOSE(RANDBETWEEN(1, 3), "Reinforced Concrete", "Unreinforced Masonry", "Adobe / Light Timber"))</f>
        <v>Adobe / Light Timber</v>
      </c>
      <c r="F547" s="3">
        <f t="shared" ca="1" si="59"/>
        <v>2006</v>
      </c>
      <c r="G547" s="3">
        <f t="shared" ca="1" si="60"/>
        <v>1</v>
      </c>
      <c r="H547" s="2">
        <f t="shared" ca="1" si="61"/>
        <v>2</v>
      </c>
      <c r="I547" s="4">
        <f t="shared" ca="1" si="62"/>
        <v>382891</v>
      </c>
    </row>
    <row r="548" spans="1:9">
      <c r="A548" s="1">
        <v>10000547</v>
      </c>
      <c r="B548" s="3" t="str">
        <f t="shared" ca="1" si="56"/>
        <v>Malda</v>
      </c>
      <c r="C548" s="3" t="str">
        <f t="shared" ca="1" si="57"/>
        <v>High Risk</v>
      </c>
      <c r="D548" s="3" t="str">
        <f t="shared" ca="1" si="58"/>
        <v>Industrial</v>
      </c>
      <c r="E548" s="3" t="str" cm="1">
        <f t="array" aca="1" ref="E548" ca="1">_xlfn.IFS(D548="Industrial", "Reinforced Concrete", D548 = "Commercial", CHOOSE(RANDBETWEEN(1, 2), "Reinforced Concrete", "Unreinforced Masonry"), D548 = "Residential", CHOOSE(RANDBETWEEN(1, 3), "Reinforced Concrete", "Unreinforced Masonry", "Adobe / Light Timber"))</f>
        <v>Reinforced Concrete</v>
      </c>
      <c r="F548" s="3">
        <f t="shared" ca="1" si="59"/>
        <v>2019</v>
      </c>
      <c r="G548" s="3">
        <f t="shared" ca="1" si="60"/>
        <v>1</v>
      </c>
      <c r="H548" s="2">
        <f t="shared" ca="1" si="61"/>
        <v>5</v>
      </c>
      <c r="I548" s="4">
        <f t="shared" ca="1" si="62"/>
        <v>48779248</v>
      </c>
    </row>
    <row r="549" spans="1:9">
      <c r="A549" s="1">
        <v>10000548</v>
      </c>
      <c r="B549" s="3" t="str">
        <f t="shared" ca="1" si="56"/>
        <v>South 24 Parganas</v>
      </c>
      <c r="C549" s="3" t="str">
        <f t="shared" ca="1" si="57"/>
        <v>High Risk</v>
      </c>
      <c r="D549" s="3" t="str">
        <f t="shared" ca="1" si="58"/>
        <v>Commercial</v>
      </c>
      <c r="E549" s="3" t="str" cm="1">
        <f t="array" aca="1" ref="E549" ca="1">_xlfn.IFS(D549="Industrial", "Reinforced Concrete", D549 = "Commercial", CHOOSE(RANDBETWEEN(1, 2), "Reinforced Concrete", "Unreinforced Masonry"), D549 = "Residential", CHOOSE(RANDBETWEEN(1, 3), "Reinforced Concrete", "Unreinforced Masonry", "Adobe / Light Timber"))</f>
        <v>Reinforced Concrete</v>
      </c>
      <c r="F549" s="3">
        <f t="shared" ca="1" si="59"/>
        <v>2016</v>
      </c>
      <c r="G549" s="3">
        <f t="shared" ca="1" si="60"/>
        <v>3</v>
      </c>
      <c r="H549" s="2">
        <f t="shared" ca="1" si="61"/>
        <v>5</v>
      </c>
      <c r="I549" s="4">
        <f t="shared" ca="1" si="62"/>
        <v>23857848</v>
      </c>
    </row>
    <row r="550" spans="1:9">
      <c r="A550" s="1">
        <v>10000549</v>
      </c>
      <c r="B550" s="3" t="str">
        <f t="shared" ca="1" si="56"/>
        <v>Paschim Medinipur</v>
      </c>
      <c r="C550" s="3" t="str">
        <f t="shared" ca="1" si="57"/>
        <v>Moderate Risk</v>
      </c>
      <c r="D550" s="3" t="str">
        <f t="shared" ca="1" si="58"/>
        <v>Commercial</v>
      </c>
      <c r="E550" s="3" t="str" cm="1">
        <f t="array" aca="1" ref="E550" ca="1">_xlfn.IFS(D550="Industrial", "Reinforced Concrete", D550 = "Commercial", CHOOSE(RANDBETWEEN(1, 2), "Reinforced Concrete", "Unreinforced Masonry"), D550 = "Residential", CHOOSE(RANDBETWEEN(1, 3), "Reinforced Concrete", "Unreinforced Masonry", "Adobe / Light Timber"))</f>
        <v>Unreinforced Masonry</v>
      </c>
      <c r="F550" s="3">
        <f t="shared" ca="1" si="59"/>
        <v>1982</v>
      </c>
      <c r="G550" s="3">
        <f t="shared" ca="1" si="60"/>
        <v>3</v>
      </c>
      <c r="H550" s="2">
        <f t="shared" ca="1" si="61"/>
        <v>2</v>
      </c>
      <c r="I550" s="4">
        <f t="shared" ca="1" si="62"/>
        <v>18310729</v>
      </c>
    </row>
    <row r="551" spans="1:9">
      <c r="A551" s="1">
        <v>10000550</v>
      </c>
      <c r="B551" s="3" t="str">
        <f t="shared" ca="1" si="56"/>
        <v>Malda</v>
      </c>
      <c r="C551" s="3" t="str">
        <f t="shared" ca="1" si="57"/>
        <v>High Risk</v>
      </c>
      <c r="D551" s="3" t="str">
        <f t="shared" ca="1" si="58"/>
        <v>Residential</v>
      </c>
      <c r="E551" s="3" t="str" cm="1">
        <f t="array" aca="1" ref="E551" ca="1">_xlfn.IFS(D551="Industrial", "Reinforced Concrete", D551 = "Commercial", CHOOSE(RANDBETWEEN(1, 2), "Reinforced Concrete", "Unreinforced Masonry"), D551 = "Residential", CHOOSE(RANDBETWEEN(1, 3), "Reinforced Concrete", "Unreinforced Masonry", "Adobe / Light Timber"))</f>
        <v>Adobe / Light Timber</v>
      </c>
      <c r="F551" s="3">
        <f t="shared" ca="1" si="59"/>
        <v>1991</v>
      </c>
      <c r="G551" s="3">
        <f t="shared" ca="1" si="60"/>
        <v>1</v>
      </c>
      <c r="H551" s="2">
        <f t="shared" ca="1" si="61"/>
        <v>1</v>
      </c>
      <c r="I551" s="4">
        <f t="shared" ca="1" si="62"/>
        <v>583307</v>
      </c>
    </row>
    <row r="552" spans="1:9">
      <c r="A552" s="1">
        <v>10000551</v>
      </c>
      <c r="B552" s="3" t="str">
        <f t="shared" ca="1" si="56"/>
        <v>Kolkata</v>
      </c>
      <c r="C552" s="3" t="str">
        <f t="shared" ca="1" si="57"/>
        <v>Moderate Risk</v>
      </c>
      <c r="D552" s="3" t="str">
        <f t="shared" ca="1" si="58"/>
        <v>Industrial</v>
      </c>
      <c r="E552" s="3" t="str" cm="1">
        <f t="array" aca="1" ref="E552" ca="1">_xlfn.IFS(D552="Industrial", "Reinforced Concrete", D552 = "Commercial", CHOOSE(RANDBETWEEN(1, 2), "Reinforced Concrete", "Unreinforced Masonry"), D552 = "Residential", CHOOSE(RANDBETWEEN(1, 3), "Reinforced Concrete", "Unreinforced Masonry", "Adobe / Light Timber"))</f>
        <v>Reinforced Concrete</v>
      </c>
      <c r="F552" s="3">
        <f t="shared" ca="1" si="59"/>
        <v>2017</v>
      </c>
      <c r="G552" s="3">
        <f t="shared" ca="1" si="60"/>
        <v>2</v>
      </c>
      <c r="H552" s="2">
        <f t="shared" ca="1" si="61"/>
        <v>4</v>
      </c>
      <c r="I552" s="4">
        <f t="shared" ca="1" si="62"/>
        <v>58037612</v>
      </c>
    </row>
    <row r="553" spans="1:9">
      <c r="A553" s="1">
        <v>10000552</v>
      </c>
      <c r="B553" s="3" t="str">
        <f t="shared" ca="1" si="56"/>
        <v>Hooghly</v>
      </c>
      <c r="C553" s="3" t="str">
        <f t="shared" ca="1" si="57"/>
        <v>Moderate Risk</v>
      </c>
      <c r="D553" s="3" t="str">
        <f t="shared" ca="1" si="58"/>
        <v>Industrial</v>
      </c>
      <c r="E553" s="3" t="str" cm="1">
        <f t="array" aca="1" ref="E553" ca="1">_xlfn.IFS(D553="Industrial", "Reinforced Concrete", D553 = "Commercial", CHOOSE(RANDBETWEEN(1, 2), "Reinforced Concrete", "Unreinforced Masonry"), D553 = "Residential", CHOOSE(RANDBETWEEN(1, 3), "Reinforced Concrete", "Unreinforced Masonry", "Adobe / Light Timber"))</f>
        <v>Reinforced Concrete</v>
      </c>
      <c r="F553" s="3">
        <f t="shared" ca="1" si="59"/>
        <v>2019</v>
      </c>
      <c r="G553" s="3">
        <f t="shared" ca="1" si="60"/>
        <v>4</v>
      </c>
      <c r="H553" s="2">
        <f t="shared" ca="1" si="61"/>
        <v>5</v>
      </c>
      <c r="I553" s="4">
        <f t="shared" ca="1" si="62"/>
        <v>46079786</v>
      </c>
    </row>
    <row r="554" spans="1:9">
      <c r="A554" s="1">
        <v>10000553</v>
      </c>
      <c r="B554" s="3" t="str">
        <f t="shared" ca="1" si="56"/>
        <v>Hooghly</v>
      </c>
      <c r="C554" s="3" t="str">
        <f t="shared" ca="1" si="57"/>
        <v>Moderate Risk</v>
      </c>
      <c r="D554" s="3" t="str">
        <f t="shared" ca="1" si="58"/>
        <v>Residential</v>
      </c>
      <c r="E554" s="3" t="str" cm="1">
        <f t="array" aca="1" ref="E554" ca="1">_xlfn.IFS(D554="Industrial", "Reinforced Concrete", D554 = "Commercial", CHOOSE(RANDBETWEEN(1, 2), "Reinforced Concrete", "Unreinforced Masonry"), D554 = "Residential", CHOOSE(RANDBETWEEN(1, 3), "Reinforced Concrete", "Unreinforced Masonry", "Adobe / Light Timber"))</f>
        <v>Unreinforced Masonry</v>
      </c>
      <c r="F554" s="3">
        <f t="shared" ca="1" si="59"/>
        <v>2018</v>
      </c>
      <c r="G554" s="3">
        <f t="shared" ca="1" si="60"/>
        <v>1</v>
      </c>
      <c r="H554" s="2">
        <f t="shared" ca="1" si="61"/>
        <v>1</v>
      </c>
      <c r="I554" s="4">
        <f t="shared" ca="1" si="62"/>
        <v>3177325</v>
      </c>
    </row>
    <row r="555" spans="1:9">
      <c r="A555" s="1">
        <v>10000554</v>
      </c>
      <c r="B555" s="3" t="str">
        <f t="shared" ca="1" si="56"/>
        <v>South 24 Parganas</v>
      </c>
      <c r="C555" s="3" t="str">
        <f t="shared" ca="1" si="57"/>
        <v>High Risk</v>
      </c>
      <c r="D555" s="3" t="str">
        <f t="shared" ca="1" si="58"/>
        <v>Industrial</v>
      </c>
      <c r="E555" s="3" t="str" cm="1">
        <f t="array" aca="1" ref="E555" ca="1">_xlfn.IFS(D555="Industrial", "Reinforced Concrete", D555 = "Commercial", CHOOSE(RANDBETWEEN(1, 2), "Reinforced Concrete", "Unreinforced Masonry"), D555 = "Residential", CHOOSE(RANDBETWEEN(1, 3), "Reinforced Concrete", "Unreinforced Masonry", "Adobe / Light Timber"))</f>
        <v>Reinforced Concrete</v>
      </c>
      <c r="F555" s="3">
        <f t="shared" ca="1" si="59"/>
        <v>2015</v>
      </c>
      <c r="G555" s="3">
        <f t="shared" ca="1" si="60"/>
        <v>3</v>
      </c>
      <c r="H555" s="2">
        <f t="shared" ca="1" si="61"/>
        <v>5</v>
      </c>
      <c r="I555" s="4">
        <f t="shared" ca="1" si="62"/>
        <v>56412723</v>
      </c>
    </row>
    <row r="556" spans="1:9">
      <c r="A556" s="1">
        <v>10000555</v>
      </c>
      <c r="B556" s="3" t="str">
        <f t="shared" ca="1" si="56"/>
        <v>Kolkata</v>
      </c>
      <c r="C556" s="3" t="str">
        <f t="shared" ca="1" si="57"/>
        <v>Moderate Risk</v>
      </c>
      <c r="D556" s="3" t="str">
        <f t="shared" ca="1" si="58"/>
        <v>Residential</v>
      </c>
      <c r="E556" s="3" t="str" cm="1">
        <f t="array" aca="1" ref="E556" ca="1">_xlfn.IFS(D556="Industrial", "Reinforced Concrete", D556 = "Commercial", CHOOSE(RANDBETWEEN(1, 2), "Reinforced Concrete", "Unreinforced Masonry"), D556 = "Residential", CHOOSE(RANDBETWEEN(1, 3), "Reinforced Concrete", "Unreinforced Masonry", "Adobe / Light Timber"))</f>
        <v>Adobe / Light Timber</v>
      </c>
      <c r="F556" s="3">
        <f t="shared" ca="1" si="59"/>
        <v>2013</v>
      </c>
      <c r="G556" s="3">
        <f t="shared" ca="1" si="60"/>
        <v>1</v>
      </c>
      <c r="H556" s="2">
        <f t="shared" ca="1" si="61"/>
        <v>1</v>
      </c>
      <c r="I556" s="4">
        <f t="shared" ca="1" si="62"/>
        <v>567290</v>
      </c>
    </row>
    <row r="557" spans="1:9">
      <c r="A557" s="1">
        <v>10000556</v>
      </c>
      <c r="B557" s="3" t="str">
        <f t="shared" ca="1" si="56"/>
        <v>Hooghly</v>
      </c>
      <c r="C557" s="3" t="str">
        <f t="shared" ca="1" si="57"/>
        <v>Moderate Risk</v>
      </c>
      <c r="D557" s="3" t="str">
        <f t="shared" ca="1" si="58"/>
        <v>Industrial</v>
      </c>
      <c r="E557" s="3" t="str" cm="1">
        <f t="array" aca="1" ref="E557" ca="1">_xlfn.IFS(D557="Industrial", "Reinforced Concrete", D557 = "Commercial", CHOOSE(RANDBETWEEN(1, 2), "Reinforced Concrete", "Unreinforced Masonry"), D557 = "Residential", CHOOSE(RANDBETWEEN(1, 3), "Reinforced Concrete", "Unreinforced Masonry", "Adobe / Light Timber"))</f>
        <v>Reinforced Concrete</v>
      </c>
      <c r="F557" s="3">
        <f t="shared" ca="1" si="59"/>
        <v>2008</v>
      </c>
      <c r="G557" s="3">
        <f t="shared" ca="1" si="60"/>
        <v>5</v>
      </c>
      <c r="H557" s="2">
        <f t="shared" ca="1" si="61"/>
        <v>4</v>
      </c>
      <c r="I557" s="4">
        <f t="shared" ca="1" si="62"/>
        <v>55174309</v>
      </c>
    </row>
    <row r="558" spans="1:9">
      <c r="A558" s="1">
        <v>10000557</v>
      </c>
      <c r="B558" s="3" t="str">
        <f t="shared" ca="1" si="56"/>
        <v>Hooghly</v>
      </c>
      <c r="C558" s="3" t="str">
        <f t="shared" ca="1" si="57"/>
        <v>Moderate Risk</v>
      </c>
      <c r="D558" s="3" t="str">
        <f t="shared" ca="1" si="58"/>
        <v>Residential</v>
      </c>
      <c r="E558" s="3" t="str" cm="1">
        <f t="array" aca="1" ref="E558" ca="1">_xlfn.IFS(D558="Industrial", "Reinforced Concrete", D558 = "Commercial", CHOOSE(RANDBETWEEN(1, 2), "Reinforced Concrete", "Unreinforced Masonry"), D558 = "Residential", CHOOSE(RANDBETWEEN(1, 3), "Reinforced Concrete", "Unreinforced Masonry", "Adobe / Light Timber"))</f>
        <v>Reinforced Concrete</v>
      </c>
      <c r="F558" s="3">
        <f t="shared" ca="1" si="59"/>
        <v>1991</v>
      </c>
      <c r="G558" s="3">
        <f t="shared" ca="1" si="60"/>
        <v>2</v>
      </c>
      <c r="H558" s="2">
        <f t="shared" ca="1" si="61"/>
        <v>5</v>
      </c>
      <c r="I558" s="4">
        <f t="shared" ca="1" si="62"/>
        <v>6267764</v>
      </c>
    </row>
    <row r="559" spans="1:9">
      <c r="A559" s="1">
        <v>10000558</v>
      </c>
      <c r="B559" s="3" t="str">
        <f t="shared" ca="1" si="56"/>
        <v>Hooghly</v>
      </c>
      <c r="C559" s="3" t="str">
        <f t="shared" ca="1" si="57"/>
        <v>Moderate Risk</v>
      </c>
      <c r="D559" s="3" t="str">
        <f t="shared" ca="1" si="58"/>
        <v>Commercial</v>
      </c>
      <c r="E559" s="3" t="str" cm="1">
        <f t="array" aca="1" ref="E559" ca="1">_xlfn.IFS(D559="Industrial", "Reinforced Concrete", D559 = "Commercial", CHOOSE(RANDBETWEEN(1, 2), "Reinforced Concrete", "Unreinforced Masonry"), D559 = "Residential", CHOOSE(RANDBETWEEN(1, 3), "Reinforced Concrete", "Unreinforced Masonry", "Adobe / Light Timber"))</f>
        <v>Reinforced Concrete</v>
      </c>
      <c r="F559" s="3">
        <f t="shared" ca="1" si="59"/>
        <v>2016</v>
      </c>
      <c r="G559" s="3">
        <f t="shared" ca="1" si="60"/>
        <v>4</v>
      </c>
      <c r="H559" s="2">
        <f t="shared" ca="1" si="61"/>
        <v>3</v>
      </c>
      <c r="I559" s="4">
        <f t="shared" ca="1" si="62"/>
        <v>16278751</v>
      </c>
    </row>
    <row r="560" spans="1:9">
      <c r="A560" s="1">
        <v>10000559</v>
      </c>
      <c r="B560" s="3" t="str">
        <f t="shared" ca="1" si="56"/>
        <v>South 24 Parganas</v>
      </c>
      <c r="C560" s="3" t="str">
        <f t="shared" ca="1" si="57"/>
        <v>High Risk</v>
      </c>
      <c r="D560" s="3" t="str">
        <f t="shared" ca="1" si="58"/>
        <v>Commercial</v>
      </c>
      <c r="E560" s="3" t="str" cm="1">
        <f t="array" aca="1" ref="E560" ca="1">_xlfn.IFS(D560="Industrial", "Reinforced Concrete", D560 = "Commercial", CHOOSE(RANDBETWEEN(1, 2), "Reinforced Concrete", "Unreinforced Masonry"), D560 = "Residential", CHOOSE(RANDBETWEEN(1, 3), "Reinforced Concrete", "Unreinforced Masonry", "Adobe / Light Timber"))</f>
        <v>Unreinforced Masonry</v>
      </c>
      <c r="F560" s="3">
        <f t="shared" ca="1" si="59"/>
        <v>2008</v>
      </c>
      <c r="G560" s="3">
        <f t="shared" ca="1" si="60"/>
        <v>5</v>
      </c>
      <c r="H560" s="2">
        <f t="shared" ca="1" si="61"/>
        <v>1</v>
      </c>
      <c r="I560" s="4">
        <f t="shared" ca="1" si="62"/>
        <v>13318930</v>
      </c>
    </row>
    <row r="561" spans="1:9">
      <c r="A561" s="1">
        <v>10000560</v>
      </c>
      <c r="B561" s="3" t="str">
        <f t="shared" ca="1" si="56"/>
        <v>Hooghly</v>
      </c>
      <c r="C561" s="3" t="str">
        <f t="shared" ca="1" si="57"/>
        <v>Moderate Risk</v>
      </c>
      <c r="D561" s="3" t="str">
        <f t="shared" ca="1" si="58"/>
        <v>Residential</v>
      </c>
      <c r="E561" s="3" t="str" cm="1">
        <f t="array" aca="1" ref="E561" ca="1">_xlfn.IFS(D561="Industrial", "Reinforced Concrete", D561 = "Commercial", CHOOSE(RANDBETWEEN(1, 2), "Reinforced Concrete", "Unreinforced Masonry"), D561 = "Residential", CHOOSE(RANDBETWEEN(1, 3), "Reinforced Concrete", "Unreinforced Masonry", "Adobe / Light Timber"))</f>
        <v>Reinforced Concrete</v>
      </c>
      <c r="F561" s="3">
        <f t="shared" ca="1" si="59"/>
        <v>1991</v>
      </c>
      <c r="G561" s="3">
        <f t="shared" ca="1" si="60"/>
        <v>4</v>
      </c>
      <c r="H561" s="2">
        <f t="shared" ca="1" si="61"/>
        <v>4</v>
      </c>
      <c r="I561" s="4">
        <f t="shared" ca="1" si="62"/>
        <v>3783776</v>
      </c>
    </row>
    <row r="562" spans="1:9">
      <c r="A562" s="1">
        <v>10000561</v>
      </c>
      <c r="B562" s="3" t="str">
        <f t="shared" ca="1" si="56"/>
        <v>Kolkata</v>
      </c>
      <c r="C562" s="3" t="str">
        <f t="shared" ca="1" si="57"/>
        <v>Moderate Risk</v>
      </c>
      <c r="D562" s="3" t="str">
        <f t="shared" ca="1" si="58"/>
        <v>Residential</v>
      </c>
      <c r="E562" s="3" t="str" cm="1">
        <f t="array" aca="1" ref="E562" ca="1">_xlfn.IFS(D562="Industrial", "Reinforced Concrete", D562 = "Commercial", CHOOSE(RANDBETWEEN(1, 2), "Reinforced Concrete", "Unreinforced Masonry"), D562 = "Residential", CHOOSE(RANDBETWEEN(1, 3), "Reinforced Concrete", "Unreinforced Masonry", "Adobe / Light Timber"))</f>
        <v>Adobe / Light Timber</v>
      </c>
      <c r="F562" s="3">
        <f t="shared" ca="1" si="59"/>
        <v>2016</v>
      </c>
      <c r="G562" s="3">
        <f t="shared" ca="1" si="60"/>
        <v>1</v>
      </c>
      <c r="H562" s="2">
        <f t="shared" ca="1" si="61"/>
        <v>0</v>
      </c>
      <c r="I562" s="4">
        <f t="shared" ca="1" si="62"/>
        <v>603275</v>
      </c>
    </row>
    <row r="563" spans="1:9">
      <c r="A563" s="1">
        <v>10000562</v>
      </c>
      <c r="B563" s="3" t="str">
        <f t="shared" ca="1" si="56"/>
        <v>Hooghly</v>
      </c>
      <c r="C563" s="3" t="str">
        <f t="shared" ca="1" si="57"/>
        <v>Moderate Risk</v>
      </c>
      <c r="D563" s="3" t="str">
        <f t="shared" ca="1" si="58"/>
        <v>Commercial</v>
      </c>
      <c r="E563" s="3" t="str" cm="1">
        <f t="array" aca="1" ref="E563" ca="1">_xlfn.IFS(D563="Industrial", "Reinforced Concrete", D563 = "Commercial", CHOOSE(RANDBETWEEN(1, 2), "Reinforced Concrete", "Unreinforced Masonry"), D563 = "Residential", CHOOSE(RANDBETWEEN(1, 3), "Reinforced Concrete", "Unreinforced Masonry", "Adobe / Light Timber"))</f>
        <v>Reinforced Concrete</v>
      </c>
      <c r="F563" s="3">
        <f t="shared" ca="1" si="59"/>
        <v>2019</v>
      </c>
      <c r="G563" s="3">
        <f t="shared" ca="1" si="60"/>
        <v>3</v>
      </c>
      <c r="H563" s="2">
        <f t="shared" ca="1" si="61"/>
        <v>3</v>
      </c>
      <c r="I563" s="4">
        <f t="shared" ca="1" si="62"/>
        <v>11714148</v>
      </c>
    </row>
    <row r="564" spans="1:9">
      <c r="A564" s="1">
        <v>10000563</v>
      </c>
      <c r="B564" s="3" t="str">
        <f t="shared" ca="1" si="56"/>
        <v>Malda</v>
      </c>
      <c r="C564" s="3" t="str">
        <f t="shared" ca="1" si="57"/>
        <v>High Risk</v>
      </c>
      <c r="D564" s="3" t="str">
        <f t="shared" ca="1" si="58"/>
        <v>Commercial</v>
      </c>
      <c r="E564" s="3" t="str" cm="1">
        <f t="array" aca="1" ref="E564" ca="1">_xlfn.IFS(D564="Industrial", "Reinforced Concrete", D564 = "Commercial", CHOOSE(RANDBETWEEN(1, 2), "Reinforced Concrete", "Unreinforced Masonry"), D564 = "Residential", CHOOSE(RANDBETWEEN(1, 3), "Reinforced Concrete", "Unreinforced Masonry", "Adobe / Light Timber"))</f>
        <v>Reinforced Concrete</v>
      </c>
      <c r="F564" s="3">
        <f t="shared" ca="1" si="59"/>
        <v>2010</v>
      </c>
      <c r="G564" s="3">
        <f t="shared" ca="1" si="60"/>
        <v>5</v>
      </c>
      <c r="H564" s="2">
        <f t="shared" ca="1" si="61"/>
        <v>5</v>
      </c>
      <c r="I564" s="4">
        <f t="shared" ca="1" si="62"/>
        <v>20346161</v>
      </c>
    </row>
    <row r="565" spans="1:9">
      <c r="A565" s="1">
        <v>10000564</v>
      </c>
      <c r="B565" s="3" t="str">
        <f t="shared" ca="1" si="56"/>
        <v>Hooghly</v>
      </c>
      <c r="C565" s="3" t="str">
        <f t="shared" ca="1" si="57"/>
        <v>Moderate Risk</v>
      </c>
      <c r="D565" s="3" t="str">
        <f t="shared" ca="1" si="58"/>
        <v>Commercial</v>
      </c>
      <c r="E565" s="3" t="str" cm="1">
        <f t="array" aca="1" ref="E565" ca="1">_xlfn.IFS(D565="Industrial", "Reinforced Concrete", D565 = "Commercial", CHOOSE(RANDBETWEEN(1, 2), "Reinforced Concrete", "Unreinforced Masonry"), D565 = "Residential", CHOOSE(RANDBETWEEN(1, 3), "Reinforced Concrete", "Unreinforced Masonry", "Adobe / Light Timber"))</f>
        <v>Reinforced Concrete</v>
      </c>
      <c r="F565" s="3">
        <f t="shared" ca="1" si="59"/>
        <v>1989</v>
      </c>
      <c r="G565" s="3">
        <f t="shared" ca="1" si="60"/>
        <v>3</v>
      </c>
      <c r="H565" s="2">
        <f t="shared" ca="1" si="61"/>
        <v>5</v>
      </c>
      <c r="I565" s="4">
        <f t="shared" ca="1" si="62"/>
        <v>17224507</v>
      </c>
    </row>
    <row r="566" spans="1:9">
      <c r="A566" s="1">
        <v>10000565</v>
      </c>
      <c r="B566" s="3" t="str">
        <f t="shared" ca="1" si="56"/>
        <v>Jalpaiguri</v>
      </c>
      <c r="C566" s="3" t="str">
        <f t="shared" ca="1" si="57"/>
        <v>High Risk</v>
      </c>
      <c r="D566" s="3" t="str">
        <f t="shared" ca="1" si="58"/>
        <v>Industrial</v>
      </c>
      <c r="E566" s="3" t="str" cm="1">
        <f t="array" aca="1" ref="E566" ca="1">_xlfn.IFS(D566="Industrial", "Reinforced Concrete", D566 = "Commercial", CHOOSE(RANDBETWEEN(1, 2), "Reinforced Concrete", "Unreinforced Masonry"), D566 = "Residential", CHOOSE(RANDBETWEEN(1, 3), "Reinforced Concrete", "Unreinforced Masonry", "Adobe / Light Timber"))</f>
        <v>Reinforced Concrete</v>
      </c>
      <c r="F566" s="3">
        <f t="shared" ca="1" si="59"/>
        <v>1994</v>
      </c>
      <c r="G566" s="3">
        <f t="shared" ca="1" si="60"/>
        <v>3</v>
      </c>
      <c r="H566" s="2">
        <f t="shared" ca="1" si="61"/>
        <v>5</v>
      </c>
      <c r="I566" s="4">
        <f t="shared" ca="1" si="62"/>
        <v>54003517</v>
      </c>
    </row>
    <row r="567" spans="1:9">
      <c r="A567" s="1">
        <v>10000566</v>
      </c>
      <c r="B567" s="3" t="str">
        <f t="shared" ca="1" si="56"/>
        <v>South 24 Parganas</v>
      </c>
      <c r="C567" s="3" t="str">
        <f t="shared" ca="1" si="57"/>
        <v>High Risk</v>
      </c>
      <c r="D567" s="3" t="str">
        <f t="shared" ca="1" si="58"/>
        <v>Residential</v>
      </c>
      <c r="E567" s="3" t="str" cm="1">
        <f t="array" aca="1" ref="E567" ca="1">_xlfn.IFS(D567="Industrial", "Reinforced Concrete", D567 = "Commercial", CHOOSE(RANDBETWEEN(1, 2), "Reinforced Concrete", "Unreinforced Masonry"), D567 = "Residential", CHOOSE(RANDBETWEEN(1, 3), "Reinforced Concrete", "Unreinforced Masonry", "Adobe / Light Timber"))</f>
        <v>Reinforced Concrete</v>
      </c>
      <c r="F567" s="3">
        <f t="shared" ca="1" si="59"/>
        <v>2005</v>
      </c>
      <c r="G567" s="3">
        <f t="shared" ca="1" si="60"/>
        <v>4</v>
      </c>
      <c r="H567" s="2">
        <f t="shared" ca="1" si="61"/>
        <v>5</v>
      </c>
      <c r="I567" s="4">
        <f t="shared" ca="1" si="62"/>
        <v>3113230</v>
      </c>
    </row>
    <row r="568" spans="1:9">
      <c r="A568" s="1">
        <v>10000567</v>
      </c>
      <c r="B568" s="3" t="str">
        <f t="shared" ca="1" si="56"/>
        <v>Hooghly</v>
      </c>
      <c r="C568" s="3" t="str">
        <f t="shared" ca="1" si="57"/>
        <v>Moderate Risk</v>
      </c>
      <c r="D568" s="3" t="str">
        <f t="shared" ca="1" si="58"/>
        <v>Residential</v>
      </c>
      <c r="E568" s="3" t="str" cm="1">
        <f t="array" aca="1" ref="E568" ca="1">_xlfn.IFS(D568="Industrial", "Reinforced Concrete", D568 = "Commercial", CHOOSE(RANDBETWEEN(1, 2), "Reinforced Concrete", "Unreinforced Masonry"), D568 = "Residential", CHOOSE(RANDBETWEEN(1, 3), "Reinforced Concrete", "Unreinforced Masonry", "Adobe / Light Timber"))</f>
        <v>Reinforced Concrete</v>
      </c>
      <c r="F568" s="3">
        <f t="shared" ca="1" si="59"/>
        <v>2012</v>
      </c>
      <c r="G568" s="3">
        <f t="shared" ca="1" si="60"/>
        <v>3</v>
      </c>
      <c r="H568" s="2">
        <f t="shared" ca="1" si="61"/>
        <v>3</v>
      </c>
      <c r="I568" s="4">
        <f t="shared" ca="1" si="62"/>
        <v>1657288</v>
      </c>
    </row>
    <row r="569" spans="1:9">
      <c r="A569" s="1">
        <v>10000568</v>
      </c>
      <c r="B569" s="3" t="str">
        <f t="shared" ca="1" si="56"/>
        <v>Malda</v>
      </c>
      <c r="C569" s="3" t="str">
        <f t="shared" ca="1" si="57"/>
        <v>High Risk</v>
      </c>
      <c r="D569" s="3" t="str">
        <f t="shared" ca="1" si="58"/>
        <v>Residential</v>
      </c>
      <c r="E569" s="3" t="str" cm="1">
        <f t="array" aca="1" ref="E569" ca="1">_xlfn.IFS(D569="Industrial", "Reinforced Concrete", D569 = "Commercial", CHOOSE(RANDBETWEEN(1, 2), "Reinforced Concrete", "Unreinforced Masonry"), D569 = "Residential", CHOOSE(RANDBETWEEN(1, 3), "Reinforced Concrete", "Unreinforced Masonry", "Adobe / Light Timber"))</f>
        <v>Reinforced Concrete</v>
      </c>
      <c r="F569" s="3">
        <f t="shared" ca="1" si="59"/>
        <v>2002</v>
      </c>
      <c r="G569" s="3">
        <f t="shared" ca="1" si="60"/>
        <v>1</v>
      </c>
      <c r="H569" s="2">
        <f t="shared" ca="1" si="61"/>
        <v>3</v>
      </c>
      <c r="I569" s="4">
        <f t="shared" ca="1" si="62"/>
        <v>2919411</v>
      </c>
    </row>
    <row r="570" spans="1:9">
      <c r="A570" s="1">
        <v>10000569</v>
      </c>
      <c r="B570" s="3" t="str">
        <f t="shared" ca="1" si="56"/>
        <v>Hooghly</v>
      </c>
      <c r="C570" s="3" t="str">
        <f t="shared" ca="1" si="57"/>
        <v>Moderate Risk</v>
      </c>
      <c r="D570" s="3" t="str">
        <f t="shared" ca="1" si="58"/>
        <v>Residential</v>
      </c>
      <c r="E570" s="3" t="str" cm="1">
        <f t="array" aca="1" ref="E570" ca="1">_xlfn.IFS(D570="Industrial", "Reinforced Concrete", D570 = "Commercial", CHOOSE(RANDBETWEEN(1, 2), "Reinforced Concrete", "Unreinforced Masonry"), D570 = "Residential", CHOOSE(RANDBETWEEN(1, 3), "Reinforced Concrete", "Unreinforced Masonry", "Adobe / Light Timber"))</f>
        <v>Reinforced Concrete</v>
      </c>
      <c r="F570" s="3">
        <f t="shared" ca="1" si="59"/>
        <v>1985</v>
      </c>
      <c r="G570" s="3">
        <f t="shared" ca="1" si="60"/>
        <v>1</v>
      </c>
      <c r="H570" s="2">
        <f t="shared" ca="1" si="61"/>
        <v>5</v>
      </c>
      <c r="I570" s="4">
        <f t="shared" ca="1" si="62"/>
        <v>2707772</v>
      </c>
    </row>
    <row r="571" spans="1:9">
      <c r="A571" s="1">
        <v>10000570</v>
      </c>
      <c r="B571" s="3" t="str">
        <f t="shared" ca="1" si="56"/>
        <v>Kolkata</v>
      </c>
      <c r="C571" s="3" t="str">
        <f t="shared" ca="1" si="57"/>
        <v>Moderate Risk</v>
      </c>
      <c r="D571" s="3" t="str">
        <f t="shared" ca="1" si="58"/>
        <v>Industrial</v>
      </c>
      <c r="E571" s="3" t="str" cm="1">
        <f t="array" aca="1" ref="E571" ca="1">_xlfn.IFS(D571="Industrial", "Reinforced Concrete", D571 = "Commercial", CHOOSE(RANDBETWEEN(1, 2), "Reinforced Concrete", "Unreinforced Masonry"), D571 = "Residential", CHOOSE(RANDBETWEEN(1, 3), "Reinforced Concrete", "Unreinforced Masonry", "Adobe / Light Timber"))</f>
        <v>Reinforced Concrete</v>
      </c>
      <c r="F571" s="3">
        <f t="shared" ca="1" si="59"/>
        <v>1987</v>
      </c>
      <c r="G571" s="3">
        <f t="shared" ca="1" si="60"/>
        <v>1</v>
      </c>
      <c r="H571" s="2">
        <f t="shared" ca="1" si="61"/>
        <v>3</v>
      </c>
      <c r="I571" s="4">
        <f t="shared" ca="1" si="62"/>
        <v>43435076</v>
      </c>
    </row>
    <row r="572" spans="1:9">
      <c r="A572" s="1">
        <v>10000571</v>
      </c>
      <c r="B572" s="3" t="str">
        <f t="shared" ca="1" si="56"/>
        <v>South 24 Parganas</v>
      </c>
      <c r="C572" s="3" t="str">
        <f t="shared" ca="1" si="57"/>
        <v>High Risk</v>
      </c>
      <c r="D572" s="3" t="str">
        <f t="shared" ca="1" si="58"/>
        <v>Commercial</v>
      </c>
      <c r="E572" s="3" t="str" cm="1">
        <f t="array" aca="1" ref="E572" ca="1">_xlfn.IFS(D572="Industrial", "Reinforced Concrete", D572 = "Commercial", CHOOSE(RANDBETWEEN(1, 2), "Reinforced Concrete", "Unreinforced Masonry"), D572 = "Residential", CHOOSE(RANDBETWEEN(1, 3), "Reinforced Concrete", "Unreinforced Masonry", "Adobe / Light Timber"))</f>
        <v>Unreinforced Masonry</v>
      </c>
      <c r="F572" s="3">
        <f t="shared" ca="1" si="59"/>
        <v>1997</v>
      </c>
      <c r="G572" s="3">
        <f t="shared" ca="1" si="60"/>
        <v>4</v>
      </c>
      <c r="H572" s="2">
        <f t="shared" ca="1" si="61"/>
        <v>1</v>
      </c>
      <c r="I572" s="4">
        <f t="shared" ca="1" si="62"/>
        <v>13879560</v>
      </c>
    </row>
    <row r="573" spans="1:9">
      <c r="A573" s="1">
        <v>10000572</v>
      </c>
      <c r="B573" s="3" t="str">
        <f t="shared" ca="1" si="56"/>
        <v>Jalpaiguri</v>
      </c>
      <c r="C573" s="3" t="str">
        <f t="shared" ca="1" si="57"/>
        <v>High Risk</v>
      </c>
      <c r="D573" s="3" t="str">
        <f t="shared" ca="1" si="58"/>
        <v>Commercial</v>
      </c>
      <c r="E573" s="3" t="str" cm="1">
        <f t="array" aca="1" ref="E573" ca="1">_xlfn.IFS(D573="Industrial", "Reinforced Concrete", D573 = "Commercial", CHOOSE(RANDBETWEEN(1, 2), "Reinforced Concrete", "Unreinforced Masonry"), D573 = "Residential", CHOOSE(RANDBETWEEN(1, 3), "Reinforced Concrete", "Unreinforced Masonry", "Adobe / Light Timber"))</f>
        <v>Unreinforced Masonry</v>
      </c>
      <c r="F573" s="3">
        <f t="shared" ca="1" si="59"/>
        <v>1998</v>
      </c>
      <c r="G573" s="3">
        <f t="shared" ca="1" si="60"/>
        <v>3</v>
      </c>
      <c r="H573" s="2">
        <f t="shared" ca="1" si="61"/>
        <v>1</v>
      </c>
      <c r="I573" s="4">
        <f t="shared" ca="1" si="62"/>
        <v>8419079</v>
      </c>
    </row>
    <row r="574" spans="1:9">
      <c r="A574" s="1">
        <v>10000573</v>
      </c>
      <c r="B574" s="3" t="str">
        <f t="shared" ca="1" si="56"/>
        <v>Jalpaiguri</v>
      </c>
      <c r="C574" s="3" t="str">
        <f t="shared" ca="1" si="57"/>
        <v>High Risk</v>
      </c>
      <c r="D574" s="3" t="str">
        <f t="shared" ca="1" si="58"/>
        <v>Commercial</v>
      </c>
      <c r="E574" s="3" t="str" cm="1">
        <f t="array" aca="1" ref="E574" ca="1">_xlfn.IFS(D574="Industrial", "Reinforced Concrete", D574 = "Commercial", CHOOSE(RANDBETWEEN(1, 2), "Reinforced Concrete", "Unreinforced Masonry"), D574 = "Residential", CHOOSE(RANDBETWEEN(1, 3), "Reinforced Concrete", "Unreinforced Masonry", "Adobe / Light Timber"))</f>
        <v>Reinforced Concrete</v>
      </c>
      <c r="F574" s="3">
        <f t="shared" ca="1" si="59"/>
        <v>1984</v>
      </c>
      <c r="G574" s="3">
        <f t="shared" ca="1" si="60"/>
        <v>5</v>
      </c>
      <c r="H574" s="2">
        <f t="shared" ca="1" si="61"/>
        <v>5</v>
      </c>
      <c r="I574" s="4">
        <f t="shared" ca="1" si="62"/>
        <v>25014054</v>
      </c>
    </row>
    <row r="575" spans="1:9">
      <c r="A575" s="1">
        <v>10000574</v>
      </c>
      <c r="B575" s="3" t="str">
        <f t="shared" ca="1" si="56"/>
        <v>Kolkata</v>
      </c>
      <c r="C575" s="3" t="str">
        <f t="shared" ca="1" si="57"/>
        <v>Moderate Risk</v>
      </c>
      <c r="D575" s="3" t="str">
        <f t="shared" ca="1" si="58"/>
        <v>Commercial</v>
      </c>
      <c r="E575" s="3" t="str" cm="1">
        <f t="array" aca="1" ref="E575" ca="1">_xlfn.IFS(D575="Industrial", "Reinforced Concrete", D575 = "Commercial", CHOOSE(RANDBETWEEN(1, 2), "Reinforced Concrete", "Unreinforced Masonry"), D575 = "Residential", CHOOSE(RANDBETWEEN(1, 3), "Reinforced Concrete", "Unreinforced Masonry", "Adobe / Light Timber"))</f>
        <v>Reinforced Concrete</v>
      </c>
      <c r="F575" s="3">
        <f t="shared" ca="1" si="59"/>
        <v>1984</v>
      </c>
      <c r="G575" s="3">
        <f t="shared" ca="1" si="60"/>
        <v>3</v>
      </c>
      <c r="H575" s="2">
        <f t="shared" ca="1" si="61"/>
        <v>3</v>
      </c>
      <c r="I575" s="4">
        <f t="shared" ca="1" si="62"/>
        <v>7698725</v>
      </c>
    </row>
    <row r="576" spans="1:9">
      <c r="A576" s="1">
        <v>10000575</v>
      </c>
      <c r="B576" s="3" t="str">
        <f t="shared" ca="1" si="56"/>
        <v>South 24 Parganas</v>
      </c>
      <c r="C576" s="3" t="str">
        <f t="shared" ca="1" si="57"/>
        <v>High Risk</v>
      </c>
      <c r="D576" s="3" t="str">
        <f t="shared" ca="1" si="58"/>
        <v>Commercial</v>
      </c>
      <c r="E576" s="3" t="str" cm="1">
        <f t="array" aca="1" ref="E576" ca="1">_xlfn.IFS(D576="Industrial", "Reinforced Concrete", D576 = "Commercial", CHOOSE(RANDBETWEEN(1, 2), "Reinforced Concrete", "Unreinforced Masonry"), D576 = "Residential", CHOOSE(RANDBETWEEN(1, 3), "Reinforced Concrete", "Unreinforced Masonry", "Adobe / Light Timber"))</f>
        <v>Unreinforced Masonry</v>
      </c>
      <c r="F576" s="3">
        <f t="shared" ca="1" si="59"/>
        <v>1983</v>
      </c>
      <c r="G576" s="3">
        <f t="shared" ca="1" si="60"/>
        <v>2</v>
      </c>
      <c r="H576" s="2">
        <f t="shared" ca="1" si="61"/>
        <v>0</v>
      </c>
      <c r="I576" s="4">
        <f t="shared" ca="1" si="62"/>
        <v>14943440</v>
      </c>
    </row>
    <row r="577" spans="1:9">
      <c r="A577" s="1">
        <v>10000576</v>
      </c>
      <c r="B577" s="3" t="str">
        <f t="shared" ca="1" si="56"/>
        <v>Kolkata</v>
      </c>
      <c r="C577" s="3" t="str">
        <f t="shared" ca="1" si="57"/>
        <v>Moderate Risk</v>
      </c>
      <c r="D577" s="3" t="str">
        <f t="shared" ca="1" si="58"/>
        <v>Industrial</v>
      </c>
      <c r="E577" s="3" t="str" cm="1">
        <f t="array" aca="1" ref="E577" ca="1">_xlfn.IFS(D577="Industrial", "Reinforced Concrete", D577 = "Commercial", CHOOSE(RANDBETWEEN(1, 2), "Reinforced Concrete", "Unreinforced Masonry"), D577 = "Residential", CHOOSE(RANDBETWEEN(1, 3), "Reinforced Concrete", "Unreinforced Masonry", "Adobe / Light Timber"))</f>
        <v>Reinforced Concrete</v>
      </c>
      <c r="F577" s="3">
        <f t="shared" ca="1" si="59"/>
        <v>2023</v>
      </c>
      <c r="G577" s="3">
        <f t="shared" ca="1" si="60"/>
        <v>4</v>
      </c>
      <c r="H577" s="2">
        <f t="shared" ca="1" si="61"/>
        <v>3</v>
      </c>
      <c r="I577" s="4">
        <f t="shared" ca="1" si="62"/>
        <v>37350093</v>
      </c>
    </row>
    <row r="578" spans="1:9">
      <c r="A578" s="1">
        <v>10000577</v>
      </c>
      <c r="B578" s="3" t="str">
        <f t="shared" ca="1" si="56"/>
        <v>South 24 Parganas</v>
      </c>
      <c r="C578" s="3" t="str">
        <f t="shared" ca="1" si="57"/>
        <v>High Risk</v>
      </c>
      <c r="D578" s="3" t="str">
        <f t="shared" ca="1" si="58"/>
        <v>Residential</v>
      </c>
      <c r="E578" s="3" t="str" cm="1">
        <f t="array" aca="1" ref="E578" ca="1">_xlfn.IFS(D578="Industrial", "Reinforced Concrete", D578 = "Commercial", CHOOSE(RANDBETWEEN(1, 2), "Reinforced Concrete", "Unreinforced Masonry"), D578 = "Residential", CHOOSE(RANDBETWEEN(1, 3), "Reinforced Concrete", "Unreinforced Masonry", "Adobe / Light Timber"))</f>
        <v>Reinforced Concrete</v>
      </c>
      <c r="F578" s="3">
        <f t="shared" ca="1" si="59"/>
        <v>1994</v>
      </c>
      <c r="G578" s="3">
        <f t="shared" ca="1" si="60"/>
        <v>4</v>
      </c>
      <c r="H578" s="2">
        <f t="shared" ca="1" si="61"/>
        <v>3</v>
      </c>
      <c r="I578" s="4">
        <f t="shared" ca="1" si="62"/>
        <v>1702833</v>
      </c>
    </row>
    <row r="579" spans="1:9">
      <c r="A579" s="1">
        <v>10000578</v>
      </c>
      <c r="B579" s="3" t="str">
        <f t="shared" ref="B579:B642" ca="1" si="63">CHOOSE(RANDBETWEEN(1, 6),"South 24 Parganas", "Malda", "Jalpaiguri","Kolkata","Hooghly","Paschim Medinipur")</f>
        <v>South 24 Parganas</v>
      </c>
      <c r="C579" s="3" t="str">
        <f t="shared" ref="C579:C642" ca="1" si="64">IF(OR(B579 = "South 24 Parganas", B579 = "Malda", B579 = "Jalpaiguri"), "High Risk", "Moderate Risk")</f>
        <v>High Risk</v>
      </c>
      <c r="D579" s="3" t="str">
        <f t="shared" ref="D579:D642" ca="1" si="65">CHOOSE(RANDBETWEEN(1, 3), "Residential","Commercial","Industrial")</f>
        <v>Residential</v>
      </c>
      <c r="E579" s="3" t="str" cm="1">
        <f t="array" aca="1" ref="E579" ca="1">_xlfn.IFS(D579="Industrial", "Reinforced Concrete", D579 = "Commercial", CHOOSE(RANDBETWEEN(1, 2), "Reinforced Concrete", "Unreinforced Masonry"), D579 = "Residential", CHOOSE(RANDBETWEEN(1, 3), "Reinforced Concrete", "Unreinforced Masonry", "Adobe / Light Timber"))</f>
        <v>Adobe / Light Timber</v>
      </c>
      <c r="F579" s="3">
        <f t="shared" ref="F579:F642" ca="1" si="66">RANDBETWEEN(1980, 2024)</f>
        <v>1989</v>
      </c>
      <c r="G579" s="3">
        <f t="shared" ref="G579:G642" ca="1" si="67">IF(E579 = "Adobe / Light Timber", 1, RANDBETWEEN(1, 5))</f>
        <v>1</v>
      </c>
      <c r="H579" s="2">
        <f t="shared" ref="H579:H642" ca="1" si="68">IF(E579="Reinforced Concrete",RANDBETWEEN(3, 5),RANDBETWEEN(0,2))</f>
        <v>1</v>
      </c>
      <c r="I579" s="4">
        <f t="shared" ref="I579:I642" ca="1" si="69">MAX(200000, _xlfn.IFS(D579 = "Industrial", ROUND(_xlfn.NORM.INV(RAND(), 50000000, 10000000), 0), D579 = "Commercial",ROUND(_xlfn.NORM.INV(RAND(), 15000000, 5000000), 0),E579 = "Adobe / Light Timber", ROUND(_xlfn.NORM.INV(RAND(), 500000, 100000), 0),TRUE, ROUND(_xlfn.NORM.INV(RAND(), 4000000, 1500000), 0)))</f>
        <v>694659</v>
      </c>
    </row>
    <row r="580" spans="1:9">
      <c r="A580" s="1">
        <v>10000579</v>
      </c>
      <c r="B580" s="3" t="str">
        <f t="shared" ca="1" si="63"/>
        <v>Jalpaiguri</v>
      </c>
      <c r="C580" s="3" t="str">
        <f t="shared" ca="1" si="64"/>
        <v>High Risk</v>
      </c>
      <c r="D580" s="3" t="str">
        <f t="shared" ca="1" si="65"/>
        <v>Industrial</v>
      </c>
      <c r="E580" s="3" t="str" cm="1">
        <f t="array" aca="1" ref="E580" ca="1">_xlfn.IFS(D580="Industrial", "Reinforced Concrete", D580 = "Commercial", CHOOSE(RANDBETWEEN(1, 2), "Reinforced Concrete", "Unreinforced Masonry"), D580 = "Residential", CHOOSE(RANDBETWEEN(1, 3), "Reinforced Concrete", "Unreinforced Masonry", "Adobe / Light Timber"))</f>
        <v>Reinforced Concrete</v>
      </c>
      <c r="F580" s="3">
        <f t="shared" ca="1" si="66"/>
        <v>2003</v>
      </c>
      <c r="G580" s="3">
        <f t="shared" ca="1" si="67"/>
        <v>3</v>
      </c>
      <c r="H580" s="2">
        <f t="shared" ca="1" si="68"/>
        <v>5</v>
      </c>
      <c r="I580" s="4">
        <f t="shared" ca="1" si="69"/>
        <v>72859299</v>
      </c>
    </row>
    <row r="581" spans="1:9">
      <c r="A581" s="1">
        <v>10000580</v>
      </c>
      <c r="B581" s="3" t="str">
        <f t="shared" ca="1" si="63"/>
        <v>South 24 Parganas</v>
      </c>
      <c r="C581" s="3" t="str">
        <f t="shared" ca="1" si="64"/>
        <v>High Risk</v>
      </c>
      <c r="D581" s="3" t="str">
        <f t="shared" ca="1" si="65"/>
        <v>Industrial</v>
      </c>
      <c r="E581" s="3" t="str" cm="1">
        <f t="array" aca="1" ref="E581" ca="1">_xlfn.IFS(D581="Industrial", "Reinforced Concrete", D581 = "Commercial", CHOOSE(RANDBETWEEN(1, 2), "Reinforced Concrete", "Unreinforced Masonry"), D581 = "Residential", CHOOSE(RANDBETWEEN(1, 3), "Reinforced Concrete", "Unreinforced Masonry", "Adobe / Light Timber"))</f>
        <v>Reinforced Concrete</v>
      </c>
      <c r="F581" s="3">
        <f t="shared" ca="1" si="66"/>
        <v>1988</v>
      </c>
      <c r="G581" s="3">
        <f t="shared" ca="1" si="67"/>
        <v>2</v>
      </c>
      <c r="H581" s="2">
        <f t="shared" ca="1" si="68"/>
        <v>5</v>
      </c>
      <c r="I581" s="4">
        <f t="shared" ca="1" si="69"/>
        <v>47429609</v>
      </c>
    </row>
    <row r="582" spans="1:9">
      <c r="A582" s="1">
        <v>10000581</v>
      </c>
      <c r="B582" s="3" t="str">
        <f t="shared" ca="1" si="63"/>
        <v>Hooghly</v>
      </c>
      <c r="C582" s="3" t="str">
        <f t="shared" ca="1" si="64"/>
        <v>Moderate Risk</v>
      </c>
      <c r="D582" s="3" t="str">
        <f t="shared" ca="1" si="65"/>
        <v>Residential</v>
      </c>
      <c r="E582" s="3" t="str" cm="1">
        <f t="array" aca="1" ref="E582" ca="1">_xlfn.IFS(D582="Industrial", "Reinforced Concrete", D582 = "Commercial", CHOOSE(RANDBETWEEN(1, 2), "Reinforced Concrete", "Unreinforced Masonry"), D582 = "Residential", CHOOSE(RANDBETWEEN(1, 3), "Reinforced Concrete", "Unreinforced Masonry", "Adobe / Light Timber"))</f>
        <v>Adobe / Light Timber</v>
      </c>
      <c r="F582" s="3">
        <f t="shared" ca="1" si="66"/>
        <v>2001</v>
      </c>
      <c r="G582" s="3">
        <f t="shared" ca="1" si="67"/>
        <v>1</v>
      </c>
      <c r="H582" s="2">
        <f t="shared" ca="1" si="68"/>
        <v>2</v>
      </c>
      <c r="I582" s="4">
        <f t="shared" ca="1" si="69"/>
        <v>487336</v>
      </c>
    </row>
    <row r="583" spans="1:9">
      <c r="A583" s="1">
        <v>10000582</v>
      </c>
      <c r="B583" s="3" t="str">
        <f t="shared" ca="1" si="63"/>
        <v>Jalpaiguri</v>
      </c>
      <c r="C583" s="3" t="str">
        <f t="shared" ca="1" si="64"/>
        <v>High Risk</v>
      </c>
      <c r="D583" s="3" t="str">
        <f t="shared" ca="1" si="65"/>
        <v>Commercial</v>
      </c>
      <c r="E583" s="3" t="str" cm="1">
        <f t="array" aca="1" ref="E583" ca="1">_xlfn.IFS(D583="Industrial", "Reinforced Concrete", D583 = "Commercial", CHOOSE(RANDBETWEEN(1, 2), "Reinforced Concrete", "Unreinforced Masonry"), D583 = "Residential", CHOOSE(RANDBETWEEN(1, 3), "Reinforced Concrete", "Unreinforced Masonry", "Adobe / Light Timber"))</f>
        <v>Reinforced Concrete</v>
      </c>
      <c r="F583" s="3">
        <f t="shared" ca="1" si="66"/>
        <v>1995</v>
      </c>
      <c r="G583" s="3">
        <f t="shared" ca="1" si="67"/>
        <v>5</v>
      </c>
      <c r="H583" s="2">
        <f t="shared" ca="1" si="68"/>
        <v>5</v>
      </c>
      <c r="I583" s="4">
        <f t="shared" ca="1" si="69"/>
        <v>19551894</v>
      </c>
    </row>
    <row r="584" spans="1:9">
      <c r="A584" s="1">
        <v>10000583</v>
      </c>
      <c r="B584" s="3" t="str">
        <f t="shared" ca="1" si="63"/>
        <v>Paschim Medinipur</v>
      </c>
      <c r="C584" s="3" t="str">
        <f t="shared" ca="1" si="64"/>
        <v>Moderate Risk</v>
      </c>
      <c r="D584" s="3" t="str">
        <f t="shared" ca="1" si="65"/>
        <v>Residential</v>
      </c>
      <c r="E584" s="3" t="str" cm="1">
        <f t="array" aca="1" ref="E584" ca="1">_xlfn.IFS(D584="Industrial", "Reinforced Concrete", D584 = "Commercial", CHOOSE(RANDBETWEEN(1, 2), "Reinforced Concrete", "Unreinforced Masonry"), D584 = "Residential", CHOOSE(RANDBETWEEN(1, 3), "Reinforced Concrete", "Unreinforced Masonry", "Adobe / Light Timber"))</f>
        <v>Reinforced Concrete</v>
      </c>
      <c r="F584" s="3">
        <f t="shared" ca="1" si="66"/>
        <v>1988</v>
      </c>
      <c r="G584" s="3">
        <f t="shared" ca="1" si="67"/>
        <v>1</v>
      </c>
      <c r="H584" s="2">
        <f t="shared" ca="1" si="68"/>
        <v>3</v>
      </c>
      <c r="I584" s="4">
        <f t="shared" ca="1" si="69"/>
        <v>3269470</v>
      </c>
    </row>
    <row r="585" spans="1:9">
      <c r="A585" s="1">
        <v>10000584</v>
      </c>
      <c r="B585" s="3" t="str">
        <f t="shared" ca="1" si="63"/>
        <v>Jalpaiguri</v>
      </c>
      <c r="C585" s="3" t="str">
        <f t="shared" ca="1" si="64"/>
        <v>High Risk</v>
      </c>
      <c r="D585" s="3" t="str">
        <f t="shared" ca="1" si="65"/>
        <v>Residential</v>
      </c>
      <c r="E585" s="3" t="str" cm="1">
        <f t="array" aca="1" ref="E585" ca="1">_xlfn.IFS(D585="Industrial", "Reinforced Concrete", D585 = "Commercial", CHOOSE(RANDBETWEEN(1, 2), "Reinforced Concrete", "Unreinforced Masonry"), D585 = "Residential", CHOOSE(RANDBETWEEN(1, 3), "Reinforced Concrete", "Unreinforced Masonry", "Adobe / Light Timber"))</f>
        <v>Reinforced Concrete</v>
      </c>
      <c r="F585" s="3">
        <f t="shared" ca="1" si="66"/>
        <v>2005</v>
      </c>
      <c r="G585" s="3">
        <f t="shared" ca="1" si="67"/>
        <v>2</v>
      </c>
      <c r="H585" s="2">
        <f t="shared" ca="1" si="68"/>
        <v>5</v>
      </c>
      <c r="I585" s="4">
        <f t="shared" ca="1" si="69"/>
        <v>2418365</v>
      </c>
    </row>
    <row r="586" spans="1:9">
      <c r="A586" s="1">
        <v>10000585</v>
      </c>
      <c r="B586" s="3" t="str">
        <f t="shared" ca="1" si="63"/>
        <v>Hooghly</v>
      </c>
      <c r="C586" s="3" t="str">
        <f t="shared" ca="1" si="64"/>
        <v>Moderate Risk</v>
      </c>
      <c r="D586" s="3" t="str">
        <f t="shared" ca="1" si="65"/>
        <v>Industrial</v>
      </c>
      <c r="E586" s="3" t="str" cm="1">
        <f t="array" aca="1" ref="E586" ca="1">_xlfn.IFS(D586="Industrial", "Reinforced Concrete", D586 = "Commercial", CHOOSE(RANDBETWEEN(1, 2), "Reinforced Concrete", "Unreinforced Masonry"), D586 = "Residential", CHOOSE(RANDBETWEEN(1, 3), "Reinforced Concrete", "Unreinforced Masonry", "Adobe / Light Timber"))</f>
        <v>Reinforced Concrete</v>
      </c>
      <c r="F586" s="3">
        <f t="shared" ca="1" si="66"/>
        <v>2005</v>
      </c>
      <c r="G586" s="3">
        <f t="shared" ca="1" si="67"/>
        <v>1</v>
      </c>
      <c r="H586" s="2">
        <f t="shared" ca="1" si="68"/>
        <v>4</v>
      </c>
      <c r="I586" s="4">
        <f t="shared" ca="1" si="69"/>
        <v>43515927</v>
      </c>
    </row>
    <row r="587" spans="1:9">
      <c r="A587" s="1">
        <v>10000586</v>
      </c>
      <c r="B587" s="3" t="str">
        <f t="shared" ca="1" si="63"/>
        <v>Kolkata</v>
      </c>
      <c r="C587" s="3" t="str">
        <f t="shared" ca="1" si="64"/>
        <v>Moderate Risk</v>
      </c>
      <c r="D587" s="3" t="str">
        <f t="shared" ca="1" si="65"/>
        <v>Commercial</v>
      </c>
      <c r="E587" s="3" t="str" cm="1">
        <f t="array" aca="1" ref="E587" ca="1">_xlfn.IFS(D587="Industrial", "Reinforced Concrete", D587 = "Commercial", CHOOSE(RANDBETWEEN(1, 2), "Reinforced Concrete", "Unreinforced Masonry"), D587 = "Residential", CHOOSE(RANDBETWEEN(1, 3), "Reinforced Concrete", "Unreinforced Masonry", "Adobe / Light Timber"))</f>
        <v>Unreinforced Masonry</v>
      </c>
      <c r="F587" s="3">
        <f t="shared" ca="1" si="66"/>
        <v>2021</v>
      </c>
      <c r="G587" s="3">
        <f t="shared" ca="1" si="67"/>
        <v>3</v>
      </c>
      <c r="H587" s="2">
        <f t="shared" ca="1" si="68"/>
        <v>2</v>
      </c>
      <c r="I587" s="4">
        <f t="shared" ca="1" si="69"/>
        <v>21360986</v>
      </c>
    </row>
    <row r="588" spans="1:9">
      <c r="A588" s="1">
        <v>10000587</v>
      </c>
      <c r="B588" s="3" t="str">
        <f t="shared" ca="1" si="63"/>
        <v>Paschim Medinipur</v>
      </c>
      <c r="C588" s="3" t="str">
        <f t="shared" ca="1" si="64"/>
        <v>Moderate Risk</v>
      </c>
      <c r="D588" s="3" t="str">
        <f t="shared" ca="1" si="65"/>
        <v>Residential</v>
      </c>
      <c r="E588" s="3" t="str" cm="1">
        <f t="array" aca="1" ref="E588" ca="1">_xlfn.IFS(D588="Industrial", "Reinforced Concrete", D588 = "Commercial", CHOOSE(RANDBETWEEN(1, 2), "Reinforced Concrete", "Unreinforced Masonry"), D588 = "Residential", CHOOSE(RANDBETWEEN(1, 3), "Reinforced Concrete", "Unreinforced Masonry", "Adobe / Light Timber"))</f>
        <v>Adobe / Light Timber</v>
      </c>
      <c r="F588" s="3">
        <f t="shared" ca="1" si="66"/>
        <v>2013</v>
      </c>
      <c r="G588" s="3">
        <f t="shared" ca="1" si="67"/>
        <v>1</v>
      </c>
      <c r="H588" s="2">
        <f t="shared" ca="1" si="68"/>
        <v>2</v>
      </c>
      <c r="I588" s="4">
        <f t="shared" ca="1" si="69"/>
        <v>502790</v>
      </c>
    </row>
    <row r="589" spans="1:9">
      <c r="A589" s="1">
        <v>10000588</v>
      </c>
      <c r="B589" s="3" t="str">
        <f t="shared" ca="1" si="63"/>
        <v>Kolkata</v>
      </c>
      <c r="C589" s="3" t="str">
        <f t="shared" ca="1" si="64"/>
        <v>Moderate Risk</v>
      </c>
      <c r="D589" s="3" t="str">
        <f t="shared" ca="1" si="65"/>
        <v>Residential</v>
      </c>
      <c r="E589" s="3" t="str" cm="1">
        <f t="array" aca="1" ref="E589" ca="1">_xlfn.IFS(D589="Industrial", "Reinforced Concrete", D589 = "Commercial", CHOOSE(RANDBETWEEN(1, 2), "Reinforced Concrete", "Unreinforced Masonry"), D589 = "Residential", CHOOSE(RANDBETWEEN(1, 3), "Reinforced Concrete", "Unreinforced Masonry", "Adobe / Light Timber"))</f>
        <v>Unreinforced Masonry</v>
      </c>
      <c r="F589" s="3">
        <f t="shared" ca="1" si="66"/>
        <v>2012</v>
      </c>
      <c r="G589" s="3">
        <f t="shared" ca="1" si="67"/>
        <v>5</v>
      </c>
      <c r="H589" s="2">
        <f t="shared" ca="1" si="68"/>
        <v>0</v>
      </c>
      <c r="I589" s="4">
        <f t="shared" ca="1" si="69"/>
        <v>4562275</v>
      </c>
    </row>
    <row r="590" spans="1:9">
      <c r="A590" s="1">
        <v>10000589</v>
      </c>
      <c r="B590" s="3" t="str">
        <f t="shared" ca="1" si="63"/>
        <v>Jalpaiguri</v>
      </c>
      <c r="C590" s="3" t="str">
        <f t="shared" ca="1" si="64"/>
        <v>High Risk</v>
      </c>
      <c r="D590" s="3" t="str">
        <f t="shared" ca="1" si="65"/>
        <v>Residential</v>
      </c>
      <c r="E590" s="3" t="str" cm="1">
        <f t="array" aca="1" ref="E590" ca="1">_xlfn.IFS(D590="Industrial", "Reinforced Concrete", D590 = "Commercial", CHOOSE(RANDBETWEEN(1, 2), "Reinforced Concrete", "Unreinforced Masonry"), D590 = "Residential", CHOOSE(RANDBETWEEN(1, 3), "Reinforced Concrete", "Unreinforced Masonry", "Adobe / Light Timber"))</f>
        <v>Reinforced Concrete</v>
      </c>
      <c r="F590" s="3">
        <f t="shared" ca="1" si="66"/>
        <v>2020</v>
      </c>
      <c r="G590" s="3">
        <f t="shared" ca="1" si="67"/>
        <v>1</v>
      </c>
      <c r="H590" s="2">
        <f t="shared" ca="1" si="68"/>
        <v>4</v>
      </c>
      <c r="I590" s="4">
        <f t="shared" ca="1" si="69"/>
        <v>3690594</v>
      </c>
    </row>
    <row r="591" spans="1:9">
      <c r="A591" s="1">
        <v>10000590</v>
      </c>
      <c r="B591" s="3" t="str">
        <f t="shared" ca="1" si="63"/>
        <v>Jalpaiguri</v>
      </c>
      <c r="C591" s="3" t="str">
        <f t="shared" ca="1" si="64"/>
        <v>High Risk</v>
      </c>
      <c r="D591" s="3" t="str">
        <f t="shared" ca="1" si="65"/>
        <v>Residential</v>
      </c>
      <c r="E591" s="3" t="str" cm="1">
        <f t="array" aca="1" ref="E591" ca="1">_xlfn.IFS(D591="Industrial", "Reinforced Concrete", D591 = "Commercial", CHOOSE(RANDBETWEEN(1, 2), "Reinforced Concrete", "Unreinforced Masonry"), D591 = "Residential", CHOOSE(RANDBETWEEN(1, 3), "Reinforced Concrete", "Unreinforced Masonry", "Adobe / Light Timber"))</f>
        <v>Reinforced Concrete</v>
      </c>
      <c r="F591" s="3">
        <f t="shared" ca="1" si="66"/>
        <v>1982</v>
      </c>
      <c r="G591" s="3">
        <f t="shared" ca="1" si="67"/>
        <v>2</v>
      </c>
      <c r="H591" s="2">
        <f t="shared" ca="1" si="68"/>
        <v>3</v>
      </c>
      <c r="I591" s="4">
        <f t="shared" ca="1" si="69"/>
        <v>7333437</v>
      </c>
    </row>
    <row r="592" spans="1:9">
      <c r="A592" s="1">
        <v>10000591</v>
      </c>
      <c r="B592" s="3" t="str">
        <f t="shared" ca="1" si="63"/>
        <v>Hooghly</v>
      </c>
      <c r="C592" s="3" t="str">
        <f t="shared" ca="1" si="64"/>
        <v>Moderate Risk</v>
      </c>
      <c r="D592" s="3" t="str">
        <f t="shared" ca="1" si="65"/>
        <v>Residential</v>
      </c>
      <c r="E592" s="3" t="str" cm="1">
        <f t="array" aca="1" ref="E592" ca="1">_xlfn.IFS(D592="Industrial", "Reinforced Concrete", D592 = "Commercial", CHOOSE(RANDBETWEEN(1, 2), "Reinforced Concrete", "Unreinforced Masonry"), D592 = "Residential", CHOOSE(RANDBETWEEN(1, 3), "Reinforced Concrete", "Unreinforced Masonry", "Adobe / Light Timber"))</f>
        <v>Adobe / Light Timber</v>
      </c>
      <c r="F592" s="3">
        <f t="shared" ca="1" si="66"/>
        <v>2008</v>
      </c>
      <c r="G592" s="3">
        <f t="shared" ca="1" si="67"/>
        <v>1</v>
      </c>
      <c r="H592" s="2">
        <f t="shared" ca="1" si="68"/>
        <v>1</v>
      </c>
      <c r="I592" s="4">
        <f t="shared" ca="1" si="69"/>
        <v>635643</v>
      </c>
    </row>
    <row r="593" spans="1:9">
      <c r="A593" s="1">
        <v>10000592</v>
      </c>
      <c r="B593" s="3" t="str">
        <f t="shared" ca="1" si="63"/>
        <v>South 24 Parganas</v>
      </c>
      <c r="C593" s="3" t="str">
        <f t="shared" ca="1" si="64"/>
        <v>High Risk</v>
      </c>
      <c r="D593" s="3" t="str">
        <f t="shared" ca="1" si="65"/>
        <v>Industrial</v>
      </c>
      <c r="E593" s="3" t="str" cm="1">
        <f t="array" aca="1" ref="E593" ca="1">_xlfn.IFS(D593="Industrial", "Reinforced Concrete", D593 = "Commercial", CHOOSE(RANDBETWEEN(1, 2), "Reinforced Concrete", "Unreinforced Masonry"), D593 = "Residential", CHOOSE(RANDBETWEEN(1, 3), "Reinforced Concrete", "Unreinforced Masonry", "Adobe / Light Timber"))</f>
        <v>Reinforced Concrete</v>
      </c>
      <c r="F593" s="3">
        <f t="shared" ca="1" si="66"/>
        <v>1991</v>
      </c>
      <c r="G593" s="3">
        <f t="shared" ca="1" si="67"/>
        <v>5</v>
      </c>
      <c r="H593" s="2">
        <f t="shared" ca="1" si="68"/>
        <v>5</v>
      </c>
      <c r="I593" s="4">
        <f t="shared" ca="1" si="69"/>
        <v>24462473</v>
      </c>
    </row>
    <row r="594" spans="1:9">
      <c r="A594" s="1">
        <v>10000593</v>
      </c>
      <c r="B594" s="3" t="str">
        <f t="shared" ca="1" si="63"/>
        <v>Hooghly</v>
      </c>
      <c r="C594" s="3" t="str">
        <f t="shared" ca="1" si="64"/>
        <v>Moderate Risk</v>
      </c>
      <c r="D594" s="3" t="str">
        <f t="shared" ca="1" si="65"/>
        <v>Commercial</v>
      </c>
      <c r="E594" s="3" t="str" cm="1">
        <f t="array" aca="1" ref="E594" ca="1">_xlfn.IFS(D594="Industrial", "Reinforced Concrete", D594 = "Commercial", CHOOSE(RANDBETWEEN(1, 2), "Reinforced Concrete", "Unreinforced Masonry"), D594 = "Residential", CHOOSE(RANDBETWEEN(1, 3), "Reinforced Concrete", "Unreinforced Masonry", "Adobe / Light Timber"))</f>
        <v>Unreinforced Masonry</v>
      </c>
      <c r="F594" s="3">
        <f t="shared" ca="1" si="66"/>
        <v>1983</v>
      </c>
      <c r="G594" s="3">
        <f t="shared" ca="1" si="67"/>
        <v>4</v>
      </c>
      <c r="H594" s="2">
        <f t="shared" ca="1" si="68"/>
        <v>1</v>
      </c>
      <c r="I594" s="4">
        <f t="shared" ca="1" si="69"/>
        <v>15721812</v>
      </c>
    </row>
    <row r="595" spans="1:9">
      <c r="A595" s="1">
        <v>10000594</v>
      </c>
      <c r="B595" s="3" t="str">
        <f t="shared" ca="1" si="63"/>
        <v>Kolkata</v>
      </c>
      <c r="C595" s="3" t="str">
        <f t="shared" ca="1" si="64"/>
        <v>Moderate Risk</v>
      </c>
      <c r="D595" s="3" t="str">
        <f t="shared" ca="1" si="65"/>
        <v>Industrial</v>
      </c>
      <c r="E595" s="3" t="str" cm="1">
        <f t="array" aca="1" ref="E595" ca="1">_xlfn.IFS(D595="Industrial", "Reinforced Concrete", D595 = "Commercial", CHOOSE(RANDBETWEEN(1, 2), "Reinforced Concrete", "Unreinforced Masonry"), D595 = "Residential", CHOOSE(RANDBETWEEN(1, 3), "Reinforced Concrete", "Unreinforced Masonry", "Adobe / Light Timber"))</f>
        <v>Reinforced Concrete</v>
      </c>
      <c r="F595" s="3">
        <f t="shared" ca="1" si="66"/>
        <v>1993</v>
      </c>
      <c r="G595" s="3">
        <f t="shared" ca="1" si="67"/>
        <v>2</v>
      </c>
      <c r="H595" s="2">
        <f t="shared" ca="1" si="68"/>
        <v>4</v>
      </c>
      <c r="I595" s="4">
        <f t="shared" ca="1" si="69"/>
        <v>57498126</v>
      </c>
    </row>
    <row r="596" spans="1:9">
      <c r="A596" s="1">
        <v>10000595</v>
      </c>
      <c r="B596" s="3" t="str">
        <f t="shared" ca="1" si="63"/>
        <v>South 24 Parganas</v>
      </c>
      <c r="C596" s="3" t="str">
        <f t="shared" ca="1" si="64"/>
        <v>High Risk</v>
      </c>
      <c r="D596" s="3" t="str">
        <f t="shared" ca="1" si="65"/>
        <v>Residential</v>
      </c>
      <c r="E596" s="3" t="str" cm="1">
        <f t="array" aca="1" ref="E596" ca="1">_xlfn.IFS(D596="Industrial", "Reinforced Concrete", D596 = "Commercial", CHOOSE(RANDBETWEEN(1, 2), "Reinforced Concrete", "Unreinforced Masonry"), D596 = "Residential", CHOOSE(RANDBETWEEN(1, 3), "Reinforced Concrete", "Unreinforced Masonry", "Adobe / Light Timber"))</f>
        <v>Reinforced Concrete</v>
      </c>
      <c r="F596" s="3">
        <f t="shared" ca="1" si="66"/>
        <v>1982</v>
      </c>
      <c r="G596" s="3">
        <f t="shared" ca="1" si="67"/>
        <v>2</v>
      </c>
      <c r="H596" s="2">
        <f t="shared" ca="1" si="68"/>
        <v>5</v>
      </c>
      <c r="I596" s="4">
        <f t="shared" ca="1" si="69"/>
        <v>4348264</v>
      </c>
    </row>
    <row r="597" spans="1:9">
      <c r="A597" s="1">
        <v>10000596</v>
      </c>
      <c r="B597" s="3" t="str">
        <f t="shared" ca="1" si="63"/>
        <v>Hooghly</v>
      </c>
      <c r="C597" s="3" t="str">
        <f t="shared" ca="1" si="64"/>
        <v>Moderate Risk</v>
      </c>
      <c r="D597" s="3" t="str">
        <f t="shared" ca="1" si="65"/>
        <v>Industrial</v>
      </c>
      <c r="E597" s="3" t="str" cm="1">
        <f t="array" aca="1" ref="E597" ca="1">_xlfn.IFS(D597="Industrial", "Reinforced Concrete", D597 = "Commercial", CHOOSE(RANDBETWEEN(1, 2), "Reinforced Concrete", "Unreinforced Masonry"), D597 = "Residential", CHOOSE(RANDBETWEEN(1, 3), "Reinforced Concrete", "Unreinforced Masonry", "Adobe / Light Timber"))</f>
        <v>Reinforced Concrete</v>
      </c>
      <c r="F597" s="3">
        <f t="shared" ca="1" si="66"/>
        <v>2024</v>
      </c>
      <c r="G597" s="3">
        <f t="shared" ca="1" si="67"/>
        <v>2</v>
      </c>
      <c r="H597" s="2">
        <f t="shared" ca="1" si="68"/>
        <v>3</v>
      </c>
      <c r="I597" s="4">
        <f t="shared" ca="1" si="69"/>
        <v>53448361</v>
      </c>
    </row>
    <row r="598" spans="1:9">
      <c r="A598" s="1">
        <v>10000597</v>
      </c>
      <c r="B598" s="3" t="str">
        <f t="shared" ca="1" si="63"/>
        <v>Jalpaiguri</v>
      </c>
      <c r="C598" s="3" t="str">
        <f t="shared" ca="1" si="64"/>
        <v>High Risk</v>
      </c>
      <c r="D598" s="3" t="str">
        <f t="shared" ca="1" si="65"/>
        <v>Residential</v>
      </c>
      <c r="E598" s="3" t="str" cm="1">
        <f t="array" aca="1" ref="E598" ca="1">_xlfn.IFS(D598="Industrial", "Reinforced Concrete", D598 = "Commercial", CHOOSE(RANDBETWEEN(1, 2), "Reinforced Concrete", "Unreinforced Masonry"), D598 = "Residential", CHOOSE(RANDBETWEEN(1, 3), "Reinforced Concrete", "Unreinforced Masonry", "Adobe / Light Timber"))</f>
        <v>Reinforced Concrete</v>
      </c>
      <c r="F598" s="3">
        <f t="shared" ca="1" si="66"/>
        <v>2024</v>
      </c>
      <c r="G598" s="3">
        <f t="shared" ca="1" si="67"/>
        <v>5</v>
      </c>
      <c r="H598" s="2">
        <f t="shared" ca="1" si="68"/>
        <v>3</v>
      </c>
      <c r="I598" s="4">
        <f t="shared" ca="1" si="69"/>
        <v>3776396</v>
      </c>
    </row>
    <row r="599" spans="1:9">
      <c r="A599" s="1">
        <v>10000598</v>
      </c>
      <c r="B599" s="3" t="str">
        <f t="shared" ca="1" si="63"/>
        <v>Paschim Medinipur</v>
      </c>
      <c r="C599" s="3" t="str">
        <f t="shared" ca="1" si="64"/>
        <v>Moderate Risk</v>
      </c>
      <c r="D599" s="3" t="str">
        <f t="shared" ca="1" si="65"/>
        <v>Residential</v>
      </c>
      <c r="E599" s="3" t="str" cm="1">
        <f t="array" aca="1" ref="E599" ca="1">_xlfn.IFS(D599="Industrial", "Reinforced Concrete", D599 = "Commercial", CHOOSE(RANDBETWEEN(1, 2), "Reinforced Concrete", "Unreinforced Masonry"), D599 = "Residential", CHOOSE(RANDBETWEEN(1, 3), "Reinforced Concrete", "Unreinforced Masonry", "Adobe / Light Timber"))</f>
        <v>Adobe / Light Timber</v>
      </c>
      <c r="F599" s="3">
        <f t="shared" ca="1" si="66"/>
        <v>1994</v>
      </c>
      <c r="G599" s="3">
        <f t="shared" ca="1" si="67"/>
        <v>1</v>
      </c>
      <c r="H599" s="2">
        <f t="shared" ca="1" si="68"/>
        <v>1</v>
      </c>
      <c r="I599" s="4">
        <f t="shared" ca="1" si="69"/>
        <v>294675</v>
      </c>
    </row>
    <row r="600" spans="1:9">
      <c r="A600" s="1">
        <v>10000599</v>
      </c>
      <c r="B600" s="3" t="str">
        <f t="shared" ca="1" si="63"/>
        <v>Hooghly</v>
      </c>
      <c r="C600" s="3" t="str">
        <f t="shared" ca="1" si="64"/>
        <v>Moderate Risk</v>
      </c>
      <c r="D600" s="3" t="str">
        <f t="shared" ca="1" si="65"/>
        <v>Residential</v>
      </c>
      <c r="E600" s="3" t="str" cm="1">
        <f t="array" aca="1" ref="E600" ca="1">_xlfn.IFS(D600="Industrial", "Reinforced Concrete", D600 = "Commercial", CHOOSE(RANDBETWEEN(1, 2), "Reinforced Concrete", "Unreinforced Masonry"), D600 = "Residential", CHOOSE(RANDBETWEEN(1, 3), "Reinforced Concrete", "Unreinforced Masonry", "Adobe / Light Timber"))</f>
        <v>Reinforced Concrete</v>
      </c>
      <c r="F600" s="3">
        <f t="shared" ca="1" si="66"/>
        <v>2011</v>
      </c>
      <c r="G600" s="3">
        <f t="shared" ca="1" si="67"/>
        <v>3</v>
      </c>
      <c r="H600" s="2">
        <f t="shared" ca="1" si="68"/>
        <v>4</v>
      </c>
      <c r="I600" s="4">
        <f t="shared" ca="1" si="69"/>
        <v>6116758</v>
      </c>
    </row>
    <row r="601" spans="1:9">
      <c r="A601" s="1">
        <v>10000600</v>
      </c>
      <c r="B601" s="3" t="str">
        <f t="shared" ca="1" si="63"/>
        <v>South 24 Parganas</v>
      </c>
      <c r="C601" s="3" t="str">
        <f t="shared" ca="1" si="64"/>
        <v>High Risk</v>
      </c>
      <c r="D601" s="3" t="str">
        <f t="shared" ca="1" si="65"/>
        <v>Industrial</v>
      </c>
      <c r="E601" s="3" t="str" cm="1">
        <f t="array" aca="1" ref="E601" ca="1">_xlfn.IFS(D601="Industrial", "Reinforced Concrete", D601 = "Commercial", CHOOSE(RANDBETWEEN(1, 2), "Reinforced Concrete", "Unreinforced Masonry"), D601 = "Residential", CHOOSE(RANDBETWEEN(1, 3), "Reinforced Concrete", "Unreinforced Masonry", "Adobe / Light Timber"))</f>
        <v>Reinforced Concrete</v>
      </c>
      <c r="F601" s="3">
        <f t="shared" ca="1" si="66"/>
        <v>1988</v>
      </c>
      <c r="G601" s="3">
        <f t="shared" ca="1" si="67"/>
        <v>3</v>
      </c>
      <c r="H601" s="2">
        <f t="shared" ca="1" si="68"/>
        <v>5</v>
      </c>
      <c r="I601" s="4">
        <f t="shared" ca="1" si="69"/>
        <v>59096842</v>
      </c>
    </row>
    <row r="602" spans="1:9">
      <c r="A602" s="1">
        <v>10000601</v>
      </c>
      <c r="B602" s="3" t="str">
        <f t="shared" ca="1" si="63"/>
        <v>Paschim Medinipur</v>
      </c>
      <c r="C602" s="3" t="str">
        <f t="shared" ca="1" si="64"/>
        <v>Moderate Risk</v>
      </c>
      <c r="D602" s="3" t="str">
        <f t="shared" ca="1" si="65"/>
        <v>Residential</v>
      </c>
      <c r="E602" s="3" t="str" cm="1">
        <f t="array" aca="1" ref="E602" ca="1">_xlfn.IFS(D602="Industrial", "Reinforced Concrete", D602 = "Commercial", CHOOSE(RANDBETWEEN(1, 2), "Reinforced Concrete", "Unreinforced Masonry"), D602 = "Residential", CHOOSE(RANDBETWEEN(1, 3), "Reinforced Concrete", "Unreinforced Masonry", "Adobe / Light Timber"))</f>
        <v>Reinforced Concrete</v>
      </c>
      <c r="F602" s="3">
        <f t="shared" ca="1" si="66"/>
        <v>2004</v>
      </c>
      <c r="G602" s="3">
        <f t="shared" ca="1" si="67"/>
        <v>4</v>
      </c>
      <c r="H602" s="2">
        <f t="shared" ca="1" si="68"/>
        <v>4</v>
      </c>
      <c r="I602" s="4">
        <f t="shared" ca="1" si="69"/>
        <v>3641794</v>
      </c>
    </row>
    <row r="603" spans="1:9">
      <c r="A603" s="1">
        <v>10000602</v>
      </c>
      <c r="B603" s="3" t="str">
        <f t="shared" ca="1" si="63"/>
        <v>Hooghly</v>
      </c>
      <c r="C603" s="3" t="str">
        <f t="shared" ca="1" si="64"/>
        <v>Moderate Risk</v>
      </c>
      <c r="D603" s="3" t="str">
        <f t="shared" ca="1" si="65"/>
        <v>Residential</v>
      </c>
      <c r="E603" s="3" t="str" cm="1">
        <f t="array" aca="1" ref="E603" ca="1">_xlfn.IFS(D603="Industrial", "Reinforced Concrete", D603 = "Commercial", CHOOSE(RANDBETWEEN(1, 2), "Reinforced Concrete", "Unreinforced Masonry"), D603 = "Residential", CHOOSE(RANDBETWEEN(1, 3), "Reinforced Concrete", "Unreinforced Masonry", "Adobe / Light Timber"))</f>
        <v>Adobe / Light Timber</v>
      </c>
      <c r="F603" s="3">
        <f t="shared" ca="1" si="66"/>
        <v>1999</v>
      </c>
      <c r="G603" s="3">
        <f t="shared" ca="1" si="67"/>
        <v>1</v>
      </c>
      <c r="H603" s="2">
        <f t="shared" ca="1" si="68"/>
        <v>1</v>
      </c>
      <c r="I603" s="4">
        <f t="shared" ca="1" si="69"/>
        <v>620550</v>
      </c>
    </row>
    <row r="604" spans="1:9">
      <c r="A604" s="1">
        <v>10000603</v>
      </c>
      <c r="B604" s="3" t="str">
        <f t="shared" ca="1" si="63"/>
        <v>Hooghly</v>
      </c>
      <c r="C604" s="3" t="str">
        <f t="shared" ca="1" si="64"/>
        <v>Moderate Risk</v>
      </c>
      <c r="D604" s="3" t="str">
        <f t="shared" ca="1" si="65"/>
        <v>Industrial</v>
      </c>
      <c r="E604" s="3" t="str" cm="1">
        <f t="array" aca="1" ref="E604" ca="1">_xlfn.IFS(D604="Industrial", "Reinforced Concrete", D604 = "Commercial", CHOOSE(RANDBETWEEN(1, 2), "Reinforced Concrete", "Unreinforced Masonry"), D604 = "Residential", CHOOSE(RANDBETWEEN(1, 3), "Reinforced Concrete", "Unreinforced Masonry", "Adobe / Light Timber"))</f>
        <v>Reinforced Concrete</v>
      </c>
      <c r="F604" s="3">
        <f t="shared" ca="1" si="66"/>
        <v>1994</v>
      </c>
      <c r="G604" s="3">
        <f t="shared" ca="1" si="67"/>
        <v>1</v>
      </c>
      <c r="H604" s="2">
        <f t="shared" ca="1" si="68"/>
        <v>4</v>
      </c>
      <c r="I604" s="4">
        <f t="shared" ca="1" si="69"/>
        <v>58665446</v>
      </c>
    </row>
    <row r="605" spans="1:9">
      <c r="A605" s="1">
        <v>10000604</v>
      </c>
      <c r="B605" s="3" t="str">
        <f t="shared" ca="1" si="63"/>
        <v>Kolkata</v>
      </c>
      <c r="C605" s="3" t="str">
        <f t="shared" ca="1" si="64"/>
        <v>Moderate Risk</v>
      </c>
      <c r="D605" s="3" t="str">
        <f t="shared" ca="1" si="65"/>
        <v>Residential</v>
      </c>
      <c r="E605" s="3" t="str" cm="1">
        <f t="array" aca="1" ref="E605" ca="1">_xlfn.IFS(D605="Industrial", "Reinforced Concrete", D605 = "Commercial", CHOOSE(RANDBETWEEN(1, 2), "Reinforced Concrete", "Unreinforced Masonry"), D605 = "Residential", CHOOSE(RANDBETWEEN(1, 3), "Reinforced Concrete", "Unreinforced Masonry", "Adobe / Light Timber"))</f>
        <v>Reinforced Concrete</v>
      </c>
      <c r="F605" s="3">
        <f t="shared" ca="1" si="66"/>
        <v>1999</v>
      </c>
      <c r="G605" s="3">
        <f t="shared" ca="1" si="67"/>
        <v>1</v>
      </c>
      <c r="H605" s="2">
        <f t="shared" ca="1" si="68"/>
        <v>5</v>
      </c>
      <c r="I605" s="4">
        <f t="shared" ca="1" si="69"/>
        <v>5087617</v>
      </c>
    </row>
    <row r="606" spans="1:9">
      <c r="A606" s="1">
        <v>10000605</v>
      </c>
      <c r="B606" s="3" t="str">
        <f t="shared" ca="1" si="63"/>
        <v>Malda</v>
      </c>
      <c r="C606" s="3" t="str">
        <f t="shared" ca="1" si="64"/>
        <v>High Risk</v>
      </c>
      <c r="D606" s="3" t="str">
        <f t="shared" ca="1" si="65"/>
        <v>Residential</v>
      </c>
      <c r="E606" s="3" t="str" cm="1">
        <f t="array" aca="1" ref="E606" ca="1">_xlfn.IFS(D606="Industrial", "Reinforced Concrete", D606 = "Commercial", CHOOSE(RANDBETWEEN(1, 2), "Reinforced Concrete", "Unreinforced Masonry"), D606 = "Residential", CHOOSE(RANDBETWEEN(1, 3), "Reinforced Concrete", "Unreinforced Masonry", "Adobe / Light Timber"))</f>
        <v>Reinforced Concrete</v>
      </c>
      <c r="F606" s="3">
        <f t="shared" ca="1" si="66"/>
        <v>2019</v>
      </c>
      <c r="G606" s="3">
        <f t="shared" ca="1" si="67"/>
        <v>3</v>
      </c>
      <c r="H606" s="2">
        <f t="shared" ca="1" si="68"/>
        <v>3</v>
      </c>
      <c r="I606" s="4">
        <f t="shared" ca="1" si="69"/>
        <v>3576197</v>
      </c>
    </row>
    <row r="607" spans="1:9">
      <c r="A607" s="1">
        <v>10000606</v>
      </c>
      <c r="B607" s="3" t="str">
        <f t="shared" ca="1" si="63"/>
        <v>Jalpaiguri</v>
      </c>
      <c r="C607" s="3" t="str">
        <f t="shared" ca="1" si="64"/>
        <v>High Risk</v>
      </c>
      <c r="D607" s="3" t="str">
        <f t="shared" ca="1" si="65"/>
        <v>Commercial</v>
      </c>
      <c r="E607" s="3" t="str" cm="1">
        <f t="array" aca="1" ref="E607" ca="1">_xlfn.IFS(D607="Industrial", "Reinforced Concrete", D607 = "Commercial", CHOOSE(RANDBETWEEN(1, 2), "Reinforced Concrete", "Unreinforced Masonry"), D607 = "Residential", CHOOSE(RANDBETWEEN(1, 3), "Reinforced Concrete", "Unreinforced Masonry", "Adobe / Light Timber"))</f>
        <v>Unreinforced Masonry</v>
      </c>
      <c r="F607" s="3">
        <f t="shared" ca="1" si="66"/>
        <v>1988</v>
      </c>
      <c r="G607" s="3">
        <f t="shared" ca="1" si="67"/>
        <v>3</v>
      </c>
      <c r="H607" s="2">
        <f t="shared" ca="1" si="68"/>
        <v>1</v>
      </c>
      <c r="I607" s="4">
        <f t="shared" ca="1" si="69"/>
        <v>22932113</v>
      </c>
    </row>
    <row r="608" spans="1:9">
      <c r="A608" s="1">
        <v>10000607</v>
      </c>
      <c r="B608" s="3" t="str">
        <f t="shared" ca="1" si="63"/>
        <v>Malda</v>
      </c>
      <c r="C608" s="3" t="str">
        <f t="shared" ca="1" si="64"/>
        <v>High Risk</v>
      </c>
      <c r="D608" s="3" t="str">
        <f t="shared" ca="1" si="65"/>
        <v>Residential</v>
      </c>
      <c r="E608" s="3" t="str" cm="1">
        <f t="array" aca="1" ref="E608" ca="1">_xlfn.IFS(D608="Industrial", "Reinforced Concrete", D608 = "Commercial", CHOOSE(RANDBETWEEN(1, 2), "Reinforced Concrete", "Unreinforced Masonry"), D608 = "Residential", CHOOSE(RANDBETWEEN(1, 3), "Reinforced Concrete", "Unreinforced Masonry", "Adobe / Light Timber"))</f>
        <v>Adobe / Light Timber</v>
      </c>
      <c r="F608" s="3">
        <f t="shared" ca="1" si="66"/>
        <v>2017</v>
      </c>
      <c r="G608" s="3">
        <f t="shared" ca="1" si="67"/>
        <v>1</v>
      </c>
      <c r="H608" s="2">
        <f t="shared" ca="1" si="68"/>
        <v>0</v>
      </c>
      <c r="I608" s="4">
        <f t="shared" ca="1" si="69"/>
        <v>526460</v>
      </c>
    </row>
    <row r="609" spans="1:9">
      <c r="A609" s="1">
        <v>10000608</v>
      </c>
      <c r="B609" s="3" t="str">
        <f t="shared" ca="1" si="63"/>
        <v>Malda</v>
      </c>
      <c r="C609" s="3" t="str">
        <f t="shared" ca="1" si="64"/>
        <v>High Risk</v>
      </c>
      <c r="D609" s="3" t="str">
        <f t="shared" ca="1" si="65"/>
        <v>Residential</v>
      </c>
      <c r="E609" s="3" t="str" cm="1">
        <f t="array" aca="1" ref="E609" ca="1">_xlfn.IFS(D609="Industrial", "Reinforced Concrete", D609 = "Commercial", CHOOSE(RANDBETWEEN(1, 2), "Reinforced Concrete", "Unreinforced Masonry"), D609 = "Residential", CHOOSE(RANDBETWEEN(1, 3), "Reinforced Concrete", "Unreinforced Masonry", "Adobe / Light Timber"))</f>
        <v>Unreinforced Masonry</v>
      </c>
      <c r="F609" s="3">
        <f t="shared" ca="1" si="66"/>
        <v>1991</v>
      </c>
      <c r="G609" s="3">
        <f t="shared" ca="1" si="67"/>
        <v>4</v>
      </c>
      <c r="H609" s="2">
        <f t="shared" ca="1" si="68"/>
        <v>1</v>
      </c>
      <c r="I609" s="4">
        <f t="shared" ca="1" si="69"/>
        <v>1228056</v>
      </c>
    </row>
    <row r="610" spans="1:9">
      <c r="A610" s="1">
        <v>10000609</v>
      </c>
      <c r="B610" s="3" t="str">
        <f t="shared" ca="1" si="63"/>
        <v>Jalpaiguri</v>
      </c>
      <c r="C610" s="3" t="str">
        <f t="shared" ca="1" si="64"/>
        <v>High Risk</v>
      </c>
      <c r="D610" s="3" t="str">
        <f t="shared" ca="1" si="65"/>
        <v>Residential</v>
      </c>
      <c r="E610" s="3" t="str" cm="1">
        <f t="array" aca="1" ref="E610" ca="1">_xlfn.IFS(D610="Industrial", "Reinforced Concrete", D610 = "Commercial", CHOOSE(RANDBETWEEN(1, 2), "Reinforced Concrete", "Unreinforced Masonry"), D610 = "Residential", CHOOSE(RANDBETWEEN(1, 3), "Reinforced Concrete", "Unreinforced Masonry", "Adobe / Light Timber"))</f>
        <v>Reinforced Concrete</v>
      </c>
      <c r="F610" s="3">
        <f t="shared" ca="1" si="66"/>
        <v>2022</v>
      </c>
      <c r="G610" s="3">
        <f t="shared" ca="1" si="67"/>
        <v>1</v>
      </c>
      <c r="H610" s="2">
        <f t="shared" ca="1" si="68"/>
        <v>3</v>
      </c>
      <c r="I610" s="4">
        <f t="shared" ca="1" si="69"/>
        <v>3338733</v>
      </c>
    </row>
    <row r="611" spans="1:9">
      <c r="A611" s="1">
        <v>10000610</v>
      </c>
      <c r="B611" s="3" t="str">
        <f t="shared" ca="1" si="63"/>
        <v>Paschim Medinipur</v>
      </c>
      <c r="C611" s="3" t="str">
        <f t="shared" ca="1" si="64"/>
        <v>Moderate Risk</v>
      </c>
      <c r="D611" s="3" t="str">
        <f t="shared" ca="1" si="65"/>
        <v>Residential</v>
      </c>
      <c r="E611" s="3" t="str" cm="1">
        <f t="array" aca="1" ref="E611" ca="1">_xlfn.IFS(D611="Industrial", "Reinforced Concrete", D611 = "Commercial", CHOOSE(RANDBETWEEN(1, 2), "Reinforced Concrete", "Unreinforced Masonry"), D611 = "Residential", CHOOSE(RANDBETWEEN(1, 3), "Reinforced Concrete", "Unreinforced Masonry", "Adobe / Light Timber"))</f>
        <v>Unreinforced Masonry</v>
      </c>
      <c r="F611" s="3">
        <f t="shared" ca="1" si="66"/>
        <v>2022</v>
      </c>
      <c r="G611" s="3">
        <f t="shared" ca="1" si="67"/>
        <v>3</v>
      </c>
      <c r="H611" s="2">
        <f t="shared" ca="1" si="68"/>
        <v>2</v>
      </c>
      <c r="I611" s="4">
        <f t="shared" ca="1" si="69"/>
        <v>2498543</v>
      </c>
    </row>
    <row r="612" spans="1:9">
      <c r="A612" s="1">
        <v>10000611</v>
      </c>
      <c r="B612" s="3" t="str">
        <f t="shared" ca="1" si="63"/>
        <v>Kolkata</v>
      </c>
      <c r="C612" s="3" t="str">
        <f t="shared" ca="1" si="64"/>
        <v>Moderate Risk</v>
      </c>
      <c r="D612" s="3" t="str">
        <f t="shared" ca="1" si="65"/>
        <v>Industrial</v>
      </c>
      <c r="E612" s="3" t="str" cm="1">
        <f t="array" aca="1" ref="E612" ca="1">_xlfn.IFS(D612="Industrial", "Reinforced Concrete", D612 = "Commercial", CHOOSE(RANDBETWEEN(1, 2), "Reinforced Concrete", "Unreinforced Masonry"), D612 = "Residential", CHOOSE(RANDBETWEEN(1, 3), "Reinforced Concrete", "Unreinforced Masonry", "Adobe / Light Timber"))</f>
        <v>Reinforced Concrete</v>
      </c>
      <c r="F612" s="3">
        <f t="shared" ca="1" si="66"/>
        <v>2007</v>
      </c>
      <c r="G612" s="3">
        <f t="shared" ca="1" si="67"/>
        <v>1</v>
      </c>
      <c r="H612" s="2">
        <f t="shared" ca="1" si="68"/>
        <v>3</v>
      </c>
      <c r="I612" s="4">
        <f t="shared" ca="1" si="69"/>
        <v>64734181</v>
      </c>
    </row>
    <row r="613" spans="1:9">
      <c r="A613" s="1">
        <v>10000612</v>
      </c>
      <c r="B613" s="3" t="str">
        <f t="shared" ca="1" si="63"/>
        <v>Hooghly</v>
      </c>
      <c r="C613" s="3" t="str">
        <f t="shared" ca="1" si="64"/>
        <v>Moderate Risk</v>
      </c>
      <c r="D613" s="3" t="str">
        <f t="shared" ca="1" si="65"/>
        <v>Residential</v>
      </c>
      <c r="E613" s="3" t="str" cm="1">
        <f t="array" aca="1" ref="E613" ca="1">_xlfn.IFS(D613="Industrial", "Reinforced Concrete", D613 = "Commercial", CHOOSE(RANDBETWEEN(1, 2), "Reinforced Concrete", "Unreinforced Masonry"), D613 = "Residential", CHOOSE(RANDBETWEEN(1, 3), "Reinforced Concrete", "Unreinforced Masonry", "Adobe / Light Timber"))</f>
        <v>Reinforced Concrete</v>
      </c>
      <c r="F613" s="3">
        <f t="shared" ca="1" si="66"/>
        <v>2011</v>
      </c>
      <c r="G613" s="3">
        <f t="shared" ca="1" si="67"/>
        <v>2</v>
      </c>
      <c r="H613" s="2">
        <f t="shared" ca="1" si="68"/>
        <v>3</v>
      </c>
      <c r="I613" s="4">
        <f t="shared" ca="1" si="69"/>
        <v>3263779</v>
      </c>
    </row>
    <row r="614" spans="1:9">
      <c r="A614" s="1">
        <v>10000613</v>
      </c>
      <c r="B614" s="3" t="str">
        <f t="shared" ca="1" si="63"/>
        <v>Kolkata</v>
      </c>
      <c r="C614" s="3" t="str">
        <f t="shared" ca="1" si="64"/>
        <v>Moderate Risk</v>
      </c>
      <c r="D614" s="3" t="str">
        <f t="shared" ca="1" si="65"/>
        <v>Residential</v>
      </c>
      <c r="E614" s="3" t="str" cm="1">
        <f t="array" aca="1" ref="E614" ca="1">_xlfn.IFS(D614="Industrial", "Reinforced Concrete", D614 = "Commercial", CHOOSE(RANDBETWEEN(1, 2), "Reinforced Concrete", "Unreinforced Masonry"), D614 = "Residential", CHOOSE(RANDBETWEEN(1, 3), "Reinforced Concrete", "Unreinforced Masonry", "Adobe / Light Timber"))</f>
        <v>Reinforced Concrete</v>
      </c>
      <c r="F614" s="3">
        <f t="shared" ca="1" si="66"/>
        <v>2009</v>
      </c>
      <c r="G614" s="3">
        <f t="shared" ca="1" si="67"/>
        <v>1</v>
      </c>
      <c r="H614" s="2">
        <f t="shared" ca="1" si="68"/>
        <v>5</v>
      </c>
      <c r="I614" s="4">
        <f t="shared" ca="1" si="69"/>
        <v>3930741</v>
      </c>
    </row>
    <row r="615" spans="1:9">
      <c r="A615" s="1">
        <v>10000614</v>
      </c>
      <c r="B615" s="3" t="str">
        <f t="shared" ca="1" si="63"/>
        <v>Malda</v>
      </c>
      <c r="C615" s="3" t="str">
        <f t="shared" ca="1" si="64"/>
        <v>High Risk</v>
      </c>
      <c r="D615" s="3" t="str">
        <f t="shared" ca="1" si="65"/>
        <v>Commercial</v>
      </c>
      <c r="E615" s="3" t="str" cm="1">
        <f t="array" aca="1" ref="E615" ca="1">_xlfn.IFS(D615="Industrial", "Reinforced Concrete", D615 = "Commercial", CHOOSE(RANDBETWEEN(1, 2), "Reinforced Concrete", "Unreinforced Masonry"), D615 = "Residential", CHOOSE(RANDBETWEEN(1, 3), "Reinforced Concrete", "Unreinforced Masonry", "Adobe / Light Timber"))</f>
        <v>Unreinforced Masonry</v>
      </c>
      <c r="F615" s="3">
        <f t="shared" ca="1" si="66"/>
        <v>1981</v>
      </c>
      <c r="G615" s="3">
        <f t="shared" ca="1" si="67"/>
        <v>5</v>
      </c>
      <c r="H615" s="2">
        <f t="shared" ca="1" si="68"/>
        <v>2</v>
      </c>
      <c r="I615" s="4">
        <f t="shared" ca="1" si="69"/>
        <v>15249296</v>
      </c>
    </row>
    <row r="616" spans="1:9">
      <c r="A616" s="1">
        <v>10000615</v>
      </c>
      <c r="B616" s="3" t="str">
        <f t="shared" ca="1" si="63"/>
        <v>Malda</v>
      </c>
      <c r="C616" s="3" t="str">
        <f t="shared" ca="1" si="64"/>
        <v>High Risk</v>
      </c>
      <c r="D616" s="3" t="str">
        <f t="shared" ca="1" si="65"/>
        <v>Commercial</v>
      </c>
      <c r="E616" s="3" t="str" cm="1">
        <f t="array" aca="1" ref="E616" ca="1">_xlfn.IFS(D616="Industrial", "Reinforced Concrete", D616 = "Commercial", CHOOSE(RANDBETWEEN(1, 2), "Reinforced Concrete", "Unreinforced Masonry"), D616 = "Residential", CHOOSE(RANDBETWEEN(1, 3), "Reinforced Concrete", "Unreinforced Masonry", "Adobe / Light Timber"))</f>
        <v>Reinforced Concrete</v>
      </c>
      <c r="F616" s="3">
        <f t="shared" ca="1" si="66"/>
        <v>2005</v>
      </c>
      <c r="G616" s="3">
        <f t="shared" ca="1" si="67"/>
        <v>2</v>
      </c>
      <c r="H616" s="2">
        <f t="shared" ca="1" si="68"/>
        <v>4</v>
      </c>
      <c r="I616" s="4">
        <f t="shared" ca="1" si="69"/>
        <v>25193050</v>
      </c>
    </row>
    <row r="617" spans="1:9">
      <c r="A617" s="1">
        <v>10000616</v>
      </c>
      <c r="B617" s="3" t="str">
        <f t="shared" ca="1" si="63"/>
        <v>Kolkata</v>
      </c>
      <c r="C617" s="3" t="str">
        <f t="shared" ca="1" si="64"/>
        <v>Moderate Risk</v>
      </c>
      <c r="D617" s="3" t="str">
        <f t="shared" ca="1" si="65"/>
        <v>Commercial</v>
      </c>
      <c r="E617" s="3" t="str" cm="1">
        <f t="array" aca="1" ref="E617" ca="1">_xlfn.IFS(D617="Industrial", "Reinforced Concrete", D617 = "Commercial", CHOOSE(RANDBETWEEN(1, 2), "Reinforced Concrete", "Unreinforced Masonry"), D617 = "Residential", CHOOSE(RANDBETWEEN(1, 3), "Reinforced Concrete", "Unreinforced Masonry", "Adobe / Light Timber"))</f>
        <v>Unreinforced Masonry</v>
      </c>
      <c r="F617" s="3">
        <f t="shared" ca="1" si="66"/>
        <v>2023</v>
      </c>
      <c r="G617" s="3">
        <f t="shared" ca="1" si="67"/>
        <v>1</v>
      </c>
      <c r="H617" s="2">
        <f t="shared" ca="1" si="68"/>
        <v>1</v>
      </c>
      <c r="I617" s="4">
        <f t="shared" ca="1" si="69"/>
        <v>23023179</v>
      </c>
    </row>
    <row r="618" spans="1:9">
      <c r="A618" s="1">
        <v>10000617</v>
      </c>
      <c r="B618" s="3" t="str">
        <f t="shared" ca="1" si="63"/>
        <v>Hooghly</v>
      </c>
      <c r="C618" s="3" t="str">
        <f t="shared" ca="1" si="64"/>
        <v>Moderate Risk</v>
      </c>
      <c r="D618" s="3" t="str">
        <f t="shared" ca="1" si="65"/>
        <v>Industrial</v>
      </c>
      <c r="E618" s="3" t="str" cm="1">
        <f t="array" aca="1" ref="E618" ca="1">_xlfn.IFS(D618="Industrial", "Reinforced Concrete", D618 = "Commercial", CHOOSE(RANDBETWEEN(1, 2), "Reinforced Concrete", "Unreinforced Masonry"), D618 = "Residential", CHOOSE(RANDBETWEEN(1, 3), "Reinforced Concrete", "Unreinforced Masonry", "Adobe / Light Timber"))</f>
        <v>Reinforced Concrete</v>
      </c>
      <c r="F618" s="3">
        <f t="shared" ca="1" si="66"/>
        <v>2003</v>
      </c>
      <c r="G618" s="3">
        <f t="shared" ca="1" si="67"/>
        <v>3</v>
      </c>
      <c r="H618" s="2">
        <f t="shared" ca="1" si="68"/>
        <v>3</v>
      </c>
      <c r="I618" s="4">
        <f t="shared" ca="1" si="69"/>
        <v>51610981</v>
      </c>
    </row>
    <row r="619" spans="1:9">
      <c r="A619" s="1">
        <v>10000618</v>
      </c>
      <c r="B619" s="3" t="str">
        <f t="shared" ca="1" si="63"/>
        <v>Hooghly</v>
      </c>
      <c r="C619" s="3" t="str">
        <f t="shared" ca="1" si="64"/>
        <v>Moderate Risk</v>
      </c>
      <c r="D619" s="3" t="str">
        <f t="shared" ca="1" si="65"/>
        <v>Industrial</v>
      </c>
      <c r="E619" s="3" t="str" cm="1">
        <f t="array" aca="1" ref="E619" ca="1">_xlfn.IFS(D619="Industrial", "Reinforced Concrete", D619 = "Commercial", CHOOSE(RANDBETWEEN(1, 2), "Reinforced Concrete", "Unreinforced Masonry"), D619 = "Residential", CHOOSE(RANDBETWEEN(1, 3), "Reinforced Concrete", "Unreinforced Masonry", "Adobe / Light Timber"))</f>
        <v>Reinforced Concrete</v>
      </c>
      <c r="F619" s="3">
        <f t="shared" ca="1" si="66"/>
        <v>1987</v>
      </c>
      <c r="G619" s="3">
        <f t="shared" ca="1" si="67"/>
        <v>2</v>
      </c>
      <c r="H619" s="2">
        <f t="shared" ca="1" si="68"/>
        <v>3</v>
      </c>
      <c r="I619" s="4">
        <f t="shared" ca="1" si="69"/>
        <v>49506325</v>
      </c>
    </row>
    <row r="620" spans="1:9">
      <c r="A620" s="1">
        <v>10000619</v>
      </c>
      <c r="B620" s="3" t="str">
        <f t="shared" ca="1" si="63"/>
        <v>Paschim Medinipur</v>
      </c>
      <c r="C620" s="3" t="str">
        <f t="shared" ca="1" si="64"/>
        <v>Moderate Risk</v>
      </c>
      <c r="D620" s="3" t="str">
        <f t="shared" ca="1" si="65"/>
        <v>Commercial</v>
      </c>
      <c r="E620" s="3" t="str" cm="1">
        <f t="array" aca="1" ref="E620" ca="1">_xlfn.IFS(D620="Industrial", "Reinforced Concrete", D620 = "Commercial", CHOOSE(RANDBETWEEN(1, 2), "Reinforced Concrete", "Unreinforced Masonry"), D620 = "Residential", CHOOSE(RANDBETWEEN(1, 3), "Reinforced Concrete", "Unreinforced Masonry", "Adobe / Light Timber"))</f>
        <v>Unreinforced Masonry</v>
      </c>
      <c r="F620" s="3">
        <f t="shared" ca="1" si="66"/>
        <v>2024</v>
      </c>
      <c r="G620" s="3">
        <f t="shared" ca="1" si="67"/>
        <v>4</v>
      </c>
      <c r="H620" s="2">
        <f t="shared" ca="1" si="68"/>
        <v>0</v>
      </c>
      <c r="I620" s="4">
        <f t="shared" ca="1" si="69"/>
        <v>4819779</v>
      </c>
    </row>
    <row r="621" spans="1:9">
      <c r="A621" s="1">
        <v>10000620</v>
      </c>
      <c r="B621" s="3" t="str">
        <f t="shared" ca="1" si="63"/>
        <v>Malda</v>
      </c>
      <c r="C621" s="3" t="str">
        <f t="shared" ca="1" si="64"/>
        <v>High Risk</v>
      </c>
      <c r="D621" s="3" t="str">
        <f t="shared" ca="1" si="65"/>
        <v>Commercial</v>
      </c>
      <c r="E621" s="3" t="str" cm="1">
        <f t="array" aca="1" ref="E621" ca="1">_xlfn.IFS(D621="Industrial", "Reinforced Concrete", D621 = "Commercial", CHOOSE(RANDBETWEEN(1, 2), "Reinforced Concrete", "Unreinforced Masonry"), D621 = "Residential", CHOOSE(RANDBETWEEN(1, 3), "Reinforced Concrete", "Unreinforced Masonry", "Adobe / Light Timber"))</f>
        <v>Unreinforced Masonry</v>
      </c>
      <c r="F621" s="3">
        <f t="shared" ca="1" si="66"/>
        <v>2001</v>
      </c>
      <c r="G621" s="3">
        <f t="shared" ca="1" si="67"/>
        <v>4</v>
      </c>
      <c r="H621" s="2">
        <f t="shared" ca="1" si="68"/>
        <v>1</v>
      </c>
      <c r="I621" s="4">
        <f t="shared" ca="1" si="69"/>
        <v>16115553</v>
      </c>
    </row>
    <row r="622" spans="1:9">
      <c r="A622" s="1">
        <v>10000621</v>
      </c>
      <c r="B622" s="3" t="str">
        <f t="shared" ca="1" si="63"/>
        <v>Malda</v>
      </c>
      <c r="C622" s="3" t="str">
        <f t="shared" ca="1" si="64"/>
        <v>High Risk</v>
      </c>
      <c r="D622" s="3" t="str">
        <f t="shared" ca="1" si="65"/>
        <v>Commercial</v>
      </c>
      <c r="E622" s="3" t="str" cm="1">
        <f t="array" aca="1" ref="E622" ca="1">_xlfn.IFS(D622="Industrial", "Reinforced Concrete", D622 = "Commercial", CHOOSE(RANDBETWEEN(1, 2), "Reinforced Concrete", "Unreinforced Masonry"), D622 = "Residential", CHOOSE(RANDBETWEEN(1, 3), "Reinforced Concrete", "Unreinforced Masonry", "Adobe / Light Timber"))</f>
        <v>Unreinforced Masonry</v>
      </c>
      <c r="F622" s="3">
        <f t="shared" ca="1" si="66"/>
        <v>2020</v>
      </c>
      <c r="G622" s="3">
        <f t="shared" ca="1" si="67"/>
        <v>3</v>
      </c>
      <c r="H622" s="2">
        <f t="shared" ca="1" si="68"/>
        <v>1</v>
      </c>
      <c r="I622" s="4">
        <f t="shared" ca="1" si="69"/>
        <v>8886979</v>
      </c>
    </row>
    <row r="623" spans="1:9">
      <c r="A623" s="1">
        <v>10000622</v>
      </c>
      <c r="B623" s="3" t="str">
        <f t="shared" ca="1" si="63"/>
        <v>Paschim Medinipur</v>
      </c>
      <c r="C623" s="3" t="str">
        <f t="shared" ca="1" si="64"/>
        <v>Moderate Risk</v>
      </c>
      <c r="D623" s="3" t="str">
        <f t="shared" ca="1" si="65"/>
        <v>Residential</v>
      </c>
      <c r="E623" s="3" t="str" cm="1">
        <f t="array" aca="1" ref="E623" ca="1">_xlfn.IFS(D623="Industrial", "Reinforced Concrete", D623 = "Commercial", CHOOSE(RANDBETWEEN(1, 2), "Reinforced Concrete", "Unreinforced Masonry"), D623 = "Residential", CHOOSE(RANDBETWEEN(1, 3), "Reinforced Concrete", "Unreinforced Masonry", "Adobe / Light Timber"))</f>
        <v>Reinforced Concrete</v>
      </c>
      <c r="F623" s="3">
        <f t="shared" ca="1" si="66"/>
        <v>2004</v>
      </c>
      <c r="G623" s="3">
        <f t="shared" ca="1" si="67"/>
        <v>5</v>
      </c>
      <c r="H623" s="2">
        <f t="shared" ca="1" si="68"/>
        <v>4</v>
      </c>
      <c r="I623" s="4">
        <f t="shared" ca="1" si="69"/>
        <v>2997622</v>
      </c>
    </row>
    <row r="624" spans="1:9">
      <c r="A624" s="1">
        <v>10000623</v>
      </c>
      <c r="B624" s="3" t="str">
        <f t="shared" ca="1" si="63"/>
        <v>South 24 Parganas</v>
      </c>
      <c r="C624" s="3" t="str">
        <f t="shared" ca="1" si="64"/>
        <v>High Risk</v>
      </c>
      <c r="D624" s="3" t="str">
        <f t="shared" ca="1" si="65"/>
        <v>Residential</v>
      </c>
      <c r="E624" s="3" t="str" cm="1">
        <f t="array" aca="1" ref="E624" ca="1">_xlfn.IFS(D624="Industrial", "Reinforced Concrete", D624 = "Commercial", CHOOSE(RANDBETWEEN(1, 2), "Reinforced Concrete", "Unreinforced Masonry"), D624 = "Residential", CHOOSE(RANDBETWEEN(1, 3), "Reinforced Concrete", "Unreinforced Masonry", "Adobe / Light Timber"))</f>
        <v>Unreinforced Masonry</v>
      </c>
      <c r="F624" s="3">
        <f t="shared" ca="1" si="66"/>
        <v>1986</v>
      </c>
      <c r="G624" s="3">
        <f t="shared" ca="1" si="67"/>
        <v>5</v>
      </c>
      <c r="H624" s="2">
        <f t="shared" ca="1" si="68"/>
        <v>1</v>
      </c>
      <c r="I624" s="4">
        <f t="shared" ca="1" si="69"/>
        <v>4554811</v>
      </c>
    </row>
    <row r="625" spans="1:9">
      <c r="A625" s="1">
        <v>10000624</v>
      </c>
      <c r="B625" s="3" t="str">
        <f t="shared" ca="1" si="63"/>
        <v>Kolkata</v>
      </c>
      <c r="C625" s="3" t="str">
        <f t="shared" ca="1" si="64"/>
        <v>Moderate Risk</v>
      </c>
      <c r="D625" s="3" t="str">
        <f t="shared" ca="1" si="65"/>
        <v>Commercial</v>
      </c>
      <c r="E625" s="3" t="str" cm="1">
        <f t="array" aca="1" ref="E625" ca="1">_xlfn.IFS(D625="Industrial", "Reinforced Concrete", D625 = "Commercial", CHOOSE(RANDBETWEEN(1, 2), "Reinforced Concrete", "Unreinforced Masonry"), D625 = "Residential", CHOOSE(RANDBETWEEN(1, 3), "Reinforced Concrete", "Unreinforced Masonry", "Adobe / Light Timber"))</f>
        <v>Unreinforced Masonry</v>
      </c>
      <c r="F625" s="3">
        <f t="shared" ca="1" si="66"/>
        <v>1993</v>
      </c>
      <c r="G625" s="3">
        <f t="shared" ca="1" si="67"/>
        <v>2</v>
      </c>
      <c r="H625" s="2">
        <f t="shared" ca="1" si="68"/>
        <v>2</v>
      </c>
      <c r="I625" s="4">
        <f t="shared" ca="1" si="69"/>
        <v>13088042</v>
      </c>
    </row>
    <row r="626" spans="1:9">
      <c r="A626" s="1">
        <v>10000625</v>
      </c>
      <c r="B626" s="3" t="str">
        <f t="shared" ca="1" si="63"/>
        <v>South 24 Parganas</v>
      </c>
      <c r="C626" s="3" t="str">
        <f t="shared" ca="1" si="64"/>
        <v>High Risk</v>
      </c>
      <c r="D626" s="3" t="str">
        <f t="shared" ca="1" si="65"/>
        <v>Residential</v>
      </c>
      <c r="E626" s="3" t="str" cm="1">
        <f t="array" aca="1" ref="E626" ca="1">_xlfn.IFS(D626="Industrial", "Reinforced Concrete", D626 = "Commercial", CHOOSE(RANDBETWEEN(1, 2), "Reinforced Concrete", "Unreinforced Masonry"), D626 = "Residential", CHOOSE(RANDBETWEEN(1, 3), "Reinforced Concrete", "Unreinforced Masonry", "Adobe / Light Timber"))</f>
        <v>Unreinforced Masonry</v>
      </c>
      <c r="F626" s="3">
        <f t="shared" ca="1" si="66"/>
        <v>2000</v>
      </c>
      <c r="G626" s="3">
        <f t="shared" ca="1" si="67"/>
        <v>3</v>
      </c>
      <c r="H626" s="2">
        <f t="shared" ca="1" si="68"/>
        <v>0</v>
      </c>
      <c r="I626" s="4">
        <f t="shared" ca="1" si="69"/>
        <v>4368661</v>
      </c>
    </row>
    <row r="627" spans="1:9">
      <c r="A627" s="1">
        <v>10000626</v>
      </c>
      <c r="B627" s="3" t="str">
        <f t="shared" ca="1" si="63"/>
        <v>Malda</v>
      </c>
      <c r="C627" s="3" t="str">
        <f t="shared" ca="1" si="64"/>
        <v>High Risk</v>
      </c>
      <c r="D627" s="3" t="str">
        <f t="shared" ca="1" si="65"/>
        <v>Industrial</v>
      </c>
      <c r="E627" s="3" t="str" cm="1">
        <f t="array" aca="1" ref="E627" ca="1">_xlfn.IFS(D627="Industrial", "Reinforced Concrete", D627 = "Commercial", CHOOSE(RANDBETWEEN(1, 2), "Reinforced Concrete", "Unreinforced Masonry"), D627 = "Residential", CHOOSE(RANDBETWEEN(1, 3), "Reinforced Concrete", "Unreinforced Masonry", "Adobe / Light Timber"))</f>
        <v>Reinforced Concrete</v>
      </c>
      <c r="F627" s="3">
        <f t="shared" ca="1" si="66"/>
        <v>2004</v>
      </c>
      <c r="G627" s="3">
        <f t="shared" ca="1" si="67"/>
        <v>3</v>
      </c>
      <c r="H627" s="2">
        <f t="shared" ca="1" si="68"/>
        <v>4</v>
      </c>
      <c r="I627" s="4">
        <f t="shared" ca="1" si="69"/>
        <v>50838936</v>
      </c>
    </row>
    <row r="628" spans="1:9">
      <c r="A628" s="1">
        <v>10000627</v>
      </c>
      <c r="B628" s="3" t="str">
        <f t="shared" ca="1" si="63"/>
        <v>Hooghly</v>
      </c>
      <c r="C628" s="3" t="str">
        <f t="shared" ca="1" si="64"/>
        <v>Moderate Risk</v>
      </c>
      <c r="D628" s="3" t="str">
        <f t="shared" ca="1" si="65"/>
        <v>Commercial</v>
      </c>
      <c r="E628" s="3" t="str" cm="1">
        <f t="array" aca="1" ref="E628" ca="1">_xlfn.IFS(D628="Industrial", "Reinforced Concrete", D628 = "Commercial", CHOOSE(RANDBETWEEN(1, 2), "Reinforced Concrete", "Unreinforced Masonry"), D628 = "Residential", CHOOSE(RANDBETWEEN(1, 3), "Reinforced Concrete", "Unreinforced Masonry", "Adobe / Light Timber"))</f>
        <v>Unreinforced Masonry</v>
      </c>
      <c r="F628" s="3">
        <f t="shared" ca="1" si="66"/>
        <v>2012</v>
      </c>
      <c r="G628" s="3">
        <f t="shared" ca="1" si="67"/>
        <v>4</v>
      </c>
      <c r="H628" s="2">
        <f t="shared" ca="1" si="68"/>
        <v>2</v>
      </c>
      <c r="I628" s="4">
        <f t="shared" ca="1" si="69"/>
        <v>16179447</v>
      </c>
    </row>
    <row r="629" spans="1:9">
      <c r="A629" s="1">
        <v>10000628</v>
      </c>
      <c r="B629" s="3" t="str">
        <f t="shared" ca="1" si="63"/>
        <v>Jalpaiguri</v>
      </c>
      <c r="C629" s="3" t="str">
        <f t="shared" ca="1" si="64"/>
        <v>High Risk</v>
      </c>
      <c r="D629" s="3" t="str">
        <f t="shared" ca="1" si="65"/>
        <v>Residential</v>
      </c>
      <c r="E629" s="3" t="str" cm="1">
        <f t="array" aca="1" ref="E629" ca="1">_xlfn.IFS(D629="Industrial", "Reinforced Concrete", D629 = "Commercial", CHOOSE(RANDBETWEEN(1, 2), "Reinforced Concrete", "Unreinforced Masonry"), D629 = "Residential", CHOOSE(RANDBETWEEN(1, 3), "Reinforced Concrete", "Unreinforced Masonry", "Adobe / Light Timber"))</f>
        <v>Adobe / Light Timber</v>
      </c>
      <c r="F629" s="3">
        <f t="shared" ca="1" si="66"/>
        <v>1984</v>
      </c>
      <c r="G629" s="3">
        <f t="shared" ca="1" si="67"/>
        <v>1</v>
      </c>
      <c r="H629" s="2">
        <f t="shared" ca="1" si="68"/>
        <v>2</v>
      </c>
      <c r="I629" s="4">
        <f t="shared" ca="1" si="69"/>
        <v>710233</v>
      </c>
    </row>
    <row r="630" spans="1:9">
      <c r="A630" s="1">
        <v>10000629</v>
      </c>
      <c r="B630" s="3" t="str">
        <f t="shared" ca="1" si="63"/>
        <v>Paschim Medinipur</v>
      </c>
      <c r="C630" s="3" t="str">
        <f t="shared" ca="1" si="64"/>
        <v>Moderate Risk</v>
      </c>
      <c r="D630" s="3" t="str">
        <f t="shared" ca="1" si="65"/>
        <v>Commercial</v>
      </c>
      <c r="E630" s="3" t="str" cm="1">
        <f t="array" aca="1" ref="E630" ca="1">_xlfn.IFS(D630="Industrial", "Reinforced Concrete", D630 = "Commercial", CHOOSE(RANDBETWEEN(1, 2), "Reinforced Concrete", "Unreinforced Masonry"), D630 = "Residential", CHOOSE(RANDBETWEEN(1, 3), "Reinforced Concrete", "Unreinforced Masonry", "Adobe / Light Timber"))</f>
        <v>Reinforced Concrete</v>
      </c>
      <c r="F630" s="3">
        <f t="shared" ca="1" si="66"/>
        <v>1994</v>
      </c>
      <c r="G630" s="3">
        <f t="shared" ca="1" si="67"/>
        <v>4</v>
      </c>
      <c r="H630" s="2">
        <f t="shared" ca="1" si="68"/>
        <v>5</v>
      </c>
      <c r="I630" s="4">
        <f t="shared" ca="1" si="69"/>
        <v>11863875</v>
      </c>
    </row>
    <row r="631" spans="1:9">
      <c r="A631" s="1">
        <v>10000630</v>
      </c>
      <c r="B631" s="3" t="str">
        <f t="shared" ca="1" si="63"/>
        <v>South 24 Parganas</v>
      </c>
      <c r="C631" s="3" t="str">
        <f t="shared" ca="1" si="64"/>
        <v>High Risk</v>
      </c>
      <c r="D631" s="3" t="str">
        <f t="shared" ca="1" si="65"/>
        <v>Industrial</v>
      </c>
      <c r="E631" s="3" t="str" cm="1">
        <f t="array" aca="1" ref="E631" ca="1">_xlfn.IFS(D631="Industrial", "Reinforced Concrete", D631 = "Commercial", CHOOSE(RANDBETWEEN(1, 2), "Reinforced Concrete", "Unreinforced Masonry"), D631 = "Residential", CHOOSE(RANDBETWEEN(1, 3), "Reinforced Concrete", "Unreinforced Masonry", "Adobe / Light Timber"))</f>
        <v>Reinforced Concrete</v>
      </c>
      <c r="F631" s="3">
        <f t="shared" ca="1" si="66"/>
        <v>2016</v>
      </c>
      <c r="G631" s="3">
        <f t="shared" ca="1" si="67"/>
        <v>5</v>
      </c>
      <c r="H631" s="2">
        <f t="shared" ca="1" si="68"/>
        <v>3</v>
      </c>
      <c r="I631" s="4">
        <f t="shared" ca="1" si="69"/>
        <v>59786701</v>
      </c>
    </row>
    <row r="632" spans="1:9">
      <c r="A632" s="1">
        <v>10000631</v>
      </c>
      <c r="B632" s="3" t="str">
        <f t="shared" ca="1" si="63"/>
        <v>South 24 Parganas</v>
      </c>
      <c r="C632" s="3" t="str">
        <f t="shared" ca="1" si="64"/>
        <v>High Risk</v>
      </c>
      <c r="D632" s="3" t="str">
        <f t="shared" ca="1" si="65"/>
        <v>Commercial</v>
      </c>
      <c r="E632" s="3" t="str" cm="1">
        <f t="array" aca="1" ref="E632" ca="1">_xlfn.IFS(D632="Industrial", "Reinforced Concrete", D632 = "Commercial", CHOOSE(RANDBETWEEN(1, 2), "Reinforced Concrete", "Unreinforced Masonry"), D632 = "Residential", CHOOSE(RANDBETWEEN(1, 3), "Reinforced Concrete", "Unreinforced Masonry", "Adobe / Light Timber"))</f>
        <v>Unreinforced Masonry</v>
      </c>
      <c r="F632" s="3">
        <f t="shared" ca="1" si="66"/>
        <v>2018</v>
      </c>
      <c r="G632" s="3">
        <f t="shared" ca="1" si="67"/>
        <v>4</v>
      </c>
      <c r="H632" s="2">
        <f t="shared" ca="1" si="68"/>
        <v>1</v>
      </c>
      <c r="I632" s="4">
        <f t="shared" ca="1" si="69"/>
        <v>17145889</v>
      </c>
    </row>
    <row r="633" spans="1:9">
      <c r="A633" s="1">
        <v>10000632</v>
      </c>
      <c r="B633" s="3" t="str">
        <f t="shared" ca="1" si="63"/>
        <v>Paschim Medinipur</v>
      </c>
      <c r="C633" s="3" t="str">
        <f t="shared" ca="1" si="64"/>
        <v>Moderate Risk</v>
      </c>
      <c r="D633" s="3" t="str">
        <f t="shared" ca="1" si="65"/>
        <v>Commercial</v>
      </c>
      <c r="E633" s="3" t="str" cm="1">
        <f t="array" aca="1" ref="E633" ca="1">_xlfn.IFS(D633="Industrial", "Reinforced Concrete", D633 = "Commercial", CHOOSE(RANDBETWEEN(1, 2), "Reinforced Concrete", "Unreinforced Masonry"), D633 = "Residential", CHOOSE(RANDBETWEEN(1, 3), "Reinforced Concrete", "Unreinforced Masonry", "Adobe / Light Timber"))</f>
        <v>Unreinforced Masonry</v>
      </c>
      <c r="F633" s="3">
        <f t="shared" ca="1" si="66"/>
        <v>1980</v>
      </c>
      <c r="G633" s="3">
        <f t="shared" ca="1" si="67"/>
        <v>4</v>
      </c>
      <c r="H633" s="2">
        <f t="shared" ca="1" si="68"/>
        <v>2</v>
      </c>
      <c r="I633" s="4">
        <f t="shared" ca="1" si="69"/>
        <v>24985658</v>
      </c>
    </row>
    <row r="634" spans="1:9">
      <c r="A634" s="1">
        <v>10000633</v>
      </c>
      <c r="B634" s="3" t="str">
        <f t="shared" ca="1" si="63"/>
        <v>Hooghly</v>
      </c>
      <c r="C634" s="3" t="str">
        <f t="shared" ca="1" si="64"/>
        <v>Moderate Risk</v>
      </c>
      <c r="D634" s="3" t="str">
        <f t="shared" ca="1" si="65"/>
        <v>Industrial</v>
      </c>
      <c r="E634" s="3" t="str" cm="1">
        <f t="array" aca="1" ref="E634" ca="1">_xlfn.IFS(D634="Industrial", "Reinforced Concrete", D634 = "Commercial", CHOOSE(RANDBETWEEN(1, 2), "Reinforced Concrete", "Unreinforced Masonry"), D634 = "Residential", CHOOSE(RANDBETWEEN(1, 3), "Reinforced Concrete", "Unreinforced Masonry", "Adobe / Light Timber"))</f>
        <v>Reinforced Concrete</v>
      </c>
      <c r="F634" s="3">
        <f t="shared" ca="1" si="66"/>
        <v>1994</v>
      </c>
      <c r="G634" s="3">
        <f t="shared" ca="1" si="67"/>
        <v>3</v>
      </c>
      <c r="H634" s="2">
        <f t="shared" ca="1" si="68"/>
        <v>5</v>
      </c>
      <c r="I634" s="4">
        <f t="shared" ca="1" si="69"/>
        <v>38092650</v>
      </c>
    </row>
    <row r="635" spans="1:9">
      <c r="A635" s="1">
        <v>10000634</v>
      </c>
      <c r="B635" s="3" t="str">
        <f t="shared" ca="1" si="63"/>
        <v>Hooghly</v>
      </c>
      <c r="C635" s="3" t="str">
        <f t="shared" ca="1" si="64"/>
        <v>Moderate Risk</v>
      </c>
      <c r="D635" s="3" t="str">
        <f t="shared" ca="1" si="65"/>
        <v>Commercial</v>
      </c>
      <c r="E635" s="3" t="str" cm="1">
        <f t="array" aca="1" ref="E635" ca="1">_xlfn.IFS(D635="Industrial", "Reinforced Concrete", D635 = "Commercial", CHOOSE(RANDBETWEEN(1, 2), "Reinforced Concrete", "Unreinforced Masonry"), D635 = "Residential", CHOOSE(RANDBETWEEN(1, 3), "Reinforced Concrete", "Unreinforced Masonry", "Adobe / Light Timber"))</f>
        <v>Reinforced Concrete</v>
      </c>
      <c r="F635" s="3">
        <f t="shared" ca="1" si="66"/>
        <v>2007</v>
      </c>
      <c r="G635" s="3">
        <f t="shared" ca="1" si="67"/>
        <v>1</v>
      </c>
      <c r="H635" s="2">
        <f t="shared" ca="1" si="68"/>
        <v>5</v>
      </c>
      <c r="I635" s="4">
        <f t="shared" ca="1" si="69"/>
        <v>18991079</v>
      </c>
    </row>
    <row r="636" spans="1:9">
      <c r="A636" s="1">
        <v>10000635</v>
      </c>
      <c r="B636" s="3" t="str">
        <f t="shared" ca="1" si="63"/>
        <v>Kolkata</v>
      </c>
      <c r="C636" s="3" t="str">
        <f t="shared" ca="1" si="64"/>
        <v>Moderate Risk</v>
      </c>
      <c r="D636" s="3" t="str">
        <f t="shared" ca="1" si="65"/>
        <v>Residential</v>
      </c>
      <c r="E636" s="3" t="str" cm="1">
        <f t="array" aca="1" ref="E636" ca="1">_xlfn.IFS(D636="Industrial", "Reinforced Concrete", D636 = "Commercial", CHOOSE(RANDBETWEEN(1, 2), "Reinforced Concrete", "Unreinforced Masonry"), D636 = "Residential", CHOOSE(RANDBETWEEN(1, 3), "Reinforced Concrete", "Unreinforced Masonry", "Adobe / Light Timber"))</f>
        <v>Unreinforced Masonry</v>
      </c>
      <c r="F636" s="3">
        <f t="shared" ca="1" si="66"/>
        <v>1983</v>
      </c>
      <c r="G636" s="3">
        <f t="shared" ca="1" si="67"/>
        <v>4</v>
      </c>
      <c r="H636" s="2">
        <f t="shared" ca="1" si="68"/>
        <v>0</v>
      </c>
      <c r="I636" s="4">
        <f t="shared" ca="1" si="69"/>
        <v>4886995</v>
      </c>
    </row>
    <row r="637" spans="1:9">
      <c r="A637" s="1">
        <v>10000636</v>
      </c>
      <c r="B637" s="3" t="str">
        <f t="shared" ca="1" si="63"/>
        <v>South 24 Parganas</v>
      </c>
      <c r="C637" s="3" t="str">
        <f t="shared" ca="1" si="64"/>
        <v>High Risk</v>
      </c>
      <c r="D637" s="3" t="str">
        <f t="shared" ca="1" si="65"/>
        <v>Industrial</v>
      </c>
      <c r="E637" s="3" t="str" cm="1">
        <f t="array" aca="1" ref="E637" ca="1">_xlfn.IFS(D637="Industrial", "Reinforced Concrete", D637 = "Commercial", CHOOSE(RANDBETWEEN(1, 2), "Reinforced Concrete", "Unreinforced Masonry"), D637 = "Residential", CHOOSE(RANDBETWEEN(1, 3), "Reinforced Concrete", "Unreinforced Masonry", "Adobe / Light Timber"))</f>
        <v>Reinforced Concrete</v>
      </c>
      <c r="F637" s="3">
        <f t="shared" ca="1" si="66"/>
        <v>2023</v>
      </c>
      <c r="G637" s="3">
        <f t="shared" ca="1" si="67"/>
        <v>3</v>
      </c>
      <c r="H637" s="2">
        <f t="shared" ca="1" si="68"/>
        <v>5</v>
      </c>
      <c r="I637" s="4">
        <f t="shared" ca="1" si="69"/>
        <v>61864921</v>
      </c>
    </row>
    <row r="638" spans="1:9">
      <c r="A638" s="1">
        <v>10000637</v>
      </c>
      <c r="B638" s="3" t="str">
        <f t="shared" ca="1" si="63"/>
        <v>Paschim Medinipur</v>
      </c>
      <c r="C638" s="3" t="str">
        <f t="shared" ca="1" si="64"/>
        <v>Moderate Risk</v>
      </c>
      <c r="D638" s="3" t="str">
        <f t="shared" ca="1" si="65"/>
        <v>Industrial</v>
      </c>
      <c r="E638" s="3" t="str" cm="1">
        <f t="array" aca="1" ref="E638" ca="1">_xlfn.IFS(D638="Industrial", "Reinforced Concrete", D638 = "Commercial", CHOOSE(RANDBETWEEN(1, 2), "Reinforced Concrete", "Unreinforced Masonry"), D638 = "Residential", CHOOSE(RANDBETWEEN(1, 3), "Reinforced Concrete", "Unreinforced Masonry", "Adobe / Light Timber"))</f>
        <v>Reinforced Concrete</v>
      </c>
      <c r="F638" s="3">
        <f t="shared" ca="1" si="66"/>
        <v>2004</v>
      </c>
      <c r="G638" s="3">
        <f t="shared" ca="1" si="67"/>
        <v>3</v>
      </c>
      <c r="H638" s="2">
        <f t="shared" ca="1" si="68"/>
        <v>3</v>
      </c>
      <c r="I638" s="4">
        <f t="shared" ca="1" si="69"/>
        <v>60288304</v>
      </c>
    </row>
    <row r="639" spans="1:9">
      <c r="A639" s="1">
        <v>10000638</v>
      </c>
      <c r="B639" s="3" t="str">
        <f t="shared" ca="1" si="63"/>
        <v>South 24 Parganas</v>
      </c>
      <c r="C639" s="3" t="str">
        <f t="shared" ca="1" si="64"/>
        <v>High Risk</v>
      </c>
      <c r="D639" s="3" t="str">
        <f t="shared" ca="1" si="65"/>
        <v>Commercial</v>
      </c>
      <c r="E639" s="3" t="str" cm="1">
        <f t="array" aca="1" ref="E639" ca="1">_xlfn.IFS(D639="Industrial", "Reinforced Concrete", D639 = "Commercial", CHOOSE(RANDBETWEEN(1, 2), "Reinforced Concrete", "Unreinforced Masonry"), D639 = "Residential", CHOOSE(RANDBETWEEN(1, 3), "Reinforced Concrete", "Unreinforced Masonry", "Adobe / Light Timber"))</f>
        <v>Reinforced Concrete</v>
      </c>
      <c r="F639" s="3">
        <f t="shared" ca="1" si="66"/>
        <v>2007</v>
      </c>
      <c r="G639" s="3">
        <f t="shared" ca="1" si="67"/>
        <v>3</v>
      </c>
      <c r="H639" s="2">
        <f t="shared" ca="1" si="68"/>
        <v>4</v>
      </c>
      <c r="I639" s="4">
        <f t="shared" ca="1" si="69"/>
        <v>9975267</v>
      </c>
    </row>
    <row r="640" spans="1:9">
      <c r="A640" s="1">
        <v>10000639</v>
      </c>
      <c r="B640" s="3" t="str">
        <f t="shared" ca="1" si="63"/>
        <v>Jalpaiguri</v>
      </c>
      <c r="C640" s="3" t="str">
        <f t="shared" ca="1" si="64"/>
        <v>High Risk</v>
      </c>
      <c r="D640" s="3" t="str">
        <f t="shared" ca="1" si="65"/>
        <v>Industrial</v>
      </c>
      <c r="E640" s="3" t="str" cm="1">
        <f t="array" aca="1" ref="E640" ca="1">_xlfn.IFS(D640="Industrial", "Reinforced Concrete", D640 = "Commercial", CHOOSE(RANDBETWEEN(1, 2), "Reinforced Concrete", "Unreinforced Masonry"), D640 = "Residential", CHOOSE(RANDBETWEEN(1, 3), "Reinforced Concrete", "Unreinforced Masonry", "Adobe / Light Timber"))</f>
        <v>Reinforced Concrete</v>
      </c>
      <c r="F640" s="3">
        <f t="shared" ca="1" si="66"/>
        <v>1988</v>
      </c>
      <c r="G640" s="3">
        <f t="shared" ca="1" si="67"/>
        <v>1</v>
      </c>
      <c r="H640" s="2">
        <f t="shared" ca="1" si="68"/>
        <v>3</v>
      </c>
      <c r="I640" s="4">
        <f t="shared" ca="1" si="69"/>
        <v>64654270</v>
      </c>
    </row>
    <row r="641" spans="1:9">
      <c r="A641" s="1">
        <v>10000640</v>
      </c>
      <c r="B641" s="3" t="str">
        <f t="shared" ca="1" si="63"/>
        <v>Hooghly</v>
      </c>
      <c r="C641" s="3" t="str">
        <f t="shared" ca="1" si="64"/>
        <v>Moderate Risk</v>
      </c>
      <c r="D641" s="3" t="str">
        <f t="shared" ca="1" si="65"/>
        <v>Commercial</v>
      </c>
      <c r="E641" s="3" t="str" cm="1">
        <f t="array" aca="1" ref="E641" ca="1">_xlfn.IFS(D641="Industrial", "Reinforced Concrete", D641 = "Commercial", CHOOSE(RANDBETWEEN(1, 2), "Reinforced Concrete", "Unreinforced Masonry"), D641 = "Residential", CHOOSE(RANDBETWEEN(1, 3), "Reinforced Concrete", "Unreinforced Masonry", "Adobe / Light Timber"))</f>
        <v>Unreinforced Masonry</v>
      </c>
      <c r="F641" s="3">
        <f t="shared" ca="1" si="66"/>
        <v>1986</v>
      </c>
      <c r="G641" s="3">
        <f t="shared" ca="1" si="67"/>
        <v>3</v>
      </c>
      <c r="H641" s="2">
        <f t="shared" ca="1" si="68"/>
        <v>2</v>
      </c>
      <c r="I641" s="4">
        <f t="shared" ca="1" si="69"/>
        <v>16298835</v>
      </c>
    </row>
    <row r="642" spans="1:9">
      <c r="A642" s="1">
        <v>10000641</v>
      </c>
      <c r="B642" s="3" t="str">
        <f t="shared" ca="1" si="63"/>
        <v>Paschim Medinipur</v>
      </c>
      <c r="C642" s="3" t="str">
        <f t="shared" ca="1" si="64"/>
        <v>Moderate Risk</v>
      </c>
      <c r="D642" s="3" t="str">
        <f t="shared" ca="1" si="65"/>
        <v>Industrial</v>
      </c>
      <c r="E642" s="3" t="str" cm="1">
        <f t="array" aca="1" ref="E642" ca="1">_xlfn.IFS(D642="Industrial", "Reinforced Concrete", D642 = "Commercial", CHOOSE(RANDBETWEEN(1, 2), "Reinforced Concrete", "Unreinforced Masonry"), D642 = "Residential", CHOOSE(RANDBETWEEN(1, 3), "Reinforced Concrete", "Unreinforced Masonry", "Adobe / Light Timber"))</f>
        <v>Reinforced Concrete</v>
      </c>
      <c r="F642" s="3">
        <f t="shared" ca="1" si="66"/>
        <v>1990</v>
      </c>
      <c r="G642" s="3">
        <f t="shared" ca="1" si="67"/>
        <v>3</v>
      </c>
      <c r="H642" s="2">
        <f t="shared" ca="1" si="68"/>
        <v>5</v>
      </c>
      <c r="I642" s="4">
        <f t="shared" ca="1" si="69"/>
        <v>46256994</v>
      </c>
    </row>
    <row r="643" spans="1:9">
      <c r="A643" s="1">
        <v>10000642</v>
      </c>
      <c r="B643" s="3" t="str">
        <f t="shared" ref="B643:B706" ca="1" si="70">CHOOSE(RANDBETWEEN(1, 6),"South 24 Parganas", "Malda", "Jalpaiguri","Kolkata","Hooghly","Paschim Medinipur")</f>
        <v>Jalpaiguri</v>
      </c>
      <c r="C643" s="3" t="str">
        <f t="shared" ref="C643:C706" ca="1" si="71">IF(OR(B643 = "South 24 Parganas", B643 = "Malda", B643 = "Jalpaiguri"), "High Risk", "Moderate Risk")</f>
        <v>High Risk</v>
      </c>
      <c r="D643" s="3" t="str">
        <f t="shared" ref="D643:D706" ca="1" si="72">CHOOSE(RANDBETWEEN(1, 3), "Residential","Commercial","Industrial")</f>
        <v>Industrial</v>
      </c>
      <c r="E643" s="3" t="str" cm="1">
        <f t="array" aca="1" ref="E643" ca="1">_xlfn.IFS(D643="Industrial", "Reinforced Concrete", D643 = "Commercial", CHOOSE(RANDBETWEEN(1, 2), "Reinforced Concrete", "Unreinforced Masonry"), D643 = "Residential", CHOOSE(RANDBETWEEN(1, 3), "Reinforced Concrete", "Unreinforced Masonry", "Adobe / Light Timber"))</f>
        <v>Reinforced Concrete</v>
      </c>
      <c r="F643" s="3">
        <f t="shared" ref="F643:F706" ca="1" si="73">RANDBETWEEN(1980, 2024)</f>
        <v>2014</v>
      </c>
      <c r="G643" s="3">
        <f t="shared" ref="G643:G706" ca="1" si="74">IF(E643 = "Adobe / Light Timber", 1, RANDBETWEEN(1, 5))</f>
        <v>1</v>
      </c>
      <c r="H643" s="2">
        <f t="shared" ref="H643:H706" ca="1" si="75">IF(E643="Reinforced Concrete",RANDBETWEEN(3, 5),RANDBETWEEN(0,2))</f>
        <v>3</v>
      </c>
      <c r="I643" s="4">
        <f t="shared" ref="I643:I706" ca="1" si="76">MAX(200000, _xlfn.IFS(D643 = "Industrial", ROUND(_xlfn.NORM.INV(RAND(), 50000000, 10000000), 0), D643 = "Commercial",ROUND(_xlfn.NORM.INV(RAND(), 15000000, 5000000), 0),E643 = "Adobe / Light Timber", ROUND(_xlfn.NORM.INV(RAND(), 500000, 100000), 0),TRUE, ROUND(_xlfn.NORM.INV(RAND(), 4000000, 1500000), 0)))</f>
        <v>61560294</v>
      </c>
    </row>
    <row r="644" spans="1:9">
      <c r="A644" s="1">
        <v>10000643</v>
      </c>
      <c r="B644" s="3" t="str">
        <f t="shared" ca="1" si="70"/>
        <v>South 24 Parganas</v>
      </c>
      <c r="C644" s="3" t="str">
        <f t="shared" ca="1" si="71"/>
        <v>High Risk</v>
      </c>
      <c r="D644" s="3" t="str">
        <f t="shared" ca="1" si="72"/>
        <v>Commercial</v>
      </c>
      <c r="E644" s="3" t="str" cm="1">
        <f t="array" aca="1" ref="E644" ca="1">_xlfn.IFS(D644="Industrial", "Reinforced Concrete", D644 = "Commercial", CHOOSE(RANDBETWEEN(1, 2), "Reinforced Concrete", "Unreinforced Masonry"), D644 = "Residential", CHOOSE(RANDBETWEEN(1, 3), "Reinforced Concrete", "Unreinforced Masonry", "Adobe / Light Timber"))</f>
        <v>Unreinforced Masonry</v>
      </c>
      <c r="F644" s="3">
        <f t="shared" ca="1" si="73"/>
        <v>2017</v>
      </c>
      <c r="G644" s="3">
        <f t="shared" ca="1" si="74"/>
        <v>1</v>
      </c>
      <c r="H644" s="2">
        <f t="shared" ca="1" si="75"/>
        <v>0</v>
      </c>
      <c r="I644" s="4">
        <f t="shared" ca="1" si="76"/>
        <v>14606242</v>
      </c>
    </row>
    <row r="645" spans="1:9">
      <c r="A645" s="1">
        <v>10000644</v>
      </c>
      <c r="B645" s="3" t="str">
        <f t="shared" ca="1" si="70"/>
        <v>Hooghly</v>
      </c>
      <c r="C645" s="3" t="str">
        <f t="shared" ca="1" si="71"/>
        <v>Moderate Risk</v>
      </c>
      <c r="D645" s="3" t="str">
        <f t="shared" ca="1" si="72"/>
        <v>Residential</v>
      </c>
      <c r="E645" s="3" t="str" cm="1">
        <f t="array" aca="1" ref="E645" ca="1">_xlfn.IFS(D645="Industrial", "Reinforced Concrete", D645 = "Commercial", CHOOSE(RANDBETWEEN(1, 2), "Reinforced Concrete", "Unreinforced Masonry"), D645 = "Residential", CHOOSE(RANDBETWEEN(1, 3), "Reinforced Concrete", "Unreinforced Masonry", "Adobe / Light Timber"))</f>
        <v>Reinforced Concrete</v>
      </c>
      <c r="F645" s="3">
        <f t="shared" ca="1" si="73"/>
        <v>2008</v>
      </c>
      <c r="G645" s="3">
        <f t="shared" ca="1" si="74"/>
        <v>5</v>
      </c>
      <c r="H645" s="2">
        <f t="shared" ca="1" si="75"/>
        <v>5</v>
      </c>
      <c r="I645" s="4">
        <f t="shared" ca="1" si="76"/>
        <v>5749663</v>
      </c>
    </row>
    <row r="646" spans="1:9">
      <c r="A646" s="1">
        <v>10000645</v>
      </c>
      <c r="B646" s="3" t="str">
        <f t="shared" ca="1" si="70"/>
        <v>Jalpaiguri</v>
      </c>
      <c r="C646" s="3" t="str">
        <f t="shared" ca="1" si="71"/>
        <v>High Risk</v>
      </c>
      <c r="D646" s="3" t="str">
        <f t="shared" ca="1" si="72"/>
        <v>Residential</v>
      </c>
      <c r="E646" s="3" t="str" cm="1">
        <f t="array" aca="1" ref="E646" ca="1">_xlfn.IFS(D646="Industrial", "Reinforced Concrete", D646 = "Commercial", CHOOSE(RANDBETWEEN(1, 2), "Reinforced Concrete", "Unreinforced Masonry"), D646 = "Residential", CHOOSE(RANDBETWEEN(1, 3), "Reinforced Concrete", "Unreinforced Masonry", "Adobe / Light Timber"))</f>
        <v>Unreinforced Masonry</v>
      </c>
      <c r="F646" s="3">
        <f t="shared" ca="1" si="73"/>
        <v>2001</v>
      </c>
      <c r="G646" s="3">
        <f t="shared" ca="1" si="74"/>
        <v>2</v>
      </c>
      <c r="H646" s="2">
        <f t="shared" ca="1" si="75"/>
        <v>1</v>
      </c>
      <c r="I646" s="4">
        <f t="shared" ca="1" si="76"/>
        <v>5244846</v>
      </c>
    </row>
    <row r="647" spans="1:9">
      <c r="A647" s="1">
        <v>10000646</v>
      </c>
      <c r="B647" s="3" t="str">
        <f t="shared" ca="1" si="70"/>
        <v>Hooghly</v>
      </c>
      <c r="C647" s="3" t="str">
        <f t="shared" ca="1" si="71"/>
        <v>Moderate Risk</v>
      </c>
      <c r="D647" s="3" t="str">
        <f t="shared" ca="1" si="72"/>
        <v>Residential</v>
      </c>
      <c r="E647" s="3" t="str" cm="1">
        <f t="array" aca="1" ref="E647" ca="1">_xlfn.IFS(D647="Industrial", "Reinforced Concrete", D647 = "Commercial", CHOOSE(RANDBETWEEN(1, 2), "Reinforced Concrete", "Unreinforced Masonry"), D647 = "Residential", CHOOSE(RANDBETWEEN(1, 3), "Reinforced Concrete", "Unreinforced Masonry", "Adobe / Light Timber"))</f>
        <v>Adobe / Light Timber</v>
      </c>
      <c r="F647" s="3">
        <f t="shared" ca="1" si="73"/>
        <v>1994</v>
      </c>
      <c r="G647" s="3">
        <f t="shared" ca="1" si="74"/>
        <v>1</v>
      </c>
      <c r="H647" s="2">
        <f t="shared" ca="1" si="75"/>
        <v>2</v>
      </c>
      <c r="I647" s="4">
        <f t="shared" ca="1" si="76"/>
        <v>502346</v>
      </c>
    </row>
    <row r="648" spans="1:9">
      <c r="A648" s="1">
        <v>10000647</v>
      </c>
      <c r="B648" s="3" t="str">
        <f t="shared" ca="1" si="70"/>
        <v>Malda</v>
      </c>
      <c r="C648" s="3" t="str">
        <f t="shared" ca="1" si="71"/>
        <v>High Risk</v>
      </c>
      <c r="D648" s="3" t="str">
        <f t="shared" ca="1" si="72"/>
        <v>Industrial</v>
      </c>
      <c r="E648" s="3" t="str" cm="1">
        <f t="array" aca="1" ref="E648" ca="1">_xlfn.IFS(D648="Industrial", "Reinforced Concrete", D648 = "Commercial", CHOOSE(RANDBETWEEN(1, 2), "Reinforced Concrete", "Unreinforced Masonry"), D648 = "Residential", CHOOSE(RANDBETWEEN(1, 3), "Reinforced Concrete", "Unreinforced Masonry", "Adobe / Light Timber"))</f>
        <v>Reinforced Concrete</v>
      </c>
      <c r="F648" s="3">
        <f t="shared" ca="1" si="73"/>
        <v>1987</v>
      </c>
      <c r="G648" s="3">
        <f t="shared" ca="1" si="74"/>
        <v>4</v>
      </c>
      <c r="H648" s="2">
        <f t="shared" ca="1" si="75"/>
        <v>5</v>
      </c>
      <c r="I648" s="4">
        <f t="shared" ca="1" si="76"/>
        <v>47924634</v>
      </c>
    </row>
    <row r="649" spans="1:9">
      <c r="A649" s="1">
        <v>10000648</v>
      </c>
      <c r="B649" s="3" t="str">
        <f t="shared" ca="1" si="70"/>
        <v>Kolkata</v>
      </c>
      <c r="C649" s="3" t="str">
        <f t="shared" ca="1" si="71"/>
        <v>Moderate Risk</v>
      </c>
      <c r="D649" s="3" t="str">
        <f t="shared" ca="1" si="72"/>
        <v>Commercial</v>
      </c>
      <c r="E649" s="3" t="str" cm="1">
        <f t="array" aca="1" ref="E649" ca="1">_xlfn.IFS(D649="Industrial", "Reinforced Concrete", D649 = "Commercial", CHOOSE(RANDBETWEEN(1, 2), "Reinforced Concrete", "Unreinforced Masonry"), D649 = "Residential", CHOOSE(RANDBETWEEN(1, 3), "Reinforced Concrete", "Unreinforced Masonry", "Adobe / Light Timber"))</f>
        <v>Reinforced Concrete</v>
      </c>
      <c r="F649" s="3">
        <f t="shared" ca="1" si="73"/>
        <v>2013</v>
      </c>
      <c r="G649" s="3">
        <f t="shared" ca="1" si="74"/>
        <v>4</v>
      </c>
      <c r="H649" s="2">
        <f t="shared" ca="1" si="75"/>
        <v>3</v>
      </c>
      <c r="I649" s="4">
        <f t="shared" ca="1" si="76"/>
        <v>13975103</v>
      </c>
    </row>
    <row r="650" spans="1:9">
      <c r="A650" s="1">
        <v>10000649</v>
      </c>
      <c r="B650" s="3" t="str">
        <f t="shared" ca="1" si="70"/>
        <v>Jalpaiguri</v>
      </c>
      <c r="C650" s="3" t="str">
        <f t="shared" ca="1" si="71"/>
        <v>High Risk</v>
      </c>
      <c r="D650" s="3" t="str">
        <f t="shared" ca="1" si="72"/>
        <v>Commercial</v>
      </c>
      <c r="E650" s="3" t="str" cm="1">
        <f t="array" aca="1" ref="E650" ca="1">_xlfn.IFS(D650="Industrial", "Reinforced Concrete", D650 = "Commercial", CHOOSE(RANDBETWEEN(1, 2), "Reinforced Concrete", "Unreinforced Masonry"), D650 = "Residential", CHOOSE(RANDBETWEEN(1, 3), "Reinforced Concrete", "Unreinforced Masonry", "Adobe / Light Timber"))</f>
        <v>Unreinforced Masonry</v>
      </c>
      <c r="F650" s="3">
        <f t="shared" ca="1" si="73"/>
        <v>1993</v>
      </c>
      <c r="G650" s="3">
        <f t="shared" ca="1" si="74"/>
        <v>2</v>
      </c>
      <c r="H650" s="2">
        <f t="shared" ca="1" si="75"/>
        <v>1</v>
      </c>
      <c r="I650" s="4">
        <f t="shared" ca="1" si="76"/>
        <v>18796997</v>
      </c>
    </row>
    <row r="651" spans="1:9">
      <c r="A651" s="1">
        <v>10000650</v>
      </c>
      <c r="B651" s="3" t="str">
        <f t="shared" ca="1" si="70"/>
        <v>South 24 Parganas</v>
      </c>
      <c r="C651" s="3" t="str">
        <f t="shared" ca="1" si="71"/>
        <v>High Risk</v>
      </c>
      <c r="D651" s="3" t="str">
        <f t="shared" ca="1" si="72"/>
        <v>Industrial</v>
      </c>
      <c r="E651" s="3" t="str" cm="1">
        <f t="array" aca="1" ref="E651" ca="1">_xlfn.IFS(D651="Industrial", "Reinforced Concrete", D651 = "Commercial", CHOOSE(RANDBETWEEN(1, 2), "Reinforced Concrete", "Unreinforced Masonry"), D651 = "Residential", CHOOSE(RANDBETWEEN(1, 3), "Reinforced Concrete", "Unreinforced Masonry", "Adobe / Light Timber"))</f>
        <v>Reinforced Concrete</v>
      </c>
      <c r="F651" s="3">
        <f t="shared" ca="1" si="73"/>
        <v>1999</v>
      </c>
      <c r="G651" s="3">
        <f t="shared" ca="1" si="74"/>
        <v>2</v>
      </c>
      <c r="H651" s="2">
        <f t="shared" ca="1" si="75"/>
        <v>3</v>
      </c>
      <c r="I651" s="4">
        <f t="shared" ca="1" si="76"/>
        <v>31528836</v>
      </c>
    </row>
    <row r="652" spans="1:9">
      <c r="A652" s="1">
        <v>10000651</v>
      </c>
      <c r="B652" s="3" t="str">
        <f t="shared" ca="1" si="70"/>
        <v>Jalpaiguri</v>
      </c>
      <c r="C652" s="3" t="str">
        <f t="shared" ca="1" si="71"/>
        <v>High Risk</v>
      </c>
      <c r="D652" s="3" t="str">
        <f t="shared" ca="1" si="72"/>
        <v>Industrial</v>
      </c>
      <c r="E652" s="3" t="str" cm="1">
        <f t="array" aca="1" ref="E652" ca="1">_xlfn.IFS(D652="Industrial", "Reinforced Concrete", D652 = "Commercial", CHOOSE(RANDBETWEEN(1, 2), "Reinforced Concrete", "Unreinforced Masonry"), D652 = "Residential", CHOOSE(RANDBETWEEN(1, 3), "Reinforced Concrete", "Unreinforced Masonry", "Adobe / Light Timber"))</f>
        <v>Reinforced Concrete</v>
      </c>
      <c r="F652" s="3">
        <f t="shared" ca="1" si="73"/>
        <v>2004</v>
      </c>
      <c r="G652" s="3">
        <f t="shared" ca="1" si="74"/>
        <v>5</v>
      </c>
      <c r="H652" s="2">
        <f t="shared" ca="1" si="75"/>
        <v>3</v>
      </c>
      <c r="I652" s="4">
        <f t="shared" ca="1" si="76"/>
        <v>56567604</v>
      </c>
    </row>
    <row r="653" spans="1:9">
      <c r="A653" s="1">
        <v>10000652</v>
      </c>
      <c r="B653" s="3" t="str">
        <f t="shared" ca="1" si="70"/>
        <v>Paschim Medinipur</v>
      </c>
      <c r="C653" s="3" t="str">
        <f t="shared" ca="1" si="71"/>
        <v>Moderate Risk</v>
      </c>
      <c r="D653" s="3" t="str">
        <f t="shared" ca="1" si="72"/>
        <v>Industrial</v>
      </c>
      <c r="E653" s="3" t="str" cm="1">
        <f t="array" aca="1" ref="E653" ca="1">_xlfn.IFS(D653="Industrial", "Reinforced Concrete", D653 = "Commercial", CHOOSE(RANDBETWEEN(1, 2), "Reinforced Concrete", "Unreinforced Masonry"), D653 = "Residential", CHOOSE(RANDBETWEEN(1, 3), "Reinforced Concrete", "Unreinforced Masonry", "Adobe / Light Timber"))</f>
        <v>Reinforced Concrete</v>
      </c>
      <c r="F653" s="3">
        <f t="shared" ca="1" si="73"/>
        <v>1999</v>
      </c>
      <c r="G653" s="3">
        <f t="shared" ca="1" si="74"/>
        <v>5</v>
      </c>
      <c r="H653" s="2">
        <f t="shared" ca="1" si="75"/>
        <v>3</v>
      </c>
      <c r="I653" s="4">
        <f t="shared" ca="1" si="76"/>
        <v>59809501</v>
      </c>
    </row>
    <row r="654" spans="1:9">
      <c r="A654" s="1">
        <v>10000653</v>
      </c>
      <c r="B654" s="3" t="str">
        <f t="shared" ca="1" si="70"/>
        <v>Malda</v>
      </c>
      <c r="C654" s="3" t="str">
        <f t="shared" ca="1" si="71"/>
        <v>High Risk</v>
      </c>
      <c r="D654" s="3" t="str">
        <f t="shared" ca="1" si="72"/>
        <v>Residential</v>
      </c>
      <c r="E654" s="3" t="str" cm="1">
        <f t="array" aca="1" ref="E654" ca="1">_xlfn.IFS(D654="Industrial", "Reinforced Concrete", D654 = "Commercial", CHOOSE(RANDBETWEEN(1, 2), "Reinforced Concrete", "Unreinforced Masonry"), D654 = "Residential", CHOOSE(RANDBETWEEN(1, 3), "Reinforced Concrete", "Unreinforced Masonry", "Adobe / Light Timber"))</f>
        <v>Reinforced Concrete</v>
      </c>
      <c r="F654" s="3">
        <f t="shared" ca="1" si="73"/>
        <v>2020</v>
      </c>
      <c r="G654" s="3">
        <f t="shared" ca="1" si="74"/>
        <v>1</v>
      </c>
      <c r="H654" s="2">
        <f t="shared" ca="1" si="75"/>
        <v>3</v>
      </c>
      <c r="I654" s="4">
        <f t="shared" ca="1" si="76"/>
        <v>4503796</v>
      </c>
    </row>
    <row r="655" spans="1:9">
      <c r="A655" s="1">
        <v>10000654</v>
      </c>
      <c r="B655" s="3" t="str">
        <f t="shared" ca="1" si="70"/>
        <v>Hooghly</v>
      </c>
      <c r="C655" s="3" t="str">
        <f t="shared" ca="1" si="71"/>
        <v>Moderate Risk</v>
      </c>
      <c r="D655" s="3" t="str">
        <f t="shared" ca="1" si="72"/>
        <v>Commercial</v>
      </c>
      <c r="E655" s="3" t="str" cm="1">
        <f t="array" aca="1" ref="E655" ca="1">_xlfn.IFS(D655="Industrial", "Reinforced Concrete", D655 = "Commercial", CHOOSE(RANDBETWEEN(1, 2), "Reinforced Concrete", "Unreinforced Masonry"), D655 = "Residential", CHOOSE(RANDBETWEEN(1, 3), "Reinforced Concrete", "Unreinforced Masonry", "Adobe / Light Timber"))</f>
        <v>Reinforced Concrete</v>
      </c>
      <c r="F655" s="3">
        <f t="shared" ca="1" si="73"/>
        <v>1993</v>
      </c>
      <c r="G655" s="3">
        <f t="shared" ca="1" si="74"/>
        <v>3</v>
      </c>
      <c r="H655" s="2">
        <f t="shared" ca="1" si="75"/>
        <v>3</v>
      </c>
      <c r="I655" s="4">
        <f t="shared" ca="1" si="76"/>
        <v>3079183</v>
      </c>
    </row>
    <row r="656" spans="1:9">
      <c r="A656" s="1">
        <v>10000655</v>
      </c>
      <c r="B656" s="3" t="str">
        <f t="shared" ca="1" si="70"/>
        <v>Malda</v>
      </c>
      <c r="C656" s="3" t="str">
        <f t="shared" ca="1" si="71"/>
        <v>High Risk</v>
      </c>
      <c r="D656" s="3" t="str">
        <f t="shared" ca="1" si="72"/>
        <v>Commercial</v>
      </c>
      <c r="E656" s="3" t="str" cm="1">
        <f t="array" aca="1" ref="E656" ca="1">_xlfn.IFS(D656="Industrial", "Reinforced Concrete", D656 = "Commercial", CHOOSE(RANDBETWEEN(1, 2), "Reinforced Concrete", "Unreinforced Masonry"), D656 = "Residential", CHOOSE(RANDBETWEEN(1, 3), "Reinforced Concrete", "Unreinforced Masonry", "Adobe / Light Timber"))</f>
        <v>Reinforced Concrete</v>
      </c>
      <c r="F656" s="3">
        <f t="shared" ca="1" si="73"/>
        <v>1996</v>
      </c>
      <c r="G656" s="3">
        <f t="shared" ca="1" si="74"/>
        <v>3</v>
      </c>
      <c r="H656" s="2">
        <f t="shared" ca="1" si="75"/>
        <v>4</v>
      </c>
      <c r="I656" s="4">
        <f t="shared" ca="1" si="76"/>
        <v>13598543</v>
      </c>
    </row>
    <row r="657" spans="1:9">
      <c r="A657" s="1">
        <v>10000656</v>
      </c>
      <c r="B657" s="3" t="str">
        <f t="shared" ca="1" si="70"/>
        <v>Malda</v>
      </c>
      <c r="C657" s="3" t="str">
        <f t="shared" ca="1" si="71"/>
        <v>High Risk</v>
      </c>
      <c r="D657" s="3" t="str">
        <f t="shared" ca="1" si="72"/>
        <v>Commercial</v>
      </c>
      <c r="E657" s="3" t="str" cm="1">
        <f t="array" aca="1" ref="E657" ca="1">_xlfn.IFS(D657="Industrial", "Reinforced Concrete", D657 = "Commercial", CHOOSE(RANDBETWEEN(1, 2), "Reinforced Concrete", "Unreinforced Masonry"), D657 = "Residential", CHOOSE(RANDBETWEEN(1, 3), "Reinforced Concrete", "Unreinforced Masonry", "Adobe / Light Timber"))</f>
        <v>Unreinforced Masonry</v>
      </c>
      <c r="F657" s="3">
        <f t="shared" ca="1" si="73"/>
        <v>1987</v>
      </c>
      <c r="G657" s="3">
        <f t="shared" ca="1" si="74"/>
        <v>5</v>
      </c>
      <c r="H657" s="2">
        <f t="shared" ca="1" si="75"/>
        <v>0</v>
      </c>
      <c r="I657" s="4">
        <f t="shared" ca="1" si="76"/>
        <v>5785407</v>
      </c>
    </row>
    <row r="658" spans="1:9">
      <c r="A658" s="1">
        <v>10000657</v>
      </c>
      <c r="B658" s="3" t="str">
        <f t="shared" ca="1" si="70"/>
        <v>Hooghly</v>
      </c>
      <c r="C658" s="3" t="str">
        <f t="shared" ca="1" si="71"/>
        <v>Moderate Risk</v>
      </c>
      <c r="D658" s="3" t="str">
        <f t="shared" ca="1" si="72"/>
        <v>Commercial</v>
      </c>
      <c r="E658" s="3" t="str" cm="1">
        <f t="array" aca="1" ref="E658" ca="1">_xlfn.IFS(D658="Industrial", "Reinforced Concrete", D658 = "Commercial", CHOOSE(RANDBETWEEN(1, 2), "Reinforced Concrete", "Unreinforced Masonry"), D658 = "Residential", CHOOSE(RANDBETWEEN(1, 3), "Reinforced Concrete", "Unreinforced Masonry", "Adobe / Light Timber"))</f>
        <v>Unreinforced Masonry</v>
      </c>
      <c r="F658" s="3">
        <f t="shared" ca="1" si="73"/>
        <v>2024</v>
      </c>
      <c r="G658" s="3">
        <f t="shared" ca="1" si="74"/>
        <v>3</v>
      </c>
      <c r="H658" s="2">
        <f t="shared" ca="1" si="75"/>
        <v>1</v>
      </c>
      <c r="I658" s="4">
        <f t="shared" ca="1" si="76"/>
        <v>17874967</v>
      </c>
    </row>
    <row r="659" spans="1:9">
      <c r="A659" s="1">
        <v>10000658</v>
      </c>
      <c r="B659" s="3" t="str">
        <f t="shared" ca="1" si="70"/>
        <v>Paschim Medinipur</v>
      </c>
      <c r="C659" s="3" t="str">
        <f t="shared" ca="1" si="71"/>
        <v>Moderate Risk</v>
      </c>
      <c r="D659" s="3" t="str">
        <f t="shared" ca="1" si="72"/>
        <v>Industrial</v>
      </c>
      <c r="E659" s="3" t="str" cm="1">
        <f t="array" aca="1" ref="E659" ca="1">_xlfn.IFS(D659="Industrial", "Reinforced Concrete", D659 = "Commercial", CHOOSE(RANDBETWEEN(1, 2), "Reinforced Concrete", "Unreinforced Masonry"), D659 = "Residential", CHOOSE(RANDBETWEEN(1, 3), "Reinforced Concrete", "Unreinforced Masonry", "Adobe / Light Timber"))</f>
        <v>Reinforced Concrete</v>
      </c>
      <c r="F659" s="3">
        <f t="shared" ca="1" si="73"/>
        <v>2009</v>
      </c>
      <c r="G659" s="3">
        <f t="shared" ca="1" si="74"/>
        <v>3</v>
      </c>
      <c r="H659" s="2">
        <f t="shared" ca="1" si="75"/>
        <v>3</v>
      </c>
      <c r="I659" s="4">
        <f t="shared" ca="1" si="76"/>
        <v>59022847</v>
      </c>
    </row>
    <row r="660" spans="1:9">
      <c r="A660" s="1">
        <v>10000659</v>
      </c>
      <c r="B660" s="3" t="str">
        <f t="shared" ca="1" si="70"/>
        <v>Jalpaiguri</v>
      </c>
      <c r="C660" s="3" t="str">
        <f t="shared" ca="1" si="71"/>
        <v>High Risk</v>
      </c>
      <c r="D660" s="3" t="str">
        <f t="shared" ca="1" si="72"/>
        <v>Residential</v>
      </c>
      <c r="E660" s="3" t="str" cm="1">
        <f t="array" aca="1" ref="E660" ca="1">_xlfn.IFS(D660="Industrial", "Reinforced Concrete", D660 = "Commercial", CHOOSE(RANDBETWEEN(1, 2), "Reinforced Concrete", "Unreinforced Masonry"), D660 = "Residential", CHOOSE(RANDBETWEEN(1, 3), "Reinforced Concrete", "Unreinforced Masonry", "Adobe / Light Timber"))</f>
        <v>Unreinforced Masonry</v>
      </c>
      <c r="F660" s="3">
        <f t="shared" ca="1" si="73"/>
        <v>2014</v>
      </c>
      <c r="G660" s="3">
        <f t="shared" ca="1" si="74"/>
        <v>1</v>
      </c>
      <c r="H660" s="2">
        <f t="shared" ca="1" si="75"/>
        <v>1</v>
      </c>
      <c r="I660" s="4">
        <f t="shared" ca="1" si="76"/>
        <v>3366529</v>
      </c>
    </row>
    <row r="661" spans="1:9">
      <c r="A661" s="1">
        <v>10000660</v>
      </c>
      <c r="B661" s="3" t="str">
        <f t="shared" ca="1" si="70"/>
        <v>Kolkata</v>
      </c>
      <c r="C661" s="3" t="str">
        <f t="shared" ca="1" si="71"/>
        <v>Moderate Risk</v>
      </c>
      <c r="D661" s="3" t="str">
        <f t="shared" ca="1" si="72"/>
        <v>Commercial</v>
      </c>
      <c r="E661" s="3" t="str" cm="1">
        <f t="array" aca="1" ref="E661" ca="1">_xlfn.IFS(D661="Industrial", "Reinforced Concrete", D661 = "Commercial", CHOOSE(RANDBETWEEN(1, 2), "Reinforced Concrete", "Unreinforced Masonry"), D661 = "Residential", CHOOSE(RANDBETWEEN(1, 3), "Reinforced Concrete", "Unreinforced Masonry", "Adobe / Light Timber"))</f>
        <v>Reinforced Concrete</v>
      </c>
      <c r="F661" s="3">
        <f t="shared" ca="1" si="73"/>
        <v>2014</v>
      </c>
      <c r="G661" s="3">
        <f t="shared" ca="1" si="74"/>
        <v>3</v>
      </c>
      <c r="H661" s="2">
        <f t="shared" ca="1" si="75"/>
        <v>5</v>
      </c>
      <c r="I661" s="4">
        <f t="shared" ca="1" si="76"/>
        <v>5316540</v>
      </c>
    </row>
    <row r="662" spans="1:9">
      <c r="A662" s="1">
        <v>10000661</v>
      </c>
      <c r="B662" s="3" t="str">
        <f t="shared" ca="1" si="70"/>
        <v>Paschim Medinipur</v>
      </c>
      <c r="C662" s="3" t="str">
        <f t="shared" ca="1" si="71"/>
        <v>Moderate Risk</v>
      </c>
      <c r="D662" s="3" t="str">
        <f t="shared" ca="1" si="72"/>
        <v>Residential</v>
      </c>
      <c r="E662" s="3" t="str" cm="1">
        <f t="array" aca="1" ref="E662" ca="1">_xlfn.IFS(D662="Industrial", "Reinforced Concrete", D662 = "Commercial", CHOOSE(RANDBETWEEN(1, 2), "Reinforced Concrete", "Unreinforced Masonry"), D662 = "Residential", CHOOSE(RANDBETWEEN(1, 3), "Reinforced Concrete", "Unreinforced Masonry", "Adobe / Light Timber"))</f>
        <v>Reinforced Concrete</v>
      </c>
      <c r="F662" s="3">
        <f t="shared" ca="1" si="73"/>
        <v>1997</v>
      </c>
      <c r="G662" s="3">
        <f t="shared" ca="1" si="74"/>
        <v>3</v>
      </c>
      <c r="H662" s="2">
        <f t="shared" ca="1" si="75"/>
        <v>4</v>
      </c>
      <c r="I662" s="4">
        <f t="shared" ca="1" si="76"/>
        <v>2228366</v>
      </c>
    </row>
    <row r="663" spans="1:9">
      <c r="A663" s="1">
        <v>10000662</v>
      </c>
      <c r="B663" s="3" t="str">
        <f t="shared" ca="1" si="70"/>
        <v>Jalpaiguri</v>
      </c>
      <c r="C663" s="3" t="str">
        <f t="shared" ca="1" si="71"/>
        <v>High Risk</v>
      </c>
      <c r="D663" s="3" t="str">
        <f t="shared" ca="1" si="72"/>
        <v>Industrial</v>
      </c>
      <c r="E663" s="3" t="str" cm="1">
        <f t="array" aca="1" ref="E663" ca="1">_xlfn.IFS(D663="Industrial", "Reinforced Concrete", D663 = "Commercial", CHOOSE(RANDBETWEEN(1, 2), "Reinforced Concrete", "Unreinforced Masonry"), D663 = "Residential", CHOOSE(RANDBETWEEN(1, 3), "Reinforced Concrete", "Unreinforced Masonry", "Adobe / Light Timber"))</f>
        <v>Reinforced Concrete</v>
      </c>
      <c r="F663" s="3">
        <f t="shared" ca="1" si="73"/>
        <v>2011</v>
      </c>
      <c r="G663" s="3">
        <f t="shared" ca="1" si="74"/>
        <v>1</v>
      </c>
      <c r="H663" s="2">
        <f t="shared" ca="1" si="75"/>
        <v>3</v>
      </c>
      <c r="I663" s="4">
        <f t="shared" ca="1" si="76"/>
        <v>40807007</v>
      </c>
    </row>
    <row r="664" spans="1:9">
      <c r="A664" s="1">
        <v>10000663</v>
      </c>
      <c r="B664" s="3" t="str">
        <f t="shared" ca="1" si="70"/>
        <v>Jalpaiguri</v>
      </c>
      <c r="C664" s="3" t="str">
        <f t="shared" ca="1" si="71"/>
        <v>High Risk</v>
      </c>
      <c r="D664" s="3" t="str">
        <f t="shared" ca="1" si="72"/>
        <v>Residential</v>
      </c>
      <c r="E664" s="3" t="str" cm="1">
        <f t="array" aca="1" ref="E664" ca="1">_xlfn.IFS(D664="Industrial", "Reinforced Concrete", D664 = "Commercial", CHOOSE(RANDBETWEEN(1, 2), "Reinforced Concrete", "Unreinforced Masonry"), D664 = "Residential", CHOOSE(RANDBETWEEN(1, 3), "Reinforced Concrete", "Unreinforced Masonry", "Adobe / Light Timber"))</f>
        <v>Adobe / Light Timber</v>
      </c>
      <c r="F664" s="3">
        <f t="shared" ca="1" si="73"/>
        <v>1994</v>
      </c>
      <c r="G664" s="3">
        <f t="shared" ca="1" si="74"/>
        <v>1</v>
      </c>
      <c r="H664" s="2">
        <f t="shared" ca="1" si="75"/>
        <v>1</v>
      </c>
      <c r="I664" s="4">
        <f t="shared" ca="1" si="76"/>
        <v>315225</v>
      </c>
    </row>
    <row r="665" spans="1:9">
      <c r="A665" s="1">
        <v>10000664</v>
      </c>
      <c r="B665" s="3" t="str">
        <f t="shared" ca="1" si="70"/>
        <v>Jalpaiguri</v>
      </c>
      <c r="C665" s="3" t="str">
        <f t="shared" ca="1" si="71"/>
        <v>High Risk</v>
      </c>
      <c r="D665" s="3" t="str">
        <f t="shared" ca="1" si="72"/>
        <v>Industrial</v>
      </c>
      <c r="E665" s="3" t="str" cm="1">
        <f t="array" aca="1" ref="E665" ca="1">_xlfn.IFS(D665="Industrial", "Reinforced Concrete", D665 = "Commercial", CHOOSE(RANDBETWEEN(1, 2), "Reinforced Concrete", "Unreinforced Masonry"), D665 = "Residential", CHOOSE(RANDBETWEEN(1, 3), "Reinforced Concrete", "Unreinforced Masonry", "Adobe / Light Timber"))</f>
        <v>Reinforced Concrete</v>
      </c>
      <c r="F665" s="3">
        <f t="shared" ca="1" si="73"/>
        <v>2014</v>
      </c>
      <c r="G665" s="3">
        <f t="shared" ca="1" si="74"/>
        <v>4</v>
      </c>
      <c r="H665" s="2">
        <f t="shared" ca="1" si="75"/>
        <v>5</v>
      </c>
      <c r="I665" s="4">
        <f t="shared" ca="1" si="76"/>
        <v>58307167</v>
      </c>
    </row>
    <row r="666" spans="1:9">
      <c r="A666" s="1">
        <v>10000665</v>
      </c>
      <c r="B666" s="3" t="str">
        <f t="shared" ca="1" si="70"/>
        <v>Malda</v>
      </c>
      <c r="C666" s="3" t="str">
        <f t="shared" ca="1" si="71"/>
        <v>High Risk</v>
      </c>
      <c r="D666" s="3" t="str">
        <f t="shared" ca="1" si="72"/>
        <v>Residential</v>
      </c>
      <c r="E666" s="3" t="str" cm="1">
        <f t="array" aca="1" ref="E666" ca="1">_xlfn.IFS(D666="Industrial", "Reinforced Concrete", D666 = "Commercial", CHOOSE(RANDBETWEEN(1, 2), "Reinforced Concrete", "Unreinforced Masonry"), D666 = "Residential", CHOOSE(RANDBETWEEN(1, 3), "Reinforced Concrete", "Unreinforced Masonry", "Adobe / Light Timber"))</f>
        <v>Unreinforced Masonry</v>
      </c>
      <c r="F666" s="3">
        <f t="shared" ca="1" si="73"/>
        <v>2023</v>
      </c>
      <c r="G666" s="3">
        <f t="shared" ca="1" si="74"/>
        <v>5</v>
      </c>
      <c r="H666" s="2">
        <f t="shared" ca="1" si="75"/>
        <v>1</v>
      </c>
      <c r="I666" s="4">
        <f t="shared" ca="1" si="76"/>
        <v>3616937</v>
      </c>
    </row>
    <row r="667" spans="1:9">
      <c r="A667" s="1">
        <v>10000666</v>
      </c>
      <c r="B667" s="3" t="str">
        <f t="shared" ca="1" si="70"/>
        <v>Hooghly</v>
      </c>
      <c r="C667" s="3" t="str">
        <f t="shared" ca="1" si="71"/>
        <v>Moderate Risk</v>
      </c>
      <c r="D667" s="3" t="str">
        <f t="shared" ca="1" si="72"/>
        <v>Residential</v>
      </c>
      <c r="E667" s="3" t="str" cm="1">
        <f t="array" aca="1" ref="E667" ca="1">_xlfn.IFS(D667="Industrial", "Reinforced Concrete", D667 = "Commercial", CHOOSE(RANDBETWEEN(1, 2), "Reinforced Concrete", "Unreinforced Masonry"), D667 = "Residential", CHOOSE(RANDBETWEEN(1, 3), "Reinforced Concrete", "Unreinforced Masonry", "Adobe / Light Timber"))</f>
        <v>Reinforced Concrete</v>
      </c>
      <c r="F667" s="3">
        <f t="shared" ca="1" si="73"/>
        <v>1989</v>
      </c>
      <c r="G667" s="3">
        <f t="shared" ca="1" si="74"/>
        <v>2</v>
      </c>
      <c r="H667" s="2">
        <f t="shared" ca="1" si="75"/>
        <v>3</v>
      </c>
      <c r="I667" s="4">
        <f t="shared" ca="1" si="76"/>
        <v>1414243</v>
      </c>
    </row>
    <row r="668" spans="1:9">
      <c r="A668" s="1">
        <v>10000667</v>
      </c>
      <c r="B668" s="3" t="str">
        <f t="shared" ca="1" si="70"/>
        <v>Hooghly</v>
      </c>
      <c r="C668" s="3" t="str">
        <f t="shared" ca="1" si="71"/>
        <v>Moderate Risk</v>
      </c>
      <c r="D668" s="3" t="str">
        <f t="shared" ca="1" si="72"/>
        <v>Commercial</v>
      </c>
      <c r="E668" s="3" t="str" cm="1">
        <f t="array" aca="1" ref="E668" ca="1">_xlfn.IFS(D668="Industrial", "Reinforced Concrete", D668 = "Commercial", CHOOSE(RANDBETWEEN(1, 2), "Reinforced Concrete", "Unreinforced Masonry"), D668 = "Residential", CHOOSE(RANDBETWEEN(1, 3), "Reinforced Concrete", "Unreinforced Masonry", "Adobe / Light Timber"))</f>
        <v>Unreinforced Masonry</v>
      </c>
      <c r="F668" s="3">
        <f t="shared" ca="1" si="73"/>
        <v>1984</v>
      </c>
      <c r="G668" s="3">
        <f t="shared" ca="1" si="74"/>
        <v>4</v>
      </c>
      <c r="H668" s="2">
        <f t="shared" ca="1" si="75"/>
        <v>0</v>
      </c>
      <c r="I668" s="4">
        <f t="shared" ca="1" si="76"/>
        <v>13247165</v>
      </c>
    </row>
    <row r="669" spans="1:9">
      <c r="A669" s="1">
        <v>10000668</v>
      </c>
      <c r="B669" s="3" t="str">
        <f t="shared" ca="1" si="70"/>
        <v>Kolkata</v>
      </c>
      <c r="C669" s="3" t="str">
        <f t="shared" ca="1" si="71"/>
        <v>Moderate Risk</v>
      </c>
      <c r="D669" s="3" t="str">
        <f t="shared" ca="1" si="72"/>
        <v>Residential</v>
      </c>
      <c r="E669" s="3" t="str" cm="1">
        <f t="array" aca="1" ref="E669" ca="1">_xlfn.IFS(D669="Industrial", "Reinforced Concrete", D669 = "Commercial", CHOOSE(RANDBETWEEN(1, 2), "Reinforced Concrete", "Unreinforced Masonry"), D669 = "Residential", CHOOSE(RANDBETWEEN(1, 3), "Reinforced Concrete", "Unreinforced Masonry", "Adobe / Light Timber"))</f>
        <v>Reinforced Concrete</v>
      </c>
      <c r="F669" s="3">
        <f t="shared" ca="1" si="73"/>
        <v>2005</v>
      </c>
      <c r="G669" s="3">
        <f t="shared" ca="1" si="74"/>
        <v>2</v>
      </c>
      <c r="H669" s="2">
        <f t="shared" ca="1" si="75"/>
        <v>4</v>
      </c>
      <c r="I669" s="4">
        <f t="shared" ca="1" si="76"/>
        <v>5038035</v>
      </c>
    </row>
    <row r="670" spans="1:9">
      <c r="A670" s="1">
        <v>10000669</v>
      </c>
      <c r="B670" s="3" t="str">
        <f t="shared" ca="1" si="70"/>
        <v>South 24 Parganas</v>
      </c>
      <c r="C670" s="3" t="str">
        <f t="shared" ca="1" si="71"/>
        <v>High Risk</v>
      </c>
      <c r="D670" s="3" t="str">
        <f t="shared" ca="1" si="72"/>
        <v>Residential</v>
      </c>
      <c r="E670" s="3" t="str" cm="1">
        <f t="array" aca="1" ref="E670" ca="1">_xlfn.IFS(D670="Industrial", "Reinforced Concrete", D670 = "Commercial", CHOOSE(RANDBETWEEN(1, 2), "Reinforced Concrete", "Unreinforced Masonry"), D670 = "Residential", CHOOSE(RANDBETWEEN(1, 3), "Reinforced Concrete", "Unreinforced Masonry", "Adobe / Light Timber"))</f>
        <v>Adobe / Light Timber</v>
      </c>
      <c r="F670" s="3">
        <f t="shared" ca="1" si="73"/>
        <v>2009</v>
      </c>
      <c r="G670" s="3">
        <f t="shared" ca="1" si="74"/>
        <v>1</v>
      </c>
      <c r="H670" s="2">
        <f t="shared" ca="1" si="75"/>
        <v>2</v>
      </c>
      <c r="I670" s="4">
        <f t="shared" ca="1" si="76"/>
        <v>561614</v>
      </c>
    </row>
    <row r="671" spans="1:9">
      <c r="A671" s="1">
        <v>10000670</v>
      </c>
      <c r="B671" s="3" t="str">
        <f t="shared" ca="1" si="70"/>
        <v>Jalpaiguri</v>
      </c>
      <c r="C671" s="3" t="str">
        <f t="shared" ca="1" si="71"/>
        <v>High Risk</v>
      </c>
      <c r="D671" s="3" t="str">
        <f t="shared" ca="1" si="72"/>
        <v>Commercial</v>
      </c>
      <c r="E671" s="3" t="str" cm="1">
        <f t="array" aca="1" ref="E671" ca="1">_xlfn.IFS(D671="Industrial", "Reinforced Concrete", D671 = "Commercial", CHOOSE(RANDBETWEEN(1, 2), "Reinforced Concrete", "Unreinforced Masonry"), D671 = "Residential", CHOOSE(RANDBETWEEN(1, 3), "Reinforced Concrete", "Unreinforced Masonry", "Adobe / Light Timber"))</f>
        <v>Unreinforced Masonry</v>
      </c>
      <c r="F671" s="3">
        <f t="shared" ca="1" si="73"/>
        <v>1990</v>
      </c>
      <c r="G671" s="3">
        <f t="shared" ca="1" si="74"/>
        <v>4</v>
      </c>
      <c r="H671" s="2">
        <f t="shared" ca="1" si="75"/>
        <v>1</v>
      </c>
      <c r="I671" s="4">
        <f t="shared" ca="1" si="76"/>
        <v>8025107</v>
      </c>
    </row>
    <row r="672" spans="1:9">
      <c r="A672" s="1">
        <v>10000671</v>
      </c>
      <c r="B672" s="3" t="str">
        <f t="shared" ca="1" si="70"/>
        <v>Malda</v>
      </c>
      <c r="C672" s="3" t="str">
        <f t="shared" ca="1" si="71"/>
        <v>High Risk</v>
      </c>
      <c r="D672" s="3" t="str">
        <f t="shared" ca="1" si="72"/>
        <v>Residential</v>
      </c>
      <c r="E672" s="3" t="str" cm="1">
        <f t="array" aca="1" ref="E672" ca="1">_xlfn.IFS(D672="Industrial", "Reinforced Concrete", D672 = "Commercial", CHOOSE(RANDBETWEEN(1, 2), "Reinforced Concrete", "Unreinforced Masonry"), D672 = "Residential", CHOOSE(RANDBETWEEN(1, 3), "Reinforced Concrete", "Unreinforced Masonry", "Adobe / Light Timber"))</f>
        <v>Reinforced Concrete</v>
      </c>
      <c r="F672" s="3">
        <f t="shared" ca="1" si="73"/>
        <v>2012</v>
      </c>
      <c r="G672" s="3">
        <f t="shared" ca="1" si="74"/>
        <v>2</v>
      </c>
      <c r="H672" s="2">
        <f t="shared" ca="1" si="75"/>
        <v>3</v>
      </c>
      <c r="I672" s="4">
        <f t="shared" ca="1" si="76"/>
        <v>3328424</v>
      </c>
    </row>
    <row r="673" spans="1:9">
      <c r="A673" s="1">
        <v>10000672</v>
      </c>
      <c r="B673" s="3" t="str">
        <f t="shared" ca="1" si="70"/>
        <v>Kolkata</v>
      </c>
      <c r="C673" s="3" t="str">
        <f t="shared" ca="1" si="71"/>
        <v>Moderate Risk</v>
      </c>
      <c r="D673" s="3" t="str">
        <f t="shared" ca="1" si="72"/>
        <v>Commercial</v>
      </c>
      <c r="E673" s="3" t="str" cm="1">
        <f t="array" aca="1" ref="E673" ca="1">_xlfn.IFS(D673="Industrial", "Reinforced Concrete", D673 = "Commercial", CHOOSE(RANDBETWEEN(1, 2), "Reinforced Concrete", "Unreinforced Masonry"), D673 = "Residential", CHOOSE(RANDBETWEEN(1, 3), "Reinforced Concrete", "Unreinforced Masonry", "Adobe / Light Timber"))</f>
        <v>Reinforced Concrete</v>
      </c>
      <c r="F673" s="3">
        <f t="shared" ca="1" si="73"/>
        <v>2016</v>
      </c>
      <c r="G673" s="3">
        <f t="shared" ca="1" si="74"/>
        <v>4</v>
      </c>
      <c r="H673" s="2">
        <f t="shared" ca="1" si="75"/>
        <v>4</v>
      </c>
      <c r="I673" s="4">
        <f t="shared" ca="1" si="76"/>
        <v>18971820</v>
      </c>
    </row>
    <row r="674" spans="1:9">
      <c r="A674" s="1">
        <v>10000673</v>
      </c>
      <c r="B674" s="3" t="str">
        <f t="shared" ca="1" si="70"/>
        <v>South 24 Parganas</v>
      </c>
      <c r="C674" s="3" t="str">
        <f t="shared" ca="1" si="71"/>
        <v>High Risk</v>
      </c>
      <c r="D674" s="3" t="str">
        <f t="shared" ca="1" si="72"/>
        <v>Commercial</v>
      </c>
      <c r="E674" s="3" t="str" cm="1">
        <f t="array" aca="1" ref="E674" ca="1">_xlfn.IFS(D674="Industrial", "Reinforced Concrete", D674 = "Commercial", CHOOSE(RANDBETWEEN(1, 2), "Reinforced Concrete", "Unreinforced Masonry"), D674 = "Residential", CHOOSE(RANDBETWEEN(1, 3), "Reinforced Concrete", "Unreinforced Masonry", "Adobe / Light Timber"))</f>
        <v>Reinforced Concrete</v>
      </c>
      <c r="F674" s="3">
        <f t="shared" ca="1" si="73"/>
        <v>1982</v>
      </c>
      <c r="G674" s="3">
        <f t="shared" ca="1" si="74"/>
        <v>2</v>
      </c>
      <c r="H674" s="2">
        <f t="shared" ca="1" si="75"/>
        <v>3</v>
      </c>
      <c r="I674" s="4">
        <f t="shared" ca="1" si="76"/>
        <v>20439710</v>
      </c>
    </row>
    <row r="675" spans="1:9">
      <c r="A675" s="1">
        <v>10000674</v>
      </c>
      <c r="B675" s="3" t="str">
        <f t="shared" ca="1" si="70"/>
        <v>Jalpaiguri</v>
      </c>
      <c r="C675" s="3" t="str">
        <f t="shared" ca="1" si="71"/>
        <v>High Risk</v>
      </c>
      <c r="D675" s="3" t="str">
        <f t="shared" ca="1" si="72"/>
        <v>Residential</v>
      </c>
      <c r="E675" s="3" t="str" cm="1">
        <f t="array" aca="1" ref="E675" ca="1">_xlfn.IFS(D675="Industrial", "Reinforced Concrete", D675 = "Commercial", CHOOSE(RANDBETWEEN(1, 2), "Reinforced Concrete", "Unreinforced Masonry"), D675 = "Residential", CHOOSE(RANDBETWEEN(1, 3), "Reinforced Concrete", "Unreinforced Masonry", "Adobe / Light Timber"))</f>
        <v>Unreinforced Masonry</v>
      </c>
      <c r="F675" s="3">
        <f t="shared" ca="1" si="73"/>
        <v>1980</v>
      </c>
      <c r="G675" s="3">
        <f t="shared" ca="1" si="74"/>
        <v>2</v>
      </c>
      <c r="H675" s="2">
        <f t="shared" ca="1" si="75"/>
        <v>2</v>
      </c>
      <c r="I675" s="4">
        <f t="shared" ca="1" si="76"/>
        <v>6065305</v>
      </c>
    </row>
    <row r="676" spans="1:9">
      <c r="A676" s="1">
        <v>10000675</v>
      </c>
      <c r="B676" s="3" t="str">
        <f t="shared" ca="1" si="70"/>
        <v>Malda</v>
      </c>
      <c r="C676" s="3" t="str">
        <f t="shared" ca="1" si="71"/>
        <v>High Risk</v>
      </c>
      <c r="D676" s="3" t="str">
        <f t="shared" ca="1" si="72"/>
        <v>Industrial</v>
      </c>
      <c r="E676" s="3" t="str" cm="1">
        <f t="array" aca="1" ref="E676" ca="1">_xlfn.IFS(D676="Industrial", "Reinforced Concrete", D676 = "Commercial", CHOOSE(RANDBETWEEN(1, 2), "Reinforced Concrete", "Unreinforced Masonry"), D676 = "Residential", CHOOSE(RANDBETWEEN(1, 3), "Reinforced Concrete", "Unreinforced Masonry", "Adobe / Light Timber"))</f>
        <v>Reinforced Concrete</v>
      </c>
      <c r="F676" s="3">
        <f t="shared" ca="1" si="73"/>
        <v>1991</v>
      </c>
      <c r="G676" s="3">
        <f t="shared" ca="1" si="74"/>
        <v>4</v>
      </c>
      <c r="H676" s="2">
        <f t="shared" ca="1" si="75"/>
        <v>4</v>
      </c>
      <c r="I676" s="4">
        <f t="shared" ca="1" si="76"/>
        <v>31077715</v>
      </c>
    </row>
    <row r="677" spans="1:9">
      <c r="A677" s="1">
        <v>10000676</v>
      </c>
      <c r="B677" s="3" t="str">
        <f t="shared" ca="1" si="70"/>
        <v>South 24 Parganas</v>
      </c>
      <c r="C677" s="3" t="str">
        <f t="shared" ca="1" si="71"/>
        <v>High Risk</v>
      </c>
      <c r="D677" s="3" t="str">
        <f t="shared" ca="1" si="72"/>
        <v>Residential</v>
      </c>
      <c r="E677" s="3" t="str" cm="1">
        <f t="array" aca="1" ref="E677" ca="1">_xlfn.IFS(D677="Industrial", "Reinforced Concrete", D677 = "Commercial", CHOOSE(RANDBETWEEN(1, 2), "Reinforced Concrete", "Unreinforced Masonry"), D677 = "Residential", CHOOSE(RANDBETWEEN(1, 3), "Reinforced Concrete", "Unreinforced Masonry", "Adobe / Light Timber"))</f>
        <v>Adobe / Light Timber</v>
      </c>
      <c r="F677" s="3">
        <f t="shared" ca="1" si="73"/>
        <v>1980</v>
      </c>
      <c r="G677" s="3">
        <f t="shared" ca="1" si="74"/>
        <v>1</v>
      </c>
      <c r="H677" s="2">
        <f t="shared" ca="1" si="75"/>
        <v>1</v>
      </c>
      <c r="I677" s="4">
        <f t="shared" ca="1" si="76"/>
        <v>510129</v>
      </c>
    </row>
    <row r="678" spans="1:9">
      <c r="A678" s="1">
        <v>10000677</v>
      </c>
      <c r="B678" s="3" t="str">
        <f t="shared" ca="1" si="70"/>
        <v>Jalpaiguri</v>
      </c>
      <c r="C678" s="3" t="str">
        <f t="shared" ca="1" si="71"/>
        <v>High Risk</v>
      </c>
      <c r="D678" s="3" t="str">
        <f t="shared" ca="1" si="72"/>
        <v>Commercial</v>
      </c>
      <c r="E678" s="3" t="str" cm="1">
        <f t="array" aca="1" ref="E678" ca="1">_xlfn.IFS(D678="Industrial", "Reinforced Concrete", D678 = "Commercial", CHOOSE(RANDBETWEEN(1, 2), "Reinforced Concrete", "Unreinforced Masonry"), D678 = "Residential", CHOOSE(RANDBETWEEN(1, 3), "Reinforced Concrete", "Unreinforced Masonry", "Adobe / Light Timber"))</f>
        <v>Reinforced Concrete</v>
      </c>
      <c r="F678" s="3">
        <f t="shared" ca="1" si="73"/>
        <v>2022</v>
      </c>
      <c r="G678" s="3">
        <f t="shared" ca="1" si="74"/>
        <v>5</v>
      </c>
      <c r="H678" s="2">
        <f t="shared" ca="1" si="75"/>
        <v>4</v>
      </c>
      <c r="I678" s="4">
        <f t="shared" ca="1" si="76"/>
        <v>15499880</v>
      </c>
    </row>
    <row r="679" spans="1:9">
      <c r="A679" s="1">
        <v>10000678</v>
      </c>
      <c r="B679" s="3" t="str">
        <f t="shared" ca="1" si="70"/>
        <v>Malda</v>
      </c>
      <c r="C679" s="3" t="str">
        <f t="shared" ca="1" si="71"/>
        <v>High Risk</v>
      </c>
      <c r="D679" s="3" t="str">
        <f t="shared" ca="1" si="72"/>
        <v>Commercial</v>
      </c>
      <c r="E679" s="3" t="str" cm="1">
        <f t="array" aca="1" ref="E679" ca="1">_xlfn.IFS(D679="Industrial", "Reinforced Concrete", D679 = "Commercial", CHOOSE(RANDBETWEEN(1, 2), "Reinforced Concrete", "Unreinforced Masonry"), D679 = "Residential", CHOOSE(RANDBETWEEN(1, 3), "Reinforced Concrete", "Unreinforced Masonry", "Adobe / Light Timber"))</f>
        <v>Reinforced Concrete</v>
      </c>
      <c r="F679" s="3">
        <f t="shared" ca="1" si="73"/>
        <v>2001</v>
      </c>
      <c r="G679" s="3">
        <f t="shared" ca="1" si="74"/>
        <v>5</v>
      </c>
      <c r="H679" s="2">
        <f t="shared" ca="1" si="75"/>
        <v>3</v>
      </c>
      <c r="I679" s="4">
        <f t="shared" ca="1" si="76"/>
        <v>14923915</v>
      </c>
    </row>
    <row r="680" spans="1:9">
      <c r="A680" s="1">
        <v>10000679</v>
      </c>
      <c r="B680" s="3" t="str">
        <f t="shared" ca="1" si="70"/>
        <v>Kolkata</v>
      </c>
      <c r="C680" s="3" t="str">
        <f t="shared" ca="1" si="71"/>
        <v>Moderate Risk</v>
      </c>
      <c r="D680" s="3" t="str">
        <f t="shared" ca="1" si="72"/>
        <v>Industrial</v>
      </c>
      <c r="E680" s="3" t="str" cm="1">
        <f t="array" aca="1" ref="E680" ca="1">_xlfn.IFS(D680="Industrial", "Reinforced Concrete", D680 = "Commercial", CHOOSE(RANDBETWEEN(1, 2), "Reinforced Concrete", "Unreinforced Masonry"), D680 = "Residential", CHOOSE(RANDBETWEEN(1, 3), "Reinforced Concrete", "Unreinforced Masonry", "Adobe / Light Timber"))</f>
        <v>Reinforced Concrete</v>
      </c>
      <c r="F680" s="3">
        <f t="shared" ca="1" si="73"/>
        <v>2004</v>
      </c>
      <c r="G680" s="3">
        <f t="shared" ca="1" si="74"/>
        <v>5</v>
      </c>
      <c r="H680" s="2">
        <f t="shared" ca="1" si="75"/>
        <v>4</v>
      </c>
      <c r="I680" s="4">
        <f t="shared" ca="1" si="76"/>
        <v>41035236</v>
      </c>
    </row>
    <row r="681" spans="1:9">
      <c r="A681" s="1">
        <v>10000680</v>
      </c>
      <c r="B681" s="3" t="str">
        <f t="shared" ca="1" si="70"/>
        <v>Paschim Medinipur</v>
      </c>
      <c r="C681" s="3" t="str">
        <f t="shared" ca="1" si="71"/>
        <v>Moderate Risk</v>
      </c>
      <c r="D681" s="3" t="str">
        <f t="shared" ca="1" si="72"/>
        <v>Residential</v>
      </c>
      <c r="E681" s="3" t="str" cm="1">
        <f t="array" aca="1" ref="E681" ca="1">_xlfn.IFS(D681="Industrial", "Reinforced Concrete", D681 = "Commercial", CHOOSE(RANDBETWEEN(1, 2), "Reinforced Concrete", "Unreinforced Masonry"), D681 = "Residential", CHOOSE(RANDBETWEEN(1, 3), "Reinforced Concrete", "Unreinforced Masonry", "Adobe / Light Timber"))</f>
        <v>Unreinforced Masonry</v>
      </c>
      <c r="F681" s="3">
        <f t="shared" ca="1" si="73"/>
        <v>2004</v>
      </c>
      <c r="G681" s="3">
        <f t="shared" ca="1" si="74"/>
        <v>2</v>
      </c>
      <c r="H681" s="2">
        <f t="shared" ca="1" si="75"/>
        <v>1</v>
      </c>
      <c r="I681" s="4">
        <f t="shared" ca="1" si="76"/>
        <v>2858987</v>
      </c>
    </row>
    <row r="682" spans="1:9">
      <c r="A682" s="1">
        <v>10000681</v>
      </c>
      <c r="B682" s="3" t="str">
        <f t="shared" ca="1" si="70"/>
        <v>Paschim Medinipur</v>
      </c>
      <c r="C682" s="3" t="str">
        <f t="shared" ca="1" si="71"/>
        <v>Moderate Risk</v>
      </c>
      <c r="D682" s="3" t="str">
        <f t="shared" ca="1" si="72"/>
        <v>Commercial</v>
      </c>
      <c r="E682" s="3" t="str" cm="1">
        <f t="array" aca="1" ref="E682" ca="1">_xlfn.IFS(D682="Industrial", "Reinforced Concrete", D682 = "Commercial", CHOOSE(RANDBETWEEN(1, 2), "Reinforced Concrete", "Unreinforced Masonry"), D682 = "Residential", CHOOSE(RANDBETWEEN(1, 3), "Reinforced Concrete", "Unreinforced Masonry", "Adobe / Light Timber"))</f>
        <v>Unreinforced Masonry</v>
      </c>
      <c r="F682" s="3">
        <f t="shared" ca="1" si="73"/>
        <v>2007</v>
      </c>
      <c r="G682" s="3">
        <f t="shared" ca="1" si="74"/>
        <v>3</v>
      </c>
      <c r="H682" s="2">
        <f t="shared" ca="1" si="75"/>
        <v>0</v>
      </c>
      <c r="I682" s="4">
        <f t="shared" ca="1" si="76"/>
        <v>14887119</v>
      </c>
    </row>
    <row r="683" spans="1:9">
      <c r="A683" s="1">
        <v>10000682</v>
      </c>
      <c r="B683" s="3" t="str">
        <f t="shared" ca="1" si="70"/>
        <v>Jalpaiguri</v>
      </c>
      <c r="C683" s="3" t="str">
        <f t="shared" ca="1" si="71"/>
        <v>High Risk</v>
      </c>
      <c r="D683" s="3" t="str">
        <f t="shared" ca="1" si="72"/>
        <v>Commercial</v>
      </c>
      <c r="E683" s="3" t="str" cm="1">
        <f t="array" aca="1" ref="E683" ca="1">_xlfn.IFS(D683="Industrial", "Reinforced Concrete", D683 = "Commercial", CHOOSE(RANDBETWEEN(1, 2), "Reinforced Concrete", "Unreinforced Masonry"), D683 = "Residential", CHOOSE(RANDBETWEEN(1, 3), "Reinforced Concrete", "Unreinforced Masonry", "Adobe / Light Timber"))</f>
        <v>Reinforced Concrete</v>
      </c>
      <c r="F683" s="3">
        <f t="shared" ca="1" si="73"/>
        <v>1983</v>
      </c>
      <c r="G683" s="3">
        <f t="shared" ca="1" si="74"/>
        <v>1</v>
      </c>
      <c r="H683" s="2">
        <f t="shared" ca="1" si="75"/>
        <v>5</v>
      </c>
      <c r="I683" s="4">
        <f t="shared" ca="1" si="76"/>
        <v>15850328</v>
      </c>
    </row>
    <row r="684" spans="1:9">
      <c r="A684" s="1">
        <v>10000683</v>
      </c>
      <c r="B684" s="3" t="str">
        <f t="shared" ca="1" si="70"/>
        <v>Jalpaiguri</v>
      </c>
      <c r="C684" s="3" t="str">
        <f t="shared" ca="1" si="71"/>
        <v>High Risk</v>
      </c>
      <c r="D684" s="3" t="str">
        <f t="shared" ca="1" si="72"/>
        <v>Industrial</v>
      </c>
      <c r="E684" s="3" t="str" cm="1">
        <f t="array" aca="1" ref="E684" ca="1">_xlfn.IFS(D684="Industrial", "Reinforced Concrete", D684 = "Commercial", CHOOSE(RANDBETWEEN(1, 2), "Reinforced Concrete", "Unreinforced Masonry"), D684 = "Residential", CHOOSE(RANDBETWEEN(1, 3), "Reinforced Concrete", "Unreinforced Masonry", "Adobe / Light Timber"))</f>
        <v>Reinforced Concrete</v>
      </c>
      <c r="F684" s="3">
        <f t="shared" ca="1" si="73"/>
        <v>2007</v>
      </c>
      <c r="G684" s="3">
        <f t="shared" ca="1" si="74"/>
        <v>3</v>
      </c>
      <c r="H684" s="2">
        <f t="shared" ca="1" si="75"/>
        <v>3</v>
      </c>
      <c r="I684" s="4">
        <f t="shared" ca="1" si="76"/>
        <v>50476002</v>
      </c>
    </row>
    <row r="685" spans="1:9">
      <c r="A685" s="1">
        <v>10000684</v>
      </c>
      <c r="B685" s="3" t="str">
        <f t="shared" ca="1" si="70"/>
        <v>Jalpaiguri</v>
      </c>
      <c r="C685" s="3" t="str">
        <f t="shared" ca="1" si="71"/>
        <v>High Risk</v>
      </c>
      <c r="D685" s="3" t="str">
        <f t="shared" ca="1" si="72"/>
        <v>Industrial</v>
      </c>
      <c r="E685" s="3" t="str" cm="1">
        <f t="array" aca="1" ref="E685" ca="1">_xlfn.IFS(D685="Industrial", "Reinforced Concrete", D685 = "Commercial", CHOOSE(RANDBETWEEN(1, 2), "Reinforced Concrete", "Unreinforced Masonry"), D685 = "Residential", CHOOSE(RANDBETWEEN(1, 3), "Reinforced Concrete", "Unreinforced Masonry", "Adobe / Light Timber"))</f>
        <v>Reinforced Concrete</v>
      </c>
      <c r="F685" s="3">
        <f t="shared" ca="1" si="73"/>
        <v>2016</v>
      </c>
      <c r="G685" s="3">
        <f t="shared" ca="1" si="74"/>
        <v>4</v>
      </c>
      <c r="H685" s="2">
        <f t="shared" ca="1" si="75"/>
        <v>5</v>
      </c>
      <c r="I685" s="4">
        <f t="shared" ca="1" si="76"/>
        <v>52908041</v>
      </c>
    </row>
    <row r="686" spans="1:9">
      <c r="A686" s="1">
        <v>10000685</v>
      </c>
      <c r="B686" s="3" t="str">
        <f t="shared" ca="1" si="70"/>
        <v>Kolkata</v>
      </c>
      <c r="C686" s="3" t="str">
        <f t="shared" ca="1" si="71"/>
        <v>Moderate Risk</v>
      </c>
      <c r="D686" s="3" t="str">
        <f t="shared" ca="1" si="72"/>
        <v>Residential</v>
      </c>
      <c r="E686" s="3" t="str" cm="1">
        <f t="array" aca="1" ref="E686" ca="1">_xlfn.IFS(D686="Industrial", "Reinforced Concrete", D686 = "Commercial", CHOOSE(RANDBETWEEN(1, 2), "Reinforced Concrete", "Unreinforced Masonry"), D686 = "Residential", CHOOSE(RANDBETWEEN(1, 3), "Reinforced Concrete", "Unreinforced Masonry", "Adobe / Light Timber"))</f>
        <v>Adobe / Light Timber</v>
      </c>
      <c r="F686" s="3">
        <f t="shared" ca="1" si="73"/>
        <v>2019</v>
      </c>
      <c r="G686" s="3">
        <f t="shared" ca="1" si="74"/>
        <v>1</v>
      </c>
      <c r="H686" s="2">
        <f t="shared" ca="1" si="75"/>
        <v>0</v>
      </c>
      <c r="I686" s="4">
        <f t="shared" ca="1" si="76"/>
        <v>317932</v>
      </c>
    </row>
    <row r="687" spans="1:9">
      <c r="A687" s="1">
        <v>10000686</v>
      </c>
      <c r="B687" s="3" t="str">
        <f t="shared" ca="1" si="70"/>
        <v>South 24 Parganas</v>
      </c>
      <c r="C687" s="3" t="str">
        <f t="shared" ca="1" si="71"/>
        <v>High Risk</v>
      </c>
      <c r="D687" s="3" t="str">
        <f t="shared" ca="1" si="72"/>
        <v>Commercial</v>
      </c>
      <c r="E687" s="3" t="str" cm="1">
        <f t="array" aca="1" ref="E687" ca="1">_xlfn.IFS(D687="Industrial", "Reinforced Concrete", D687 = "Commercial", CHOOSE(RANDBETWEEN(1, 2), "Reinforced Concrete", "Unreinforced Masonry"), D687 = "Residential", CHOOSE(RANDBETWEEN(1, 3), "Reinforced Concrete", "Unreinforced Masonry", "Adobe / Light Timber"))</f>
        <v>Reinforced Concrete</v>
      </c>
      <c r="F687" s="3">
        <f t="shared" ca="1" si="73"/>
        <v>1984</v>
      </c>
      <c r="G687" s="3">
        <f t="shared" ca="1" si="74"/>
        <v>4</v>
      </c>
      <c r="H687" s="2">
        <f t="shared" ca="1" si="75"/>
        <v>4</v>
      </c>
      <c r="I687" s="4">
        <f t="shared" ca="1" si="76"/>
        <v>14269367</v>
      </c>
    </row>
    <row r="688" spans="1:9">
      <c r="A688" s="1">
        <v>10000687</v>
      </c>
      <c r="B688" s="3" t="str">
        <f t="shared" ca="1" si="70"/>
        <v>Paschim Medinipur</v>
      </c>
      <c r="C688" s="3" t="str">
        <f t="shared" ca="1" si="71"/>
        <v>Moderate Risk</v>
      </c>
      <c r="D688" s="3" t="str">
        <f t="shared" ca="1" si="72"/>
        <v>Commercial</v>
      </c>
      <c r="E688" s="3" t="str" cm="1">
        <f t="array" aca="1" ref="E688" ca="1">_xlfn.IFS(D688="Industrial", "Reinforced Concrete", D688 = "Commercial", CHOOSE(RANDBETWEEN(1, 2), "Reinforced Concrete", "Unreinforced Masonry"), D688 = "Residential", CHOOSE(RANDBETWEEN(1, 3), "Reinforced Concrete", "Unreinforced Masonry", "Adobe / Light Timber"))</f>
        <v>Reinforced Concrete</v>
      </c>
      <c r="F688" s="3">
        <f t="shared" ca="1" si="73"/>
        <v>2016</v>
      </c>
      <c r="G688" s="3">
        <f t="shared" ca="1" si="74"/>
        <v>2</v>
      </c>
      <c r="H688" s="2">
        <f t="shared" ca="1" si="75"/>
        <v>4</v>
      </c>
      <c r="I688" s="4">
        <f t="shared" ca="1" si="76"/>
        <v>12444627</v>
      </c>
    </row>
    <row r="689" spans="1:9">
      <c r="A689" s="1">
        <v>10000688</v>
      </c>
      <c r="B689" s="3" t="str">
        <f t="shared" ca="1" si="70"/>
        <v>Malda</v>
      </c>
      <c r="C689" s="3" t="str">
        <f t="shared" ca="1" si="71"/>
        <v>High Risk</v>
      </c>
      <c r="D689" s="3" t="str">
        <f t="shared" ca="1" si="72"/>
        <v>Commercial</v>
      </c>
      <c r="E689" s="3" t="str" cm="1">
        <f t="array" aca="1" ref="E689" ca="1">_xlfn.IFS(D689="Industrial", "Reinforced Concrete", D689 = "Commercial", CHOOSE(RANDBETWEEN(1, 2), "Reinforced Concrete", "Unreinforced Masonry"), D689 = "Residential", CHOOSE(RANDBETWEEN(1, 3), "Reinforced Concrete", "Unreinforced Masonry", "Adobe / Light Timber"))</f>
        <v>Unreinforced Masonry</v>
      </c>
      <c r="F689" s="3">
        <f t="shared" ca="1" si="73"/>
        <v>1996</v>
      </c>
      <c r="G689" s="3">
        <f t="shared" ca="1" si="74"/>
        <v>4</v>
      </c>
      <c r="H689" s="2">
        <f t="shared" ca="1" si="75"/>
        <v>2</v>
      </c>
      <c r="I689" s="4">
        <f t="shared" ca="1" si="76"/>
        <v>17613494</v>
      </c>
    </row>
    <row r="690" spans="1:9">
      <c r="A690" s="1">
        <v>10000689</v>
      </c>
      <c r="B690" s="3" t="str">
        <f t="shared" ca="1" si="70"/>
        <v>South 24 Parganas</v>
      </c>
      <c r="C690" s="3" t="str">
        <f t="shared" ca="1" si="71"/>
        <v>High Risk</v>
      </c>
      <c r="D690" s="3" t="str">
        <f t="shared" ca="1" si="72"/>
        <v>Commercial</v>
      </c>
      <c r="E690" s="3" t="str" cm="1">
        <f t="array" aca="1" ref="E690" ca="1">_xlfn.IFS(D690="Industrial", "Reinforced Concrete", D690 = "Commercial", CHOOSE(RANDBETWEEN(1, 2), "Reinforced Concrete", "Unreinforced Masonry"), D690 = "Residential", CHOOSE(RANDBETWEEN(1, 3), "Reinforced Concrete", "Unreinforced Masonry", "Adobe / Light Timber"))</f>
        <v>Unreinforced Masonry</v>
      </c>
      <c r="F690" s="3">
        <f t="shared" ca="1" si="73"/>
        <v>2016</v>
      </c>
      <c r="G690" s="3">
        <f t="shared" ca="1" si="74"/>
        <v>2</v>
      </c>
      <c r="H690" s="2">
        <f t="shared" ca="1" si="75"/>
        <v>2</v>
      </c>
      <c r="I690" s="4">
        <f t="shared" ca="1" si="76"/>
        <v>11810401</v>
      </c>
    </row>
    <row r="691" spans="1:9">
      <c r="A691" s="1">
        <v>10000690</v>
      </c>
      <c r="B691" s="3" t="str">
        <f t="shared" ca="1" si="70"/>
        <v>Jalpaiguri</v>
      </c>
      <c r="C691" s="3" t="str">
        <f t="shared" ca="1" si="71"/>
        <v>High Risk</v>
      </c>
      <c r="D691" s="3" t="str">
        <f t="shared" ca="1" si="72"/>
        <v>Commercial</v>
      </c>
      <c r="E691" s="3" t="str" cm="1">
        <f t="array" aca="1" ref="E691" ca="1">_xlfn.IFS(D691="Industrial", "Reinforced Concrete", D691 = "Commercial", CHOOSE(RANDBETWEEN(1, 2), "Reinforced Concrete", "Unreinforced Masonry"), D691 = "Residential", CHOOSE(RANDBETWEEN(1, 3), "Reinforced Concrete", "Unreinforced Masonry", "Adobe / Light Timber"))</f>
        <v>Reinforced Concrete</v>
      </c>
      <c r="F691" s="3">
        <f t="shared" ca="1" si="73"/>
        <v>1987</v>
      </c>
      <c r="G691" s="3">
        <f t="shared" ca="1" si="74"/>
        <v>2</v>
      </c>
      <c r="H691" s="2">
        <f t="shared" ca="1" si="75"/>
        <v>4</v>
      </c>
      <c r="I691" s="4">
        <f t="shared" ca="1" si="76"/>
        <v>20630908</v>
      </c>
    </row>
    <row r="692" spans="1:9">
      <c r="A692" s="1">
        <v>10000691</v>
      </c>
      <c r="B692" s="3" t="str">
        <f t="shared" ca="1" si="70"/>
        <v>Malda</v>
      </c>
      <c r="C692" s="3" t="str">
        <f t="shared" ca="1" si="71"/>
        <v>High Risk</v>
      </c>
      <c r="D692" s="3" t="str">
        <f t="shared" ca="1" si="72"/>
        <v>Industrial</v>
      </c>
      <c r="E692" s="3" t="str" cm="1">
        <f t="array" aca="1" ref="E692" ca="1">_xlfn.IFS(D692="Industrial", "Reinforced Concrete", D692 = "Commercial", CHOOSE(RANDBETWEEN(1, 2), "Reinforced Concrete", "Unreinforced Masonry"), D692 = "Residential", CHOOSE(RANDBETWEEN(1, 3), "Reinforced Concrete", "Unreinforced Masonry", "Adobe / Light Timber"))</f>
        <v>Reinforced Concrete</v>
      </c>
      <c r="F692" s="3">
        <f t="shared" ca="1" si="73"/>
        <v>1997</v>
      </c>
      <c r="G692" s="3">
        <f t="shared" ca="1" si="74"/>
        <v>3</v>
      </c>
      <c r="H692" s="2">
        <f t="shared" ca="1" si="75"/>
        <v>3</v>
      </c>
      <c r="I692" s="4">
        <f t="shared" ca="1" si="76"/>
        <v>49484105</v>
      </c>
    </row>
    <row r="693" spans="1:9">
      <c r="A693" s="1">
        <v>10000692</v>
      </c>
      <c r="B693" s="3" t="str">
        <f t="shared" ca="1" si="70"/>
        <v>South 24 Parganas</v>
      </c>
      <c r="C693" s="3" t="str">
        <f t="shared" ca="1" si="71"/>
        <v>High Risk</v>
      </c>
      <c r="D693" s="3" t="str">
        <f t="shared" ca="1" si="72"/>
        <v>Industrial</v>
      </c>
      <c r="E693" s="3" t="str" cm="1">
        <f t="array" aca="1" ref="E693" ca="1">_xlfn.IFS(D693="Industrial", "Reinforced Concrete", D693 = "Commercial", CHOOSE(RANDBETWEEN(1, 2), "Reinforced Concrete", "Unreinforced Masonry"), D693 = "Residential", CHOOSE(RANDBETWEEN(1, 3), "Reinforced Concrete", "Unreinforced Masonry", "Adobe / Light Timber"))</f>
        <v>Reinforced Concrete</v>
      </c>
      <c r="F693" s="3">
        <f t="shared" ca="1" si="73"/>
        <v>2015</v>
      </c>
      <c r="G693" s="3">
        <f t="shared" ca="1" si="74"/>
        <v>2</v>
      </c>
      <c r="H693" s="2">
        <f t="shared" ca="1" si="75"/>
        <v>3</v>
      </c>
      <c r="I693" s="4">
        <f t="shared" ca="1" si="76"/>
        <v>50495271</v>
      </c>
    </row>
    <row r="694" spans="1:9">
      <c r="A694" s="1">
        <v>10000693</v>
      </c>
      <c r="B694" s="3" t="str">
        <f t="shared" ca="1" si="70"/>
        <v>Kolkata</v>
      </c>
      <c r="C694" s="3" t="str">
        <f t="shared" ca="1" si="71"/>
        <v>Moderate Risk</v>
      </c>
      <c r="D694" s="3" t="str">
        <f t="shared" ca="1" si="72"/>
        <v>Industrial</v>
      </c>
      <c r="E694" s="3" t="str" cm="1">
        <f t="array" aca="1" ref="E694" ca="1">_xlfn.IFS(D694="Industrial", "Reinforced Concrete", D694 = "Commercial", CHOOSE(RANDBETWEEN(1, 2), "Reinforced Concrete", "Unreinforced Masonry"), D694 = "Residential", CHOOSE(RANDBETWEEN(1, 3), "Reinforced Concrete", "Unreinforced Masonry", "Adobe / Light Timber"))</f>
        <v>Reinforced Concrete</v>
      </c>
      <c r="F694" s="3">
        <f t="shared" ca="1" si="73"/>
        <v>2018</v>
      </c>
      <c r="G694" s="3">
        <f t="shared" ca="1" si="74"/>
        <v>4</v>
      </c>
      <c r="H694" s="2">
        <f t="shared" ca="1" si="75"/>
        <v>5</v>
      </c>
      <c r="I694" s="4">
        <f t="shared" ca="1" si="76"/>
        <v>50380913</v>
      </c>
    </row>
    <row r="695" spans="1:9">
      <c r="A695" s="1">
        <v>10000694</v>
      </c>
      <c r="B695" s="3" t="str">
        <f t="shared" ca="1" si="70"/>
        <v>South 24 Parganas</v>
      </c>
      <c r="C695" s="3" t="str">
        <f t="shared" ca="1" si="71"/>
        <v>High Risk</v>
      </c>
      <c r="D695" s="3" t="str">
        <f t="shared" ca="1" si="72"/>
        <v>Commercial</v>
      </c>
      <c r="E695" s="3" t="str" cm="1">
        <f t="array" aca="1" ref="E695" ca="1">_xlfn.IFS(D695="Industrial", "Reinforced Concrete", D695 = "Commercial", CHOOSE(RANDBETWEEN(1, 2), "Reinforced Concrete", "Unreinforced Masonry"), D695 = "Residential", CHOOSE(RANDBETWEEN(1, 3), "Reinforced Concrete", "Unreinforced Masonry", "Adobe / Light Timber"))</f>
        <v>Reinforced Concrete</v>
      </c>
      <c r="F695" s="3">
        <f t="shared" ca="1" si="73"/>
        <v>1985</v>
      </c>
      <c r="G695" s="3">
        <f t="shared" ca="1" si="74"/>
        <v>4</v>
      </c>
      <c r="H695" s="2">
        <f t="shared" ca="1" si="75"/>
        <v>3</v>
      </c>
      <c r="I695" s="4">
        <f t="shared" ca="1" si="76"/>
        <v>11759783</v>
      </c>
    </row>
    <row r="696" spans="1:9">
      <c r="A696" s="1">
        <v>10000695</v>
      </c>
      <c r="B696" s="3" t="str">
        <f t="shared" ca="1" si="70"/>
        <v>South 24 Parganas</v>
      </c>
      <c r="C696" s="3" t="str">
        <f t="shared" ca="1" si="71"/>
        <v>High Risk</v>
      </c>
      <c r="D696" s="3" t="str">
        <f t="shared" ca="1" si="72"/>
        <v>Residential</v>
      </c>
      <c r="E696" s="3" t="str" cm="1">
        <f t="array" aca="1" ref="E696" ca="1">_xlfn.IFS(D696="Industrial", "Reinforced Concrete", D696 = "Commercial", CHOOSE(RANDBETWEEN(1, 2), "Reinforced Concrete", "Unreinforced Masonry"), D696 = "Residential", CHOOSE(RANDBETWEEN(1, 3), "Reinforced Concrete", "Unreinforced Masonry", "Adobe / Light Timber"))</f>
        <v>Reinforced Concrete</v>
      </c>
      <c r="F696" s="3">
        <f t="shared" ca="1" si="73"/>
        <v>1994</v>
      </c>
      <c r="G696" s="3">
        <f t="shared" ca="1" si="74"/>
        <v>4</v>
      </c>
      <c r="H696" s="2">
        <f t="shared" ca="1" si="75"/>
        <v>5</v>
      </c>
      <c r="I696" s="4">
        <f t="shared" ca="1" si="76"/>
        <v>2341098</v>
      </c>
    </row>
    <row r="697" spans="1:9">
      <c r="A697" s="1">
        <v>10000696</v>
      </c>
      <c r="B697" s="3" t="str">
        <f t="shared" ca="1" si="70"/>
        <v>Malda</v>
      </c>
      <c r="C697" s="3" t="str">
        <f t="shared" ca="1" si="71"/>
        <v>High Risk</v>
      </c>
      <c r="D697" s="3" t="str">
        <f t="shared" ca="1" si="72"/>
        <v>Commercial</v>
      </c>
      <c r="E697" s="3" t="str" cm="1">
        <f t="array" aca="1" ref="E697" ca="1">_xlfn.IFS(D697="Industrial", "Reinforced Concrete", D697 = "Commercial", CHOOSE(RANDBETWEEN(1, 2), "Reinforced Concrete", "Unreinforced Masonry"), D697 = "Residential", CHOOSE(RANDBETWEEN(1, 3), "Reinforced Concrete", "Unreinforced Masonry", "Adobe / Light Timber"))</f>
        <v>Reinforced Concrete</v>
      </c>
      <c r="F697" s="3">
        <f t="shared" ca="1" si="73"/>
        <v>1990</v>
      </c>
      <c r="G697" s="3">
        <f t="shared" ca="1" si="74"/>
        <v>2</v>
      </c>
      <c r="H697" s="2">
        <f t="shared" ca="1" si="75"/>
        <v>5</v>
      </c>
      <c r="I697" s="4">
        <f t="shared" ca="1" si="76"/>
        <v>10922199</v>
      </c>
    </row>
    <row r="698" spans="1:9">
      <c r="A698" s="1">
        <v>10000697</v>
      </c>
      <c r="B698" s="3" t="str">
        <f t="shared" ca="1" si="70"/>
        <v>Jalpaiguri</v>
      </c>
      <c r="C698" s="3" t="str">
        <f t="shared" ca="1" si="71"/>
        <v>High Risk</v>
      </c>
      <c r="D698" s="3" t="str">
        <f t="shared" ca="1" si="72"/>
        <v>Residential</v>
      </c>
      <c r="E698" s="3" t="str" cm="1">
        <f t="array" aca="1" ref="E698" ca="1">_xlfn.IFS(D698="Industrial", "Reinforced Concrete", D698 = "Commercial", CHOOSE(RANDBETWEEN(1, 2), "Reinforced Concrete", "Unreinforced Masonry"), D698 = "Residential", CHOOSE(RANDBETWEEN(1, 3), "Reinforced Concrete", "Unreinforced Masonry", "Adobe / Light Timber"))</f>
        <v>Adobe / Light Timber</v>
      </c>
      <c r="F698" s="3">
        <f t="shared" ca="1" si="73"/>
        <v>2019</v>
      </c>
      <c r="G698" s="3">
        <f t="shared" ca="1" si="74"/>
        <v>1</v>
      </c>
      <c r="H698" s="2">
        <f t="shared" ca="1" si="75"/>
        <v>2</v>
      </c>
      <c r="I698" s="4">
        <f t="shared" ca="1" si="76"/>
        <v>500213</v>
      </c>
    </row>
    <row r="699" spans="1:9">
      <c r="A699" s="1">
        <v>10000698</v>
      </c>
      <c r="B699" s="3" t="str">
        <f t="shared" ca="1" si="70"/>
        <v>Malda</v>
      </c>
      <c r="C699" s="3" t="str">
        <f t="shared" ca="1" si="71"/>
        <v>High Risk</v>
      </c>
      <c r="D699" s="3" t="str">
        <f t="shared" ca="1" si="72"/>
        <v>Residential</v>
      </c>
      <c r="E699" s="3" t="str" cm="1">
        <f t="array" aca="1" ref="E699" ca="1">_xlfn.IFS(D699="Industrial", "Reinforced Concrete", D699 = "Commercial", CHOOSE(RANDBETWEEN(1, 2), "Reinforced Concrete", "Unreinforced Masonry"), D699 = "Residential", CHOOSE(RANDBETWEEN(1, 3), "Reinforced Concrete", "Unreinforced Masonry", "Adobe / Light Timber"))</f>
        <v>Adobe / Light Timber</v>
      </c>
      <c r="F699" s="3">
        <f t="shared" ca="1" si="73"/>
        <v>2001</v>
      </c>
      <c r="G699" s="3">
        <f t="shared" ca="1" si="74"/>
        <v>1</v>
      </c>
      <c r="H699" s="2">
        <f t="shared" ca="1" si="75"/>
        <v>0</v>
      </c>
      <c r="I699" s="4">
        <f t="shared" ca="1" si="76"/>
        <v>654198</v>
      </c>
    </row>
    <row r="700" spans="1:9">
      <c r="A700" s="1">
        <v>10000699</v>
      </c>
      <c r="B700" s="3" t="str">
        <f t="shared" ca="1" si="70"/>
        <v>South 24 Parganas</v>
      </c>
      <c r="C700" s="3" t="str">
        <f t="shared" ca="1" si="71"/>
        <v>High Risk</v>
      </c>
      <c r="D700" s="3" t="str">
        <f t="shared" ca="1" si="72"/>
        <v>Industrial</v>
      </c>
      <c r="E700" s="3" t="str" cm="1">
        <f t="array" aca="1" ref="E700" ca="1">_xlfn.IFS(D700="Industrial", "Reinforced Concrete", D700 = "Commercial", CHOOSE(RANDBETWEEN(1, 2), "Reinforced Concrete", "Unreinforced Masonry"), D700 = "Residential", CHOOSE(RANDBETWEEN(1, 3), "Reinforced Concrete", "Unreinforced Masonry", "Adobe / Light Timber"))</f>
        <v>Reinforced Concrete</v>
      </c>
      <c r="F700" s="3">
        <f t="shared" ca="1" si="73"/>
        <v>2013</v>
      </c>
      <c r="G700" s="3">
        <f t="shared" ca="1" si="74"/>
        <v>1</v>
      </c>
      <c r="H700" s="2">
        <f t="shared" ca="1" si="75"/>
        <v>5</v>
      </c>
      <c r="I700" s="4">
        <f t="shared" ca="1" si="76"/>
        <v>29081554</v>
      </c>
    </row>
    <row r="701" spans="1:9">
      <c r="A701" s="1">
        <v>10000700</v>
      </c>
      <c r="B701" s="3" t="str">
        <f t="shared" ca="1" si="70"/>
        <v>Kolkata</v>
      </c>
      <c r="C701" s="3" t="str">
        <f t="shared" ca="1" si="71"/>
        <v>Moderate Risk</v>
      </c>
      <c r="D701" s="3" t="str">
        <f t="shared" ca="1" si="72"/>
        <v>Industrial</v>
      </c>
      <c r="E701" s="3" t="str" cm="1">
        <f t="array" aca="1" ref="E701" ca="1">_xlfn.IFS(D701="Industrial", "Reinforced Concrete", D701 = "Commercial", CHOOSE(RANDBETWEEN(1, 2), "Reinforced Concrete", "Unreinforced Masonry"), D701 = "Residential", CHOOSE(RANDBETWEEN(1, 3), "Reinforced Concrete", "Unreinforced Masonry", "Adobe / Light Timber"))</f>
        <v>Reinforced Concrete</v>
      </c>
      <c r="F701" s="3">
        <f t="shared" ca="1" si="73"/>
        <v>2015</v>
      </c>
      <c r="G701" s="3">
        <f t="shared" ca="1" si="74"/>
        <v>3</v>
      </c>
      <c r="H701" s="2">
        <f t="shared" ca="1" si="75"/>
        <v>3</v>
      </c>
      <c r="I701" s="4">
        <f t="shared" ca="1" si="76"/>
        <v>52083145</v>
      </c>
    </row>
    <row r="702" spans="1:9">
      <c r="A702" s="1">
        <v>10000701</v>
      </c>
      <c r="B702" s="3" t="str">
        <f t="shared" ca="1" si="70"/>
        <v>Kolkata</v>
      </c>
      <c r="C702" s="3" t="str">
        <f t="shared" ca="1" si="71"/>
        <v>Moderate Risk</v>
      </c>
      <c r="D702" s="3" t="str">
        <f t="shared" ca="1" si="72"/>
        <v>Commercial</v>
      </c>
      <c r="E702" s="3" t="str" cm="1">
        <f t="array" aca="1" ref="E702" ca="1">_xlfn.IFS(D702="Industrial", "Reinforced Concrete", D702 = "Commercial", CHOOSE(RANDBETWEEN(1, 2), "Reinforced Concrete", "Unreinforced Masonry"), D702 = "Residential", CHOOSE(RANDBETWEEN(1, 3), "Reinforced Concrete", "Unreinforced Masonry", "Adobe / Light Timber"))</f>
        <v>Reinforced Concrete</v>
      </c>
      <c r="F702" s="3">
        <f t="shared" ca="1" si="73"/>
        <v>1992</v>
      </c>
      <c r="G702" s="3">
        <f t="shared" ca="1" si="74"/>
        <v>4</v>
      </c>
      <c r="H702" s="2">
        <f t="shared" ca="1" si="75"/>
        <v>3</v>
      </c>
      <c r="I702" s="4">
        <f t="shared" ca="1" si="76"/>
        <v>19156041</v>
      </c>
    </row>
    <row r="703" spans="1:9">
      <c r="A703" s="1">
        <v>10000702</v>
      </c>
      <c r="B703" s="3" t="str">
        <f t="shared" ca="1" si="70"/>
        <v>South 24 Parganas</v>
      </c>
      <c r="C703" s="3" t="str">
        <f t="shared" ca="1" si="71"/>
        <v>High Risk</v>
      </c>
      <c r="D703" s="3" t="str">
        <f t="shared" ca="1" si="72"/>
        <v>Industrial</v>
      </c>
      <c r="E703" s="3" t="str" cm="1">
        <f t="array" aca="1" ref="E703" ca="1">_xlfn.IFS(D703="Industrial", "Reinforced Concrete", D703 = "Commercial", CHOOSE(RANDBETWEEN(1, 2), "Reinforced Concrete", "Unreinforced Masonry"), D703 = "Residential", CHOOSE(RANDBETWEEN(1, 3), "Reinforced Concrete", "Unreinforced Masonry", "Adobe / Light Timber"))</f>
        <v>Reinforced Concrete</v>
      </c>
      <c r="F703" s="3">
        <f t="shared" ca="1" si="73"/>
        <v>2013</v>
      </c>
      <c r="G703" s="3">
        <f t="shared" ca="1" si="74"/>
        <v>5</v>
      </c>
      <c r="H703" s="2">
        <f t="shared" ca="1" si="75"/>
        <v>3</v>
      </c>
      <c r="I703" s="4">
        <f t="shared" ca="1" si="76"/>
        <v>59476669</v>
      </c>
    </row>
    <row r="704" spans="1:9">
      <c r="A704" s="1">
        <v>10000703</v>
      </c>
      <c r="B704" s="3" t="str">
        <f t="shared" ca="1" si="70"/>
        <v>South 24 Parganas</v>
      </c>
      <c r="C704" s="3" t="str">
        <f t="shared" ca="1" si="71"/>
        <v>High Risk</v>
      </c>
      <c r="D704" s="3" t="str">
        <f t="shared" ca="1" si="72"/>
        <v>Commercial</v>
      </c>
      <c r="E704" s="3" t="str" cm="1">
        <f t="array" aca="1" ref="E704" ca="1">_xlfn.IFS(D704="Industrial", "Reinforced Concrete", D704 = "Commercial", CHOOSE(RANDBETWEEN(1, 2), "Reinforced Concrete", "Unreinforced Masonry"), D704 = "Residential", CHOOSE(RANDBETWEEN(1, 3), "Reinforced Concrete", "Unreinforced Masonry", "Adobe / Light Timber"))</f>
        <v>Unreinforced Masonry</v>
      </c>
      <c r="F704" s="3">
        <f t="shared" ca="1" si="73"/>
        <v>2006</v>
      </c>
      <c r="G704" s="3">
        <f t="shared" ca="1" si="74"/>
        <v>4</v>
      </c>
      <c r="H704" s="2">
        <f t="shared" ca="1" si="75"/>
        <v>1</v>
      </c>
      <c r="I704" s="4">
        <f t="shared" ca="1" si="76"/>
        <v>7328233</v>
      </c>
    </row>
    <row r="705" spans="1:9">
      <c r="A705" s="1">
        <v>10000704</v>
      </c>
      <c r="B705" s="3" t="str">
        <f t="shared" ca="1" si="70"/>
        <v>Hooghly</v>
      </c>
      <c r="C705" s="3" t="str">
        <f t="shared" ca="1" si="71"/>
        <v>Moderate Risk</v>
      </c>
      <c r="D705" s="3" t="str">
        <f t="shared" ca="1" si="72"/>
        <v>Residential</v>
      </c>
      <c r="E705" s="3" t="str" cm="1">
        <f t="array" aca="1" ref="E705" ca="1">_xlfn.IFS(D705="Industrial", "Reinforced Concrete", D705 = "Commercial", CHOOSE(RANDBETWEEN(1, 2), "Reinforced Concrete", "Unreinforced Masonry"), D705 = "Residential", CHOOSE(RANDBETWEEN(1, 3), "Reinforced Concrete", "Unreinforced Masonry", "Adobe / Light Timber"))</f>
        <v>Adobe / Light Timber</v>
      </c>
      <c r="F705" s="3">
        <f t="shared" ca="1" si="73"/>
        <v>1980</v>
      </c>
      <c r="G705" s="3">
        <f t="shared" ca="1" si="74"/>
        <v>1</v>
      </c>
      <c r="H705" s="2">
        <f t="shared" ca="1" si="75"/>
        <v>2</v>
      </c>
      <c r="I705" s="4">
        <f t="shared" ca="1" si="76"/>
        <v>530571</v>
      </c>
    </row>
    <row r="706" spans="1:9">
      <c r="A706" s="1">
        <v>10000705</v>
      </c>
      <c r="B706" s="3" t="str">
        <f t="shared" ca="1" si="70"/>
        <v>Paschim Medinipur</v>
      </c>
      <c r="C706" s="3" t="str">
        <f t="shared" ca="1" si="71"/>
        <v>Moderate Risk</v>
      </c>
      <c r="D706" s="3" t="str">
        <f t="shared" ca="1" si="72"/>
        <v>Residential</v>
      </c>
      <c r="E706" s="3" t="str" cm="1">
        <f t="array" aca="1" ref="E706" ca="1">_xlfn.IFS(D706="Industrial", "Reinforced Concrete", D706 = "Commercial", CHOOSE(RANDBETWEEN(1, 2), "Reinforced Concrete", "Unreinforced Masonry"), D706 = "Residential", CHOOSE(RANDBETWEEN(1, 3), "Reinforced Concrete", "Unreinforced Masonry", "Adobe / Light Timber"))</f>
        <v>Adobe / Light Timber</v>
      </c>
      <c r="F706" s="3">
        <f t="shared" ca="1" si="73"/>
        <v>1988</v>
      </c>
      <c r="G706" s="3">
        <f t="shared" ca="1" si="74"/>
        <v>1</v>
      </c>
      <c r="H706" s="2">
        <f t="shared" ca="1" si="75"/>
        <v>0</v>
      </c>
      <c r="I706" s="4">
        <f t="shared" ca="1" si="76"/>
        <v>508660</v>
      </c>
    </row>
    <row r="707" spans="1:9">
      <c r="A707" s="1">
        <v>10000706</v>
      </c>
      <c r="B707" s="3" t="str">
        <f t="shared" ref="B707:B770" ca="1" si="77">CHOOSE(RANDBETWEEN(1, 6),"South 24 Parganas", "Malda", "Jalpaiguri","Kolkata","Hooghly","Paschim Medinipur")</f>
        <v>South 24 Parganas</v>
      </c>
      <c r="C707" s="3" t="str">
        <f t="shared" ref="C707:C770" ca="1" si="78">IF(OR(B707 = "South 24 Parganas", B707 = "Malda", B707 = "Jalpaiguri"), "High Risk", "Moderate Risk")</f>
        <v>High Risk</v>
      </c>
      <c r="D707" s="3" t="str">
        <f t="shared" ref="D707:D770" ca="1" si="79">CHOOSE(RANDBETWEEN(1, 3), "Residential","Commercial","Industrial")</f>
        <v>Industrial</v>
      </c>
      <c r="E707" s="3" t="str" cm="1">
        <f t="array" aca="1" ref="E707" ca="1">_xlfn.IFS(D707="Industrial", "Reinforced Concrete", D707 = "Commercial", CHOOSE(RANDBETWEEN(1, 2), "Reinforced Concrete", "Unreinforced Masonry"), D707 = "Residential", CHOOSE(RANDBETWEEN(1, 3), "Reinforced Concrete", "Unreinforced Masonry", "Adobe / Light Timber"))</f>
        <v>Reinforced Concrete</v>
      </c>
      <c r="F707" s="3">
        <f t="shared" ref="F707:F770" ca="1" si="80">RANDBETWEEN(1980, 2024)</f>
        <v>2001</v>
      </c>
      <c r="G707" s="3">
        <f t="shared" ref="G707:G770" ca="1" si="81">IF(E707 = "Adobe / Light Timber", 1, RANDBETWEEN(1, 5))</f>
        <v>2</v>
      </c>
      <c r="H707" s="2">
        <f t="shared" ref="H707:H770" ca="1" si="82">IF(E707="Reinforced Concrete",RANDBETWEEN(3, 5),RANDBETWEEN(0,2))</f>
        <v>3</v>
      </c>
      <c r="I707" s="4">
        <f t="shared" ref="I707:I770" ca="1" si="83">MAX(200000, _xlfn.IFS(D707 = "Industrial", ROUND(_xlfn.NORM.INV(RAND(), 50000000, 10000000), 0), D707 = "Commercial",ROUND(_xlfn.NORM.INV(RAND(), 15000000, 5000000), 0),E707 = "Adobe / Light Timber", ROUND(_xlfn.NORM.INV(RAND(), 500000, 100000), 0),TRUE, ROUND(_xlfn.NORM.INV(RAND(), 4000000, 1500000), 0)))</f>
        <v>55996590</v>
      </c>
    </row>
    <row r="708" spans="1:9">
      <c r="A708" s="1">
        <v>10000707</v>
      </c>
      <c r="B708" s="3" t="str">
        <f t="shared" ca="1" si="77"/>
        <v>Hooghly</v>
      </c>
      <c r="C708" s="3" t="str">
        <f t="shared" ca="1" si="78"/>
        <v>Moderate Risk</v>
      </c>
      <c r="D708" s="3" t="str">
        <f t="shared" ca="1" si="79"/>
        <v>Residential</v>
      </c>
      <c r="E708" s="3" t="str" cm="1">
        <f t="array" aca="1" ref="E708" ca="1">_xlfn.IFS(D708="Industrial", "Reinforced Concrete", D708 = "Commercial", CHOOSE(RANDBETWEEN(1, 2), "Reinforced Concrete", "Unreinforced Masonry"), D708 = "Residential", CHOOSE(RANDBETWEEN(1, 3), "Reinforced Concrete", "Unreinforced Masonry", "Adobe / Light Timber"))</f>
        <v>Adobe / Light Timber</v>
      </c>
      <c r="F708" s="3">
        <f t="shared" ca="1" si="80"/>
        <v>2004</v>
      </c>
      <c r="G708" s="3">
        <f t="shared" ca="1" si="81"/>
        <v>1</v>
      </c>
      <c r="H708" s="2">
        <f t="shared" ca="1" si="82"/>
        <v>1</v>
      </c>
      <c r="I708" s="4">
        <f t="shared" ca="1" si="83"/>
        <v>435867</v>
      </c>
    </row>
    <row r="709" spans="1:9">
      <c r="A709" s="1">
        <v>10000708</v>
      </c>
      <c r="B709" s="3" t="str">
        <f t="shared" ca="1" si="77"/>
        <v>Jalpaiguri</v>
      </c>
      <c r="C709" s="3" t="str">
        <f t="shared" ca="1" si="78"/>
        <v>High Risk</v>
      </c>
      <c r="D709" s="3" t="str">
        <f t="shared" ca="1" si="79"/>
        <v>Commercial</v>
      </c>
      <c r="E709" s="3" t="str" cm="1">
        <f t="array" aca="1" ref="E709" ca="1">_xlfn.IFS(D709="Industrial", "Reinforced Concrete", D709 = "Commercial", CHOOSE(RANDBETWEEN(1, 2), "Reinforced Concrete", "Unreinforced Masonry"), D709 = "Residential", CHOOSE(RANDBETWEEN(1, 3), "Reinforced Concrete", "Unreinforced Masonry", "Adobe / Light Timber"))</f>
        <v>Unreinforced Masonry</v>
      </c>
      <c r="F709" s="3">
        <f t="shared" ca="1" si="80"/>
        <v>1991</v>
      </c>
      <c r="G709" s="3">
        <f t="shared" ca="1" si="81"/>
        <v>3</v>
      </c>
      <c r="H709" s="2">
        <f t="shared" ca="1" si="82"/>
        <v>2</v>
      </c>
      <c r="I709" s="4">
        <f t="shared" ca="1" si="83"/>
        <v>11066455</v>
      </c>
    </row>
    <row r="710" spans="1:9">
      <c r="A710" s="1">
        <v>10000709</v>
      </c>
      <c r="B710" s="3" t="str">
        <f t="shared" ca="1" si="77"/>
        <v>Malda</v>
      </c>
      <c r="C710" s="3" t="str">
        <f t="shared" ca="1" si="78"/>
        <v>High Risk</v>
      </c>
      <c r="D710" s="3" t="str">
        <f t="shared" ca="1" si="79"/>
        <v>Commercial</v>
      </c>
      <c r="E710" s="3" t="str" cm="1">
        <f t="array" aca="1" ref="E710" ca="1">_xlfn.IFS(D710="Industrial", "Reinforced Concrete", D710 = "Commercial", CHOOSE(RANDBETWEEN(1, 2), "Reinforced Concrete", "Unreinforced Masonry"), D710 = "Residential", CHOOSE(RANDBETWEEN(1, 3), "Reinforced Concrete", "Unreinforced Masonry", "Adobe / Light Timber"))</f>
        <v>Reinforced Concrete</v>
      </c>
      <c r="F710" s="3">
        <f t="shared" ca="1" si="80"/>
        <v>1988</v>
      </c>
      <c r="G710" s="3">
        <f t="shared" ca="1" si="81"/>
        <v>1</v>
      </c>
      <c r="H710" s="2">
        <f t="shared" ca="1" si="82"/>
        <v>5</v>
      </c>
      <c r="I710" s="4">
        <f t="shared" ca="1" si="83"/>
        <v>9604987</v>
      </c>
    </row>
    <row r="711" spans="1:9">
      <c r="A711" s="1">
        <v>10000710</v>
      </c>
      <c r="B711" s="3" t="str">
        <f t="shared" ca="1" si="77"/>
        <v>Kolkata</v>
      </c>
      <c r="C711" s="3" t="str">
        <f t="shared" ca="1" si="78"/>
        <v>Moderate Risk</v>
      </c>
      <c r="D711" s="3" t="str">
        <f t="shared" ca="1" si="79"/>
        <v>Residential</v>
      </c>
      <c r="E711" s="3" t="str" cm="1">
        <f t="array" aca="1" ref="E711" ca="1">_xlfn.IFS(D711="Industrial", "Reinforced Concrete", D711 = "Commercial", CHOOSE(RANDBETWEEN(1, 2), "Reinforced Concrete", "Unreinforced Masonry"), D711 = "Residential", CHOOSE(RANDBETWEEN(1, 3), "Reinforced Concrete", "Unreinforced Masonry", "Adobe / Light Timber"))</f>
        <v>Unreinforced Masonry</v>
      </c>
      <c r="F711" s="3">
        <f t="shared" ca="1" si="80"/>
        <v>2008</v>
      </c>
      <c r="G711" s="3">
        <f t="shared" ca="1" si="81"/>
        <v>4</v>
      </c>
      <c r="H711" s="2">
        <f t="shared" ca="1" si="82"/>
        <v>2</v>
      </c>
      <c r="I711" s="4">
        <f t="shared" ca="1" si="83"/>
        <v>3760099</v>
      </c>
    </row>
    <row r="712" spans="1:9">
      <c r="A712" s="1">
        <v>10000711</v>
      </c>
      <c r="B712" s="3" t="str">
        <f t="shared" ca="1" si="77"/>
        <v>Paschim Medinipur</v>
      </c>
      <c r="C712" s="3" t="str">
        <f t="shared" ca="1" si="78"/>
        <v>Moderate Risk</v>
      </c>
      <c r="D712" s="3" t="str">
        <f t="shared" ca="1" si="79"/>
        <v>Industrial</v>
      </c>
      <c r="E712" s="3" t="str" cm="1">
        <f t="array" aca="1" ref="E712" ca="1">_xlfn.IFS(D712="Industrial", "Reinforced Concrete", D712 = "Commercial", CHOOSE(RANDBETWEEN(1, 2), "Reinforced Concrete", "Unreinforced Masonry"), D712 = "Residential", CHOOSE(RANDBETWEEN(1, 3), "Reinforced Concrete", "Unreinforced Masonry", "Adobe / Light Timber"))</f>
        <v>Reinforced Concrete</v>
      </c>
      <c r="F712" s="3">
        <f t="shared" ca="1" si="80"/>
        <v>2017</v>
      </c>
      <c r="G712" s="3">
        <f t="shared" ca="1" si="81"/>
        <v>1</v>
      </c>
      <c r="H712" s="2">
        <f t="shared" ca="1" si="82"/>
        <v>4</v>
      </c>
      <c r="I712" s="4">
        <f t="shared" ca="1" si="83"/>
        <v>60405615</v>
      </c>
    </row>
    <row r="713" spans="1:9">
      <c r="A713" s="1">
        <v>10000712</v>
      </c>
      <c r="B713" s="3" t="str">
        <f t="shared" ca="1" si="77"/>
        <v>Paschim Medinipur</v>
      </c>
      <c r="C713" s="3" t="str">
        <f t="shared" ca="1" si="78"/>
        <v>Moderate Risk</v>
      </c>
      <c r="D713" s="3" t="str">
        <f t="shared" ca="1" si="79"/>
        <v>Commercial</v>
      </c>
      <c r="E713" s="3" t="str" cm="1">
        <f t="array" aca="1" ref="E713" ca="1">_xlfn.IFS(D713="Industrial", "Reinforced Concrete", D713 = "Commercial", CHOOSE(RANDBETWEEN(1, 2), "Reinforced Concrete", "Unreinforced Masonry"), D713 = "Residential", CHOOSE(RANDBETWEEN(1, 3), "Reinforced Concrete", "Unreinforced Masonry", "Adobe / Light Timber"))</f>
        <v>Unreinforced Masonry</v>
      </c>
      <c r="F713" s="3">
        <f t="shared" ca="1" si="80"/>
        <v>1984</v>
      </c>
      <c r="G713" s="3">
        <f t="shared" ca="1" si="81"/>
        <v>3</v>
      </c>
      <c r="H713" s="2">
        <f t="shared" ca="1" si="82"/>
        <v>0</v>
      </c>
      <c r="I713" s="4">
        <f t="shared" ca="1" si="83"/>
        <v>14758779</v>
      </c>
    </row>
    <row r="714" spans="1:9">
      <c r="A714" s="1">
        <v>10000713</v>
      </c>
      <c r="B714" s="3" t="str">
        <f t="shared" ca="1" si="77"/>
        <v>Kolkata</v>
      </c>
      <c r="C714" s="3" t="str">
        <f t="shared" ca="1" si="78"/>
        <v>Moderate Risk</v>
      </c>
      <c r="D714" s="3" t="str">
        <f t="shared" ca="1" si="79"/>
        <v>Commercial</v>
      </c>
      <c r="E714" s="3" t="str" cm="1">
        <f t="array" aca="1" ref="E714" ca="1">_xlfn.IFS(D714="Industrial", "Reinforced Concrete", D714 = "Commercial", CHOOSE(RANDBETWEEN(1, 2), "Reinforced Concrete", "Unreinforced Masonry"), D714 = "Residential", CHOOSE(RANDBETWEEN(1, 3), "Reinforced Concrete", "Unreinforced Masonry", "Adobe / Light Timber"))</f>
        <v>Unreinforced Masonry</v>
      </c>
      <c r="F714" s="3">
        <f t="shared" ca="1" si="80"/>
        <v>1983</v>
      </c>
      <c r="G714" s="3">
        <f t="shared" ca="1" si="81"/>
        <v>1</v>
      </c>
      <c r="H714" s="2">
        <f t="shared" ca="1" si="82"/>
        <v>2</v>
      </c>
      <c r="I714" s="4">
        <f t="shared" ca="1" si="83"/>
        <v>8787541</v>
      </c>
    </row>
    <row r="715" spans="1:9">
      <c r="A715" s="1">
        <v>10000714</v>
      </c>
      <c r="B715" s="3" t="str">
        <f t="shared" ca="1" si="77"/>
        <v>South 24 Parganas</v>
      </c>
      <c r="C715" s="3" t="str">
        <f t="shared" ca="1" si="78"/>
        <v>High Risk</v>
      </c>
      <c r="D715" s="3" t="str">
        <f t="shared" ca="1" si="79"/>
        <v>Industrial</v>
      </c>
      <c r="E715" s="3" t="str" cm="1">
        <f t="array" aca="1" ref="E715" ca="1">_xlfn.IFS(D715="Industrial", "Reinforced Concrete", D715 = "Commercial", CHOOSE(RANDBETWEEN(1, 2), "Reinforced Concrete", "Unreinforced Masonry"), D715 = "Residential", CHOOSE(RANDBETWEEN(1, 3), "Reinforced Concrete", "Unreinforced Masonry", "Adobe / Light Timber"))</f>
        <v>Reinforced Concrete</v>
      </c>
      <c r="F715" s="3">
        <f t="shared" ca="1" si="80"/>
        <v>2009</v>
      </c>
      <c r="G715" s="3">
        <f t="shared" ca="1" si="81"/>
        <v>2</v>
      </c>
      <c r="H715" s="2">
        <f t="shared" ca="1" si="82"/>
        <v>3</v>
      </c>
      <c r="I715" s="4">
        <f t="shared" ca="1" si="83"/>
        <v>38368758</v>
      </c>
    </row>
    <row r="716" spans="1:9">
      <c r="A716" s="1">
        <v>10000715</v>
      </c>
      <c r="B716" s="3" t="str">
        <f t="shared" ca="1" si="77"/>
        <v>Hooghly</v>
      </c>
      <c r="C716" s="3" t="str">
        <f t="shared" ca="1" si="78"/>
        <v>Moderate Risk</v>
      </c>
      <c r="D716" s="3" t="str">
        <f t="shared" ca="1" si="79"/>
        <v>Commercial</v>
      </c>
      <c r="E716" s="3" t="str" cm="1">
        <f t="array" aca="1" ref="E716" ca="1">_xlfn.IFS(D716="Industrial", "Reinforced Concrete", D716 = "Commercial", CHOOSE(RANDBETWEEN(1, 2), "Reinforced Concrete", "Unreinforced Masonry"), D716 = "Residential", CHOOSE(RANDBETWEEN(1, 3), "Reinforced Concrete", "Unreinforced Masonry", "Adobe / Light Timber"))</f>
        <v>Unreinforced Masonry</v>
      </c>
      <c r="F716" s="3">
        <f t="shared" ca="1" si="80"/>
        <v>2005</v>
      </c>
      <c r="G716" s="3">
        <f t="shared" ca="1" si="81"/>
        <v>4</v>
      </c>
      <c r="H716" s="2">
        <f t="shared" ca="1" si="82"/>
        <v>0</v>
      </c>
      <c r="I716" s="4">
        <f t="shared" ca="1" si="83"/>
        <v>15438734</v>
      </c>
    </row>
    <row r="717" spans="1:9">
      <c r="A717" s="1">
        <v>10000716</v>
      </c>
      <c r="B717" s="3" t="str">
        <f t="shared" ca="1" si="77"/>
        <v>Kolkata</v>
      </c>
      <c r="C717" s="3" t="str">
        <f t="shared" ca="1" si="78"/>
        <v>Moderate Risk</v>
      </c>
      <c r="D717" s="3" t="str">
        <f t="shared" ca="1" si="79"/>
        <v>Residential</v>
      </c>
      <c r="E717" s="3" t="str" cm="1">
        <f t="array" aca="1" ref="E717" ca="1">_xlfn.IFS(D717="Industrial", "Reinforced Concrete", D717 = "Commercial", CHOOSE(RANDBETWEEN(1, 2), "Reinforced Concrete", "Unreinforced Masonry"), D717 = "Residential", CHOOSE(RANDBETWEEN(1, 3), "Reinforced Concrete", "Unreinforced Masonry", "Adobe / Light Timber"))</f>
        <v>Unreinforced Masonry</v>
      </c>
      <c r="F717" s="3">
        <f t="shared" ca="1" si="80"/>
        <v>1998</v>
      </c>
      <c r="G717" s="3">
        <f t="shared" ca="1" si="81"/>
        <v>2</v>
      </c>
      <c r="H717" s="2">
        <f t="shared" ca="1" si="82"/>
        <v>0</v>
      </c>
      <c r="I717" s="4">
        <f t="shared" ca="1" si="83"/>
        <v>2498203</v>
      </c>
    </row>
    <row r="718" spans="1:9">
      <c r="A718" s="1">
        <v>10000717</v>
      </c>
      <c r="B718" s="3" t="str">
        <f t="shared" ca="1" si="77"/>
        <v>South 24 Parganas</v>
      </c>
      <c r="C718" s="3" t="str">
        <f t="shared" ca="1" si="78"/>
        <v>High Risk</v>
      </c>
      <c r="D718" s="3" t="str">
        <f t="shared" ca="1" si="79"/>
        <v>Commercial</v>
      </c>
      <c r="E718" s="3" t="str" cm="1">
        <f t="array" aca="1" ref="E718" ca="1">_xlfn.IFS(D718="Industrial", "Reinforced Concrete", D718 = "Commercial", CHOOSE(RANDBETWEEN(1, 2), "Reinforced Concrete", "Unreinforced Masonry"), D718 = "Residential", CHOOSE(RANDBETWEEN(1, 3), "Reinforced Concrete", "Unreinforced Masonry", "Adobe / Light Timber"))</f>
        <v>Reinforced Concrete</v>
      </c>
      <c r="F718" s="3">
        <f t="shared" ca="1" si="80"/>
        <v>2022</v>
      </c>
      <c r="G718" s="3">
        <f t="shared" ca="1" si="81"/>
        <v>1</v>
      </c>
      <c r="H718" s="2">
        <f t="shared" ca="1" si="82"/>
        <v>5</v>
      </c>
      <c r="I718" s="4">
        <f t="shared" ca="1" si="83"/>
        <v>15263962</v>
      </c>
    </row>
    <row r="719" spans="1:9">
      <c r="A719" s="1">
        <v>10000718</v>
      </c>
      <c r="B719" s="3" t="str">
        <f t="shared" ca="1" si="77"/>
        <v>Hooghly</v>
      </c>
      <c r="C719" s="3" t="str">
        <f t="shared" ca="1" si="78"/>
        <v>Moderate Risk</v>
      </c>
      <c r="D719" s="3" t="str">
        <f t="shared" ca="1" si="79"/>
        <v>Industrial</v>
      </c>
      <c r="E719" s="3" t="str" cm="1">
        <f t="array" aca="1" ref="E719" ca="1">_xlfn.IFS(D719="Industrial", "Reinforced Concrete", D719 = "Commercial", CHOOSE(RANDBETWEEN(1, 2), "Reinforced Concrete", "Unreinforced Masonry"), D719 = "Residential", CHOOSE(RANDBETWEEN(1, 3), "Reinforced Concrete", "Unreinforced Masonry", "Adobe / Light Timber"))</f>
        <v>Reinforced Concrete</v>
      </c>
      <c r="F719" s="3">
        <f t="shared" ca="1" si="80"/>
        <v>2010</v>
      </c>
      <c r="G719" s="3">
        <f t="shared" ca="1" si="81"/>
        <v>4</v>
      </c>
      <c r="H719" s="2">
        <f t="shared" ca="1" si="82"/>
        <v>3</v>
      </c>
      <c r="I719" s="4">
        <f t="shared" ca="1" si="83"/>
        <v>61876565</v>
      </c>
    </row>
    <row r="720" spans="1:9">
      <c r="A720" s="1">
        <v>10000719</v>
      </c>
      <c r="B720" s="3" t="str">
        <f t="shared" ca="1" si="77"/>
        <v>South 24 Parganas</v>
      </c>
      <c r="C720" s="3" t="str">
        <f t="shared" ca="1" si="78"/>
        <v>High Risk</v>
      </c>
      <c r="D720" s="3" t="str">
        <f t="shared" ca="1" si="79"/>
        <v>Industrial</v>
      </c>
      <c r="E720" s="3" t="str" cm="1">
        <f t="array" aca="1" ref="E720" ca="1">_xlfn.IFS(D720="Industrial", "Reinforced Concrete", D720 = "Commercial", CHOOSE(RANDBETWEEN(1, 2), "Reinforced Concrete", "Unreinforced Masonry"), D720 = "Residential", CHOOSE(RANDBETWEEN(1, 3), "Reinforced Concrete", "Unreinforced Masonry", "Adobe / Light Timber"))</f>
        <v>Reinforced Concrete</v>
      </c>
      <c r="F720" s="3">
        <f t="shared" ca="1" si="80"/>
        <v>2006</v>
      </c>
      <c r="G720" s="3">
        <f t="shared" ca="1" si="81"/>
        <v>4</v>
      </c>
      <c r="H720" s="2">
        <f t="shared" ca="1" si="82"/>
        <v>5</v>
      </c>
      <c r="I720" s="4">
        <f t="shared" ca="1" si="83"/>
        <v>48626502</v>
      </c>
    </row>
    <row r="721" spans="1:9">
      <c r="A721" s="1">
        <v>10000720</v>
      </c>
      <c r="B721" s="3" t="str">
        <f t="shared" ca="1" si="77"/>
        <v>Jalpaiguri</v>
      </c>
      <c r="C721" s="3" t="str">
        <f t="shared" ca="1" si="78"/>
        <v>High Risk</v>
      </c>
      <c r="D721" s="3" t="str">
        <f t="shared" ca="1" si="79"/>
        <v>Commercial</v>
      </c>
      <c r="E721" s="3" t="str" cm="1">
        <f t="array" aca="1" ref="E721" ca="1">_xlfn.IFS(D721="Industrial", "Reinforced Concrete", D721 = "Commercial", CHOOSE(RANDBETWEEN(1, 2), "Reinforced Concrete", "Unreinforced Masonry"), D721 = "Residential", CHOOSE(RANDBETWEEN(1, 3), "Reinforced Concrete", "Unreinforced Masonry", "Adobe / Light Timber"))</f>
        <v>Reinforced Concrete</v>
      </c>
      <c r="F721" s="3">
        <f t="shared" ca="1" si="80"/>
        <v>2018</v>
      </c>
      <c r="G721" s="3">
        <f t="shared" ca="1" si="81"/>
        <v>4</v>
      </c>
      <c r="H721" s="2">
        <f t="shared" ca="1" si="82"/>
        <v>5</v>
      </c>
      <c r="I721" s="4">
        <f t="shared" ca="1" si="83"/>
        <v>14768365</v>
      </c>
    </row>
    <row r="722" spans="1:9">
      <c r="A722" s="1">
        <v>10000721</v>
      </c>
      <c r="B722" s="3" t="str">
        <f t="shared" ca="1" si="77"/>
        <v>Malda</v>
      </c>
      <c r="C722" s="3" t="str">
        <f t="shared" ca="1" si="78"/>
        <v>High Risk</v>
      </c>
      <c r="D722" s="3" t="str">
        <f t="shared" ca="1" si="79"/>
        <v>Residential</v>
      </c>
      <c r="E722" s="3" t="str" cm="1">
        <f t="array" aca="1" ref="E722" ca="1">_xlfn.IFS(D722="Industrial", "Reinforced Concrete", D722 = "Commercial", CHOOSE(RANDBETWEEN(1, 2), "Reinforced Concrete", "Unreinforced Masonry"), D722 = "Residential", CHOOSE(RANDBETWEEN(1, 3), "Reinforced Concrete", "Unreinforced Masonry", "Adobe / Light Timber"))</f>
        <v>Unreinforced Masonry</v>
      </c>
      <c r="F722" s="3">
        <f t="shared" ca="1" si="80"/>
        <v>2021</v>
      </c>
      <c r="G722" s="3">
        <f t="shared" ca="1" si="81"/>
        <v>3</v>
      </c>
      <c r="H722" s="2">
        <f t="shared" ca="1" si="82"/>
        <v>1</v>
      </c>
      <c r="I722" s="4">
        <f t="shared" ca="1" si="83"/>
        <v>6214317</v>
      </c>
    </row>
    <row r="723" spans="1:9">
      <c r="A723" s="1">
        <v>10000722</v>
      </c>
      <c r="B723" s="3" t="str">
        <f t="shared" ca="1" si="77"/>
        <v>Hooghly</v>
      </c>
      <c r="C723" s="3" t="str">
        <f t="shared" ca="1" si="78"/>
        <v>Moderate Risk</v>
      </c>
      <c r="D723" s="3" t="str">
        <f t="shared" ca="1" si="79"/>
        <v>Industrial</v>
      </c>
      <c r="E723" s="3" t="str" cm="1">
        <f t="array" aca="1" ref="E723" ca="1">_xlfn.IFS(D723="Industrial", "Reinforced Concrete", D723 = "Commercial", CHOOSE(RANDBETWEEN(1, 2), "Reinforced Concrete", "Unreinforced Masonry"), D723 = "Residential", CHOOSE(RANDBETWEEN(1, 3), "Reinforced Concrete", "Unreinforced Masonry", "Adobe / Light Timber"))</f>
        <v>Reinforced Concrete</v>
      </c>
      <c r="F723" s="3">
        <f t="shared" ca="1" si="80"/>
        <v>2013</v>
      </c>
      <c r="G723" s="3">
        <f t="shared" ca="1" si="81"/>
        <v>1</v>
      </c>
      <c r="H723" s="2">
        <f t="shared" ca="1" si="82"/>
        <v>4</v>
      </c>
      <c r="I723" s="4">
        <f t="shared" ca="1" si="83"/>
        <v>43552313</v>
      </c>
    </row>
    <row r="724" spans="1:9">
      <c r="A724" s="1">
        <v>10000723</v>
      </c>
      <c r="B724" s="3" t="str">
        <f t="shared" ca="1" si="77"/>
        <v>Jalpaiguri</v>
      </c>
      <c r="C724" s="3" t="str">
        <f t="shared" ca="1" si="78"/>
        <v>High Risk</v>
      </c>
      <c r="D724" s="3" t="str">
        <f t="shared" ca="1" si="79"/>
        <v>Industrial</v>
      </c>
      <c r="E724" s="3" t="str" cm="1">
        <f t="array" aca="1" ref="E724" ca="1">_xlfn.IFS(D724="Industrial", "Reinforced Concrete", D724 = "Commercial", CHOOSE(RANDBETWEEN(1, 2), "Reinforced Concrete", "Unreinforced Masonry"), D724 = "Residential", CHOOSE(RANDBETWEEN(1, 3), "Reinforced Concrete", "Unreinforced Masonry", "Adobe / Light Timber"))</f>
        <v>Reinforced Concrete</v>
      </c>
      <c r="F724" s="3">
        <f t="shared" ca="1" si="80"/>
        <v>1983</v>
      </c>
      <c r="G724" s="3">
        <f t="shared" ca="1" si="81"/>
        <v>3</v>
      </c>
      <c r="H724" s="2">
        <f t="shared" ca="1" si="82"/>
        <v>4</v>
      </c>
      <c r="I724" s="4">
        <f t="shared" ca="1" si="83"/>
        <v>52838750</v>
      </c>
    </row>
    <row r="725" spans="1:9">
      <c r="A725" s="1">
        <v>10000724</v>
      </c>
      <c r="B725" s="3" t="str">
        <f t="shared" ca="1" si="77"/>
        <v>Malda</v>
      </c>
      <c r="C725" s="3" t="str">
        <f t="shared" ca="1" si="78"/>
        <v>High Risk</v>
      </c>
      <c r="D725" s="3" t="str">
        <f t="shared" ca="1" si="79"/>
        <v>Industrial</v>
      </c>
      <c r="E725" s="3" t="str" cm="1">
        <f t="array" aca="1" ref="E725" ca="1">_xlfn.IFS(D725="Industrial", "Reinforced Concrete", D725 = "Commercial", CHOOSE(RANDBETWEEN(1, 2), "Reinforced Concrete", "Unreinforced Masonry"), D725 = "Residential", CHOOSE(RANDBETWEEN(1, 3), "Reinforced Concrete", "Unreinforced Masonry", "Adobe / Light Timber"))</f>
        <v>Reinforced Concrete</v>
      </c>
      <c r="F725" s="3">
        <f t="shared" ca="1" si="80"/>
        <v>1994</v>
      </c>
      <c r="G725" s="3">
        <f t="shared" ca="1" si="81"/>
        <v>2</v>
      </c>
      <c r="H725" s="2">
        <f t="shared" ca="1" si="82"/>
        <v>3</v>
      </c>
      <c r="I725" s="4">
        <f t="shared" ca="1" si="83"/>
        <v>47057980</v>
      </c>
    </row>
    <row r="726" spans="1:9">
      <c r="A726" s="1">
        <v>10000725</v>
      </c>
      <c r="B726" s="3" t="str">
        <f t="shared" ca="1" si="77"/>
        <v>Kolkata</v>
      </c>
      <c r="C726" s="3" t="str">
        <f t="shared" ca="1" si="78"/>
        <v>Moderate Risk</v>
      </c>
      <c r="D726" s="3" t="str">
        <f t="shared" ca="1" si="79"/>
        <v>Residential</v>
      </c>
      <c r="E726" s="3" t="str" cm="1">
        <f t="array" aca="1" ref="E726" ca="1">_xlfn.IFS(D726="Industrial", "Reinforced Concrete", D726 = "Commercial", CHOOSE(RANDBETWEEN(1, 2), "Reinforced Concrete", "Unreinforced Masonry"), D726 = "Residential", CHOOSE(RANDBETWEEN(1, 3), "Reinforced Concrete", "Unreinforced Masonry", "Adobe / Light Timber"))</f>
        <v>Unreinforced Masonry</v>
      </c>
      <c r="F726" s="3">
        <f t="shared" ca="1" si="80"/>
        <v>1992</v>
      </c>
      <c r="G726" s="3">
        <f t="shared" ca="1" si="81"/>
        <v>1</v>
      </c>
      <c r="H726" s="2">
        <f t="shared" ca="1" si="82"/>
        <v>2</v>
      </c>
      <c r="I726" s="4">
        <f t="shared" ca="1" si="83"/>
        <v>4928510</v>
      </c>
    </row>
    <row r="727" spans="1:9">
      <c r="A727" s="1">
        <v>10000726</v>
      </c>
      <c r="B727" s="3" t="str">
        <f t="shared" ca="1" si="77"/>
        <v>Hooghly</v>
      </c>
      <c r="C727" s="3" t="str">
        <f t="shared" ca="1" si="78"/>
        <v>Moderate Risk</v>
      </c>
      <c r="D727" s="3" t="str">
        <f t="shared" ca="1" si="79"/>
        <v>Residential</v>
      </c>
      <c r="E727" s="3" t="str" cm="1">
        <f t="array" aca="1" ref="E727" ca="1">_xlfn.IFS(D727="Industrial", "Reinforced Concrete", D727 = "Commercial", CHOOSE(RANDBETWEEN(1, 2), "Reinforced Concrete", "Unreinforced Masonry"), D727 = "Residential", CHOOSE(RANDBETWEEN(1, 3), "Reinforced Concrete", "Unreinforced Masonry", "Adobe / Light Timber"))</f>
        <v>Unreinforced Masonry</v>
      </c>
      <c r="F727" s="3">
        <f t="shared" ca="1" si="80"/>
        <v>2006</v>
      </c>
      <c r="G727" s="3">
        <f t="shared" ca="1" si="81"/>
        <v>1</v>
      </c>
      <c r="H727" s="2">
        <f t="shared" ca="1" si="82"/>
        <v>2</v>
      </c>
      <c r="I727" s="4">
        <f t="shared" ca="1" si="83"/>
        <v>4874039</v>
      </c>
    </row>
    <row r="728" spans="1:9">
      <c r="A728" s="1">
        <v>10000727</v>
      </c>
      <c r="B728" s="3" t="str">
        <f t="shared" ca="1" si="77"/>
        <v>South 24 Parganas</v>
      </c>
      <c r="C728" s="3" t="str">
        <f t="shared" ca="1" si="78"/>
        <v>High Risk</v>
      </c>
      <c r="D728" s="3" t="str">
        <f t="shared" ca="1" si="79"/>
        <v>Industrial</v>
      </c>
      <c r="E728" s="3" t="str" cm="1">
        <f t="array" aca="1" ref="E728" ca="1">_xlfn.IFS(D728="Industrial", "Reinforced Concrete", D728 = "Commercial", CHOOSE(RANDBETWEEN(1, 2), "Reinforced Concrete", "Unreinforced Masonry"), D728 = "Residential", CHOOSE(RANDBETWEEN(1, 3), "Reinforced Concrete", "Unreinforced Masonry", "Adobe / Light Timber"))</f>
        <v>Reinforced Concrete</v>
      </c>
      <c r="F728" s="3">
        <f t="shared" ca="1" si="80"/>
        <v>1985</v>
      </c>
      <c r="G728" s="3">
        <f t="shared" ca="1" si="81"/>
        <v>5</v>
      </c>
      <c r="H728" s="2">
        <f t="shared" ca="1" si="82"/>
        <v>3</v>
      </c>
      <c r="I728" s="4">
        <f t="shared" ca="1" si="83"/>
        <v>38827264</v>
      </c>
    </row>
    <row r="729" spans="1:9">
      <c r="A729" s="1">
        <v>10000728</v>
      </c>
      <c r="B729" s="3" t="str">
        <f t="shared" ca="1" si="77"/>
        <v>Jalpaiguri</v>
      </c>
      <c r="C729" s="3" t="str">
        <f t="shared" ca="1" si="78"/>
        <v>High Risk</v>
      </c>
      <c r="D729" s="3" t="str">
        <f t="shared" ca="1" si="79"/>
        <v>Commercial</v>
      </c>
      <c r="E729" s="3" t="str" cm="1">
        <f t="array" aca="1" ref="E729" ca="1">_xlfn.IFS(D729="Industrial", "Reinforced Concrete", D729 = "Commercial", CHOOSE(RANDBETWEEN(1, 2), "Reinforced Concrete", "Unreinforced Masonry"), D729 = "Residential", CHOOSE(RANDBETWEEN(1, 3), "Reinforced Concrete", "Unreinforced Masonry", "Adobe / Light Timber"))</f>
        <v>Reinforced Concrete</v>
      </c>
      <c r="F729" s="3">
        <f t="shared" ca="1" si="80"/>
        <v>2023</v>
      </c>
      <c r="G729" s="3">
        <f t="shared" ca="1" si="81"/>
        <v>1</v>
      </c>
      <c r="H729" s="2">
        <f t="shared" ca="1" si="82"/>
        <v>4</v>
      </c>
      <c r="I729" s="4">
        <f t="shared" ca="1" si="83"/>
        <v>26940940</v>
      </c>
    </row>
    <row r="730" spans="1:9">
      <c r="A730" s="1">
        <v>10000729</v>
      </c>
      <c r="B730" s="3" t="str">
        <f t="shared" ca="1" si="77"/>
        <v>Hooghly</v>
      </c>
      <c r="C730" s="3" t="str">
        <f t="shared" ca="1" si="78"/>
        <v>Moderate Risk</v>
      </c>
      <c r="D730" s="3" t="str">
        <f t="shared" ca="1" si="79"/>
        <v>Commercial</v>
      </c>
      <c r="E730" s="3" t="str" cm="1">
        <f t="array" aca="1" ref="E730" ca="1">_xlfn.IFS(D730="Industrial", "Reinforced Concrete", D730 = "Commercial", CHOOSE(RANDBETWEEN(1, 2), "Reinforced Concrete", "Unreinforced Masonry"), D730 = "Residential", CHOOSE(RANDBETWEEN(1, 3), "Reinforced Concrete", "Unreinforced Masonry", "Adobe / Light Timber"))</f>
        <v>Reinforced Concrete</v>
      </c>
      <c r="F730" s="3">
        <f t="shared" ca="1" si="80"/>
        <v>2023</v>
      </c>
      <c r="G730" s="3">
        <f t="shared" ca="1" si="81"/>
        <v>3</v>
      </c>
      <c r="H730" s="2">
        <f t="shared" ca="1" si="82"/>
        <v>3</v>
      </c>
      <c r="I730" s="4">
        <f t="shared" ca="1" si="83"/>
        <v>17001033</v>
      </c>
    </row>
    <row r="731" spans="1:9">
      <c r="A731" s="1">
        <v>10000730</v>
      </c>
      <c r="B731" s="3" t="str">
        <f t="shared" ca="1" si="77"/>
        <v>Kolkata</v>
      </c>
      <c r="C731" s="3" t="str">
        <f t="shared" ca="1" si="78"/>
        <v>Moderate Risk</v>
      </c>
      <c r="D731" s="3" t="str">
        <f t="shared" ca="1" si="79"/>
        <v>Commercial</v>
      </c>
      <c r="E731" s="3" t="str" cm="1">
        <f t="array" aca="1" ref="E731" ca="1">_xlfn.IFS(D731="Industrial", "Reinforced Concrete", D731 = "Commercial", CHOOSE(RANDBETWEEN(1, 2), "Reinforced Concrete", "Unreinforced Masonry"), D731 = "Residential", CHOOSE(RANDBETWEEN(1, 3), "Reinforced Concrete", "Unreinforced Masonry", "Adobe / Light Timber"))</f>
        <v>Reinforced Concrete</v>
      </c>
      <c r="F731" s="3">
        <f t="shared" ca="1" si="80"/>
        <v>1994</v>
      </c>
      <c r="G731" s="3">
        <f t="shared" ca="1" si="81"/>
        <v>3</v>
      </c>
      <c r="H731" s="2">
        <f t="shared" ca="1" si="82"/>
        <v>5</v>
      </c>
      <c r="I731" s="4">
        <f t="shared" ca="1" si="83"/>
        <v>13765560</v>
      </c>
    </row>
    <row r="732" spans="1:9">
      <c r="A732" s="1">
        <v>10000731</v>
      </c>
      <c r="B732" s="3" t="str">
        <f t="shared" ca="1" si="77"/>
        <v>Kolkata</v>
      </c>
      <c r="C732" s="3" t="str">
        <f t="shared" ca="1" si="78"/>
        <v>Moderate Risk</v>
      </c>
      <c r="D732" s="3" t="str">
        <f t="shared" ca="1" si="79"/>
        <v>Residential</v>
      </c>
      <c r="E732" s="3" t="str" cm="1">
        <f t="array" aca="1" ref="E732" ca="1">_xlfn.IFS(D732="Industrial", "Reinforced Concrete", D732 = "Commercial", CHOOSE(RANDBETWEEN(1, 2), "Reinforced Concrete", "Unreinforced Masonry"), D732 = "Residential", CHOOSE(RANDBETWEEN(1, 3), "Reinforced Concrete", "Unreinforced Masonry", "Adobe / Light Timber"))</f>
        <v>Reinforced Concrete</v>
      </c>
      <c r="F732" s="3">
        <f t="shared" ca="1" si="80"/>
        <v>2013</v>
      </c>
      <c r="G732" s="3">
        <f t="shared" ca="1" si="81"/>
        <v>1</v>
      </c>
      <c r="H732" s="2">
        <f t="shared" ca="1" si="82"/>
        <v>4</v>
      </c>
      <c r="I732" s="4">
        <f t="shared" ca="1" si="83"/>
        <v>2130593</v>
      </c>
    </row>
    <row r="733" spans="1:9">
      <c r="A733" s="1">
        <v>10000732</v>
      </c>
      <c r="B733" s="3" t="str">
        <f t="shared" ca="1" si="77"/>
        <v>South 24 Parganas</v>
      </c>
      <c r="C733" s="3" t="str">
        <f t="shared" ca="1" si="78"/>
        <v>High Risk</v>
      </c>
      <c r="D733" s="3" t="str">
        <f t="shared" ca="1" si="79"/>
        <v>Industrial</v>
      </c>
      <c r="E733" s="3" t="str" cm="1">
        <f t="array" aca="1" ref="E733" ca="1">_xlfn.IFS(D733="Industrial", "Reinforced Concrete", D733 = "Commercial", CHOOSE(RANDBETWEEN(1, 2), "Reinforced Concrete", "Unreinforced Masonry"), D733 = "Residential", CHOOSE(RANDBETWEEN(1, 3), "Reinforced Concrete", "Unreinforced Masonry", "Adobe / Light Timber"))</f>
        <v>Reinforced Concrete</v>
      </c>
      <c r="F733" s="3">
        <f t="shared" ca="1" si="80"/>
        <v>2015</v>
      </c>
      <c r="G733" s="3">
        <f t="shared" ca="1" si="81"/>
        <v>1</v>
      </c>
      <c r="H733" s="2">
        <f t="shared" ca="1" si="82"/>
        <v>3</v>
      </c>
      <c r="I733" s="4">
        <f t="shared" ca="1" si="83"/>
        <v>53582880</v>
      </c>
    </row>
    <row r="734" spans="1:9">
      <c r="A734" s="1">
        <v>10000733</v>
      </c>
      <c r="B734" s="3" t="str">
        <f t="shared" ca="1" si="77"/>
        <v>Paschim Medinipur</v>
      </c>
      <c r="C734" s="3" t="str">
        <f t="shared" ca="1" si="78"/>
        <v>Moderate Risk</v>
      </c>
      <c r="D734" s="3" t="str">
        <f t="shared" ca="1" si="79"/>
        <v>Commercial</v>
      </c>
      <c r="E734" s="3" t="str" cm="1">
        <f t="array" aca="1" ref="E734" ca="1">_xlfn.IFS(D734="Industrial", "Reinforced Concrete", D734 = "Commercial", CHOOSE(RANDBETWEEN(1, 2), "Reinforced Concrete", "Unreinforced Masonry"), D734 = "Residential", CHOOSE(RANDBETWEEN(1, 3), "Reinforced Concrete", "Unreinforced Masonry", "Adobe / Light Timber"))</f>
        <v>Unreinforced Masonry</v>
      </c>
      <c r="F734" s="3">
        <f t="shared" ca="1" si="80"/>
        <v>2013</v>
      </c>
      <c r="G734" s="3">
        <f t="shared" ca="1" si="81"/>
        <v>1</v>
      </c>
      <c r="H734" s="2">
        <f t="shared" ca="1" si="82"/>
        <v>1</v>
      </c>
      <c r="I734" s="4">
        <f t="shared" ca="1" si="83"/>
        <v>7046095</v>
      </c>
    </row>
    <row r="735" spans="1:9">
      <c r="A735" s="1">
        <v>10000734</v>
      </c>
      <c r="B735" s="3" t="str">
        <f t="shared" ca="1" si="77"/>
        <v>Hooghly</v>
      </c>
      <c r="C735" s="3" t="str">
        <f t="shared" ca="1" si="78"/>
        <v>Moderate Risk</v>
      </c>
      <c r="D735" s="3" t="str">
        <f t="shared" ca="1" si="79"/>
        <v>Industrial</v>
      </c>
      <c r="E735" s="3" t="str" cm="1">
        <f t="array" aca="1" ref="E735" ca="1">_xlfn.IFS(D735="Industrial", "Reinforced Concrete", D735 = "Commercial", CHOOSE(RANDBETWEEN(1, 2), "Reinforced Concrete", "Unreinforced Masonry"), D735 = "Residential", CHOOSE(RANDBETWEEN(1, 3), "Reinforced Concrete", "Unreinforced Masonry", "Adobe / Light Timber"))</f>
        <v>Reinforced Concrete</v>
      </c>
      <c r="F735" s="3">
        <f t="shared" ca="1" si="80"/>
        <v>2011</v>
      </c>
      <c r="G735" s="3">
        <f t="shared" ca="1" si="81"/>
        <v>5</v>
      </c>
      <c r="H735" s="2">
        <f t="shared" ca="1" si="82"/>
        <v>4</v>
      </c>
      <c r="I735" s="4">
        <f t="shared" ca="1" si="83"/>
        <v>52383941</v>
      </c>
    </row>
    <row r="736" spans="1:9">
      <c r="A736" s="1">
        <v>10000735</v>
      </c>
      <c r="B736" s="3" t="str">
        <f t="shared" ca="1" si="77"/>
        <v>Hooghly</v>
      </c>
      <c r="C736" s="3" t="str">
        <f t="shared" ca="1" si="78"/>
        <v>Moderate Risk</v>
      </c>
      <c r="D736" s="3" t="str">
        <f t="shared" ca="1" si="79"/>
        <v>Residential</v>
      </c>
      <c r="E736" s="3" t="str" cm="1">
        <f t="array" aca="1" ref="E736" ca="1">_xlfn.IFS(D736="Industrial", "Reinforced Concrete", D736 = "Commercial", CHOOSE(RANDBETWEEN(1, 2), "Reinforced Concrete", "Unreinforced Masonry"), D736 = "Residential", CHOOSE(RANDBETWEEN(1, 3), "Reinforced Concrete", "Unreinforced Masonry", "Adobe / Light Timber"))</f>
        <v>Reinforced Concrete</v>
      </c>
      <c r="F736" s="3">
        <f t="shared" ca="1" si="80"/>
        <v>2012</v>
      </c>
      <c r="G736" s="3">
        <f t="shared" ca="1" si="81"/>
        <v>1</v>
      </c>
      <c r="H736" s="2">
        <f t="shared" ca="1" si="82"/>
        <v>5</v>
      </c>
      <c r="I736" s="4">
        <f t="shared" ca="1" si="83"/>
        <v>7307753</v>
      </c>
    </row>
    <row r="737" spans="1:9">
      <c r="A737" s="1">
        <v>10000736</v>
      </c>
      <c r="B737" s="3" t="str">
        <f t="shared" ca="1" si="77"/>
        <v>South 24 Parganas</v>
      </c>
      <c r="C737" s="3" t="str">
        <f t="shared" ca="1" si="78"/>
        <v>High Risk</v>
      </c>
      <c r="D737" s="3" t="str">
        <f t="shared" ca="1" si="79"/>
        <v>Industrial</v>
      </c>
      <c r="E737" s="3" t="str" cm="1">
        <f t="array" aca="1" ref="E737" ca="1">_xlfn.IFS(D737="Industrial", "Reinforced Concrete", D737 = "Commercial", CHOOSE(RANDBETWEEN(1, 2), "Reinforced Concrete", "Unreinforced Masonry"), D737 = "Residential", CHOOSE(RANDBETWEEN(1, 3), "Reinforced Concrete", "Unreinforced Masonry", "Adobe / Light Timber"))</f>
        <v>Reinforced Concrete</v>
      </c>
      <c r="F737" s="3">
        <f t="shared" ca="1" si="80"/>
        <v>2021</v>
      </c>
      <c r="G737" s="3">
        <f t="shared" ca="1" si="81"/>
        <v>1</v>
      </c>
      <c r="H737" s="2">
        <f t="shared" ca="1" si="82"/>
        <v>5</v>
      </c>
      <c r="I737" s="4">
        <f t="shared" ca="1" si="83"/>
        <v>51048979</v>
      </c>
    </row>
    <row r="738" spans="1:9">
      <c r="A738" s="1">
        <v>10000737</v>
      </c>
      <c r="B738" s="3" t="str">
        <f t="shared" ca="1" si="77"/>
        <v>Jalpaiguri</v>
      </c>
      <c r="C738" s="3" t="str">
        <f t="shared" ca="1" si="78"/>
        <v>High Risk</v>
      </c>
      <c r="D738" s="3" t="str">
        <f t="shared" ca="1" si="79"/>
        <v>Residential</v>
      </c>
      <c r="E738" s="3" t="str" cm="1">
        <f t="array" aca="1" ref="E738" ca="1">_xlfn.IFS(D738="Industrial", "Reinforced Concrete", D738 = "Commercial", CHOOSE(RANDBETWEEN(1, 2), "Reinforced Concrete", "Unreinforced Masonry"), D738 = "Residential", CHOOSE(RANDBETWEEN(1, 3), "Reinforced Concrete", "Unreinforced Masonry", "Adobe / Light Timber"))</f>
        <v>Unreinforced Masonry</v>
      </c>
      <c r="F738" s="3">
        <f t="shared" ca="1" si="80"/>
        <v>2018</v>
      </c>
      <c r="G738" s="3">
        <f t="shared" ca="1" si="81"/>
        <v>5</v>
      </c>
      <c r="H738" s="2">
        <f t="shared" ca="1" si="82"/>
        <v>1</v>
      </c>
      <c r="I738" s="4">
        <f t="shared" ca="1" si="83"/>
        <v>2074864</v>
      </c>
    </row>
    <row r="739" spans="1:9">
      <c r="A739" s="1">
        <v>10000738</v>
      </c>
      <c r="B739" s="3" t="str">
        <f t="shared" ca="1" si="77"/>
        <v>South 24 Parganas</v>
      </c>
      <c r="C739" s="3" t="str">
        <f t="shared" ca="1" si="78"/>
        <v>High Risk</v>
      </c>
      <c r="D739" s="3" t="str">
        <f t="shared" ca="1" si="79"/>
        <v>Residential</v>
      </c>
      <c r="E739" s="3" t="str" cm="1">
        <f t="array" aca="1" ref="E739" ca="1">_xlfn.IFS(D739="Industrial", "Reinforced Concrete", D739 = "Commercial", CHOOSE(RANDBETWEEN(1, 2), "Reinforced Concrete", "Unreinforced Masonry"), D739 = "Residential", CHOOSE(RANDBETWEEN(1, 3), "Reinforced Concrete", "Unreinforced Masonry", "Adobe / Light Timber"))</f>
        <v>Reinforced Concrete</v>
      </c>
      <c r="F739" s="3">
        <f t="shared" ca="1" si="80"/>
        <v>1992</v>
      </c>
      <c r="G739" s="3">
        <f t="shared" ca="1" si="81"/>
        <v>1</v>
      </c>
      <c r="H739" s="2">
        <f t="shared" ca="1" si="82"/>
        <v>4</v>
      </c>
      <c r="I739" s="4">
        <f t="shared" ca="1" si="83"/>
        <v>3452411</v>
      </c>
    </row>
    <row r="740" spans="1:9">
      <c r="A740" s="1">
        <v>10000739</v>
      </c>
      <c r="B740" s="3" t="str">
        <f t="shared" ca="1" si="77"/>
        <v>Jalpaiguri</v>
      </c>
      <c r="C740" s="3" t="str">
        <f t="shared" ca="1" si="78"/>
        <v>High Risk</v>
      </c>
      <c r="D740" s="3" t="str">
        <f t="shared" ca="1" si="79"/>
        <v>Commercial</v>
      </c>
      <c r="E740" s="3" t="str" cm="1">
        <f t="array" aca="1" ref="E740" ca="1">_xlfn.IFS(D740="Industrial", "Reinforced Concrete", D740 = "Commercial", CHOOSE(RANDBETWEEN(1, 2), "Reinforced Concrete", "Unreinforced Masonry"), D740 = "Residential", CHOOSE(RANDBETWEEN(1, 3), "Reinforced Concrete", "Unreinforced Masonry", "Adobe / Light Timber"))</f>
        <v>Unreinforced Masonry</v>
      </c>
      <c r="F740" s="3">
        <f t="shared" ca="1" si="80"/>
        <v>2004</v>
      </c>
      <c r="G740" s="3">
        <f t="shared" ca="1" si="81"/>
        <v>1</v>
      </c>
      <c r="H740" s="2">
        <f t="shared" ca="1" si="82"/>
        <v>0</v>
      </c>
      <c r="I740" s="4">
        <f t="shared" ca="1" si="83"/>
        <v>18462870</v>
      </c>
    </row>
    <row r="741" spans="1:9">
      <c r="A741" s="1">
        <v>10000740</v>
      </c>
      <c r="B741" s="3" t="str">
        <f t="shared" ca="1" si="77"/>
        <v>Jalpaiguri</v>
      </c>
      <c r="C741" s="3" t="str">
        <f t="shared" ca="1" si="78"/>
        <v>High Risk</v>
      </c>
      <c r="D741" s="3" t="str">
        <f t="shared" ca="1" si="79"/>
        <v>Residential</v>
      </c>
      <c r="E741" s="3" t="str" cm="1">
        <f t="array" aca="1" ref="E741" ca="1">_xlfn.IFS(D741="Industrial", "Reinforced Concrete", D741 = "Commercial", CHOOSE(RANDBETWEEN(1, 2), "Reinforced Concrete", "Unreinforced Masonry"), D741 = "Residential", CHOOSE(RANDBETWEEN(1, 3), "Reinforced Concrete", "Unreinforced Masonry", "Adobe / Light Timber"))</f>
        <v>Adobe / Light Timber</v>
      </c>
      <c r="F741" s="3">
        <f t="shared" ca="1" si="80"/>
        <v>2009</v>
      </c>
      <c r="G741" s="3">
        <f t="shared" ca="1" si="81"/>
        <v>1</v>
      </c>
      <c r="H741" s="2">
        <f t="shared" ca="1" si="82"/>
        <v>0</v>
      </c>
      <c r="I741" s="4">
        <f t="shared" ca="1" si="83"/>
        <v>676227</v>
      </c>
    </row>
    <row r="742" spans="1:9">
      <c r="A742" s="1">
        <v>10000741</v>
      </c>
      <c r="B742" s="3" t="str">
        <f t="shared" ca="1" si="77"/>
        <v>Malda</v>
      </c>
      <c r="C742" s="3" t="str">
        <f t="shared" ca="1" si="78"/>
        <v>High Risk</v>
      </c>
      <c r="D742" s="3" t="str">
        <f t="shared" ca="1" si="79"/>
        <v>Residential</v>
      </c>
      <c r="E742" s="3" t="str" cm="1">
        <f t="array" aca="1" ref="E742" ca="1">_xlfn.IFS(D742="Industrial", "Reinforced Concrete", D742 = "Commercial", CHOOSE(RANDBETWEEN(1, 2), "Reinforced Concrete", "Unreinforced Masonry"), D742 = "Residential", CHOOSE(RANDBETWEEN(1, 3), "Reinforced Concrete", "Unreinforced Masonry", "Adobe / Light Timber"))</f>
        <v>Adobe / Light Timber</v>
      </c>
      <c r="F742" s="3">
        <f t="shared" ca="1" si="80"/>
        <v>2020</v>
      </c>
      <c r="G742" s="3">
        <f t="shared" ca="1" si="81"/>
        <v>1</v>
      </c>
      <c r="H742" s="2">
        <f t="shared" ca="1" si="82"/>
        <v>0</v>
      </c>
      <c r="I742" s="4">
        <f t="shared" ca="1" si="83"/>
        <v>417326</v>
      </c>
    </row>
    <row r="743" spans="1:9">
      <c r="A743" s="1">
        <v>10000742</v>
      </c>
      <c r="B743" s="3" t="str">
        <f t="shared" ca="1" si="77"/>
        <v>Kolkata</v>
      </c>
      <c r="C743" s="3" t="str">
        <f t="shared" ca="1" si="78"/>
        <v>Moderate Risk</v>
      </c>
      <c r="D743" s="3" t="str">
        <f t="shared" ca="1" si="79"/>
        <v>Industrial</v>
      </c>
      <c r="E743" s="3" t="str" cm="1">
        <f t="array" aca="1" ref="E743" ca="1">_xlfn.IFS(D743="Industrial", "Reinforced Concrete", D743 = "Commercial", CHOOSE(RANDBETWEEN(1, 2), "Reinforced Concrete", "Unreinforced Masonry"), D743 = "Residential", CHOOSE(RANDBETWEEN(1, 3), "Reinforced Concrete", "Unreinforced Masonry", "Adobe / Light Timber"))</f>
        <v>Reinforced Concrete</v>
      </c>
      <c r="F743" s="3">
        <f t="shared" ca="1" si="80"/>
        <v>1985</v>
      </c>
      <c r="G743" s="3">
        <f t="shared" ca="1" si="81"/>
        <v>1</v>
      </c>
      <c r="H743" s="2">
        <f t="shared" ca="1" si="82"/>
        <v>3</v>
      </c>
      <c r="I743" s="4">
        <f t="shared" ca="1" si="83"/>
        <v>27776077</v>
      </c>
    </row>
    <row r="744" spans="1:9">
      <c r="A744" s="1">
        <v>10000743</v>
      </c>
      <c r="B744" s="3" t="str">
        <f t="shared" ca="1" si="77"/>
        <v>Jalpaiguri</v>
      </c>
      <c r="C744" s="3" t="str">
        <f t="shared" ca="1" si="78"/>
        <v>High Risk</v>
      </c>
      <c r="D744" s="3" t="str">
        <f t="shared" ca="1" si="79"/>
        <v>Residential</v>
      </c>
      <c r="E744" s="3" t="str" cm="1">
        <f t="array" aca="1" ref="E744" ca="1">_xlfn.IFS(D744="Industrial", "Reinforced Concrete", D744 = "Commercial", CHOOSE(RANDBETWEEN(1, 2), "Reinforced Concrete", "Unreinforced Masonry"), D744 = "Residential", CHOOSE(RANDBETWEEN(1, 3), "Reinforced Concrete", "Unreinforced Masonry", "Adobe / Light Timber"))</f>
        <v>Adobe / Light Timber</v>
      </c>
      <c r="F744" s="3">
        <f t="shared" ca="1" si="80"/>
        <v>1992</v>
      </c>
      <c r="G744" s="3">
        <f t="shared" ca="1" si="81"/>
        <v>1</v>
      </c>
      <c r="H744" s="2">
        <f t="shared" ca="1" si="82"/>
        <v>0</v>
      </c>
      <c r="I744" s="4">
        <f t="shared" ca="1" si="83"/>
        <v>420510</v>
      </c>
    </row>
    <row r="745" spans="1:9">
      <c r="A745" s="1">
        <v>10000744</v>
      </c>
      <c r="B745" s="3" t="str">
        <f t="shared" ca="1" si="77"/>
        <v>Malda</v>
      </c>
      <c r="C745" s="3" t="str">
        <f t="shared" ca="1" si="78"/>
        <v>High Risk</v>
      </c>
      <c r="D745" s="3" t="str">
        <f t="shared" ca="1" si="79"/>
        <v>Commercial</v>
      </c>
      <c r="E745" s="3" t="str" cm="1">
        <f t="array" aca="1" ref="E745" ca="1">_xlfn.IFS(D745="Industrial", "Reinforced Concrete", D745 = "Commercial", CHOOSE(RANDBETWEEN(1, 2), "Reinforced Concrete", "Unreinforced Masonry"), D745 = "Residential", CHOOSE(RANDBETWEEN(1, 3), "Reinforced Concrete", "Unreinforced Masonry", "Adobe / Light Timber"))</f>
        <v>Reinforced Concrete</v>
      </c>
      <c r="F745" s="3">
        <f t="shared" ca="1" si="80"/>
        <v>2010</v>
      </c>
      <c r="G745" s="3">
        <f t="shared" ca="1" si="81"/>
        <v>5</v>
      </c>
      <c r="H745" s="2">
        <f t="shared" ca="1" si="82"/>
        <v>3</v>
      </c>
      <c r="I745" s="4">
        <f t="shared" ca="1" si="83"/>
        <v>17169465</v>
      </c>
    </row>
    <row r="746" spans="1:9">
      <c r="A746" s="1">
        <v>10000745</v>
      </c>
      <c r="B746" s="3" t="str">
        <f t="shared" ca="1" si="77"/>
        <v>Jalpaiguri</v>
      </c>
      <c r="C746" s="3" t="str">
        <f t="shared" ca="1" si="78"/>
        <v>High Risk</v>
      </c>
      <c r="D746" s="3" t="str">
        <f t="shared" ca="1" si="79"/>
        <v>Residential</v>
      </c>
      <c r="E746" s="3" t="str" cm="1">
        <f t="array" aca="1" ref="E746" ca="1">_xlfn.IFS(D746="Industrial", "Reinforced Concrete", D746 = "Commercial", CHOOSE(RANDBETWEEN(1, 2), "Reinforced Concrete", "Unreinforced Masonry"), D746 = "Residential", CHOOSE(RANDBETWEEN(1, 3), "Reinforced Concrete", "Unreinforced Masonry", "Adobe / Light Timber"))</f>
        <v>Unreinforced Masonry</v>
      </c>
      <c r="F746" s="3">
        <f t="shared" ca="1" si="80"/>
        <v>1989</v>
      </c>
      <c r="G746" s="3">
        <f t="shared" ca="1" si="81"/>
        <v>3</v>
      </c>
      <c r="H746" s="2">
        <f t="shared" ca="1" si="82"/>
        <v>1</v>
      </c>
      <c r="I746" s="4">
        <f t="shared" ca="1" si="83"/>
        <v>5848469</v>
      </c>
    </row>
    <row r="747" spans="1:9">
      <c r="A747" s="1">
        <v>10000746</v>
      </c>
      <c r="B747" s="3" t="str">
        <f t="shared" ca="1" si="77"/>
        <v>Malda</v>
      </c>
      <c r="C747" s="3" t="str">
        <f t="shared" ca="1" si="78"/>
        <v>High Risk</v>
      </c>
      <c r="D747" s="3" t="str">
        <f t="shared" ca="1" si="79"/>
        <v>Industrial</v>
      </c>
      <c r="E747" s="3" t="str" cm="1">
        <f t="array" aca="1" ref="E747" ca="1">_xlfn.IFS(D747="Industrial", "Reinforced Concrete", D747 = "Commercial", CHOOSE(RANDBETWEEN(1, 2), "Reinforced Concrete", "Unreinforced Masonry"), D747 = "Residential", CHOOSE(RANDBETWEEN(1, 3), "Reinforced Concrete", "Unreinforced Masonry", "Adobe / Light Timber"))</f>
        <v>Reinforced Concrete</v>
      </c>
      <c r="F747" s="3">
        <f t="shared" ca="1" si="80"/>
        <v>2015</v>
      </c>
      <c r="G747" s="3">
        <f t="shared" ca="1" si="81"/>
        <v>3</v>
      </c>
      <c r="H747" s="2">
        <f t="shared" ca="1" si="82"/>
        <v>5</v>
      </c>
      <c r="I747" s="4">
        <f t="shared" ca="1" si="83"/>
        <v>38612253</v>
      </c>
    </row>
    <row r="748" spans="1:9">
      <c r="A748" s="1">
        <v>10000747</v>
      </c>
      <c r="B748" s="3" t="str">
        <f t="shared" ca="1" si="77"/>
        <v>Paschim Medinipur</v>
      </c>
      <c r="C748" s="3" t="str">
        <f t="shared" ca="1" si="78"/>
        <v>Moderate Risk</v>
      </c>
      <c r="D748" s="3" t="str">
        <f t="shared" ca="1" si="79"/>
        <v>Commercial</v>
      </c>
      <c r="E748" s="3" t="str" cm="1">
        <f t="array" aca="1" ref="E748" ca="1">_xlfn.IFS(D748="Industrial", "Reinforced Concrete", D748 = "Commercial", CHOOSE(RANDBETWEEN(1, 2), "Reinforced Concrete", "Unreinforced Masonry"), D748 = "Residential", CHOOSE(RANDBETWEEN(1, 3), "Reinforced Concrete", "Unreinforced Masonry", "Adobe / Light Timber"))</f>
        <v>Unreinforced Masonry</v>
      </c>
      <c r="F748" s="3">
        <f t="shared" ca="1" si="80"/>
        <v>2020</v>
      </c>
      <c r="G748" s="3">
        <f t="shared" ca="1" si="81"/>
        <v>5</v>
      </c>
      <c r="H748" s="2">
        <f t="shared" ca="1" si="82"/>
        <v>0</v>
      </c>
      <c r="I748" s="4">
        <f t="shared" ca="1" si="83"/>
        <v>10617697</v>
      </c>
    </row>
    <row r="749" spans="1:9">
      <c r="A749" s="1">
        <v>10000748</v>
      </c>
      <c r="B749" s="3" t="str">
        <f t="shared" ca="1" si="77"/>
        <v>Paschim Medinipur</v>
      </c>
      <c r="C749" s="3" t="str">
        <f t="shared" ca="1" si="78"/>
        <v>Moderate Risk</v>
      </c>
      <c r="D749" s="3" t="str">
        <f t="shared" ca="1" si="79"/>
        <v>Residential</v>
      </c>
      <c r="E749" s="3" t="str" cm="1">
        <f t="array" aca="1" ref="E749" ca="1">_xlfn.IFS(D749="Industrial", "Reinforced Concrete", D749 = "Commercial", CHOOSE(RANDBETWEEN(1, 2), "Reinforced Concrete", "Unreinforced Masonry"), D749 = "Residential", CHOOSE(RANDBETWEEN(1, 3), "Reinforced Concrete", "Unreinforced Masonry", "Adobe / Light Timber"))</f>
        <v>Adobe / Light Timber</v>
      </c>
      <c r="F749" s="3">
        <f t="shared" ca="1" si="80"/>
        <v>1995</v>
      </c>
      <c r="G749" s="3">
        <f t="shared" ca="1" si="81"/>
        <v>1</v>
      </c>
      <c r="H749" s="2">
        <f t="shared" ca="1" si="82"/>
        <v>2</v>
      </c>
      <c r="I749" s="4">
        <f t="shared" ca="1" si="83"/>
        <v>513741</v>
      </c>
    </row>
    <row r="750" spans="1:9">
      <c r="A750" s="1">
        <v>10000749</v>
      </c>
      <c r="B750" s="3" t="str">
        <f t="shared" ca="1" si="77"/>
        <v>Malda</v>
      </c>
      <c r="C750" s="3" t="str">
        <f t="shared" ca="1" si="78"/>
        <v>High Risk</v>
      </c>
      <c r="D750" s="3" t="str">
        <f t="shared" ca="1" si="79"/>
        <v>Commercial</v>
      </c>
      <c r="E750" s="3" t="str" cm="1">
        <f t="array" aca="1" ref="E750" ca="1">_xlfn.IFS(D750="Industrial", "Reinforced Concrete", D750 = "Commercial", CHOOSE(RANDBETWEEN(1, 2), "Reinforced Concrete", "Unreinforced Masonry"), D750 = "Residential", CHOOSE(RANDBETWEEN(1, 3), "Reinforced Concrete", "Unreinforced Masonry", "Adobe / Light Timber"))</f>
        <v>Unreinforced Masonry</v>
      </c>
      <c r="F750" s="3">
        <f t="shared" ca="1" si="80"/>
        <v>2002</v>
      </c>
      <c r="G750" s="3">
        <f t="shared" ca="1" si="81"/>
        <v>2</v>
      </c>
      <c r="H750" s="2">
        <f t="shared" ca="1" si="82"/>
        <v>1</v>
      </c>
      <c r="I750" s="4">
        <f t="shared" ca="1" si="83"/>
        <v>11156213</v>
      </c>
    </row>
    <row r="751" spans="1:9">
      <c r="A751" s="1">
        <v>10000750</v>
      </c>
      <c r="B751" s="3" t="str">
        <f t="shared" ca="1" si="77"/>
        <v>Malda</v>
      </c>
      <c r="C751" s="3" t="str">
        <f t="shared" ca="1" si="78"/>
        <v>High Risk</v>
      </c>
      <c r="D751" s="3" t="str">
        <f t="shared" ca="1" si="79"/>
        <v>Industrial</v>
      </c>
      <c r="E751" s="3" t="str" cm="1">
        <f t="array" aca="1" ref="E751" ca="1">_xlfn.IFS(D751="Industrial", "Reinforced Concrete", D751 = "Commercial", CHOOSE(RANDBETWEEN(1, 2), "Reinforced Concrete", "Unreinforced Masonry"), D751 = "Residential", CHOOSE(RANDBETWEEN(1, 3), "Reinforced Concrete", "Unreinforced Masonry", "Adobe / Light Timber"))</f>
        <v>Reinforced Concrete</v>
      </c>
      <c r="F751" s="3">
        <f t="shared" ca="1" si="80"/>
        <v>2023</v>
      </c>
      <c r="G751" s="3">
        <f t="shared" ca="1" si="81"/>
        <v>5</v>
      </c>
      <c r="H751" s="2">
        <f t="shared" ca="1" si="82"/>
        <v>5</v>
      </c>
      <c r="I751" s="4">
        <f t="shared" ca="1" si="83"/>
        <v>55074785</v>
      </c>
    </row>
    <row r="752" spans="1:9">
      <c r="A752" s="1">
        <v>10000751</v>
      </c>
      <c r="B752" s="3" t="str">
        <f t="shared" ca="1" si="77"/>
        <v>Hooghly</v>
      </c>
      <c r="C752" s="3" t="str">
        <f t="shared" ca="1" si="78"/>
        <v>Moderate Risk</v>
      </c>
      <c r="D752" s="3" t="str">
        <f t="shared" ca="1" si="79"/>
        <v>Commercial</v>
      </c>
      <c r="E752" s="3" t="str" cm="1">
        <f t="array" aca="1" ref="E752" ca="1">_xlfn.IFS(D752="Industrial", "Reinforced Concrete", D752 = "Commercial", CHOOSE(RANDBETWEEN(1, 2), "Reinforced Concrete", "Unreinforced Masonry"), D752 = "Residential", CHOOSE(RANDBETWEEN(1, 3), "Reinforced Concrete", "Unreinforced Masonry", "Adobe / Light Timber"))</f>
        <v>Unreinforced Masonry</v>
      </c>
      <c r="F752" s="3">
        <f t="shared" ca="1" si="80"/>
        <v>1999</v>
      </c>
      <c r="G752" s="3">
        <f t="shared" ca="1" si="81"/>
        <v>1</v>
      </c>
      <c r="H752" s="2">
        <f t="shared" ca="1" si="82"/>
        <v>0</v>
      </c>
      <c r="I752" s="4">
        <f t="shared" ca="1" si="83"/>
        <v>12464594</v>
      </c>
    </row>
    <row r="753" spans="1:9">
      <c r="A753" s="1">
        <v>10000752</v>
      </c>
      <c r="B753" s="3" t="str">
        <f t="shared" ca="1" si="77"/>
        <v>Jalpaiguri</v>
      </c>
      <c r="C753" s="3" t="str">
        <f t="shared" ca="1" si="78"/>
        <v>High Risk</v>
      </c>
      <c r="D753" s="3" t="str">
        <f t="shared" ca="1" si="79"/>
        <v>Industrial</v>
      </c>
      <c r="E753" s="3" t="str" cm="1">
        <f t="array" aca="1" ref="E753" ca="1">_xlfn.IFS(D753="Industrial", "Reinforced Concrete", D753 = "Commercial", CHOOSE(RANDBETWEEN(1, 2), "Reinforced Concrete", "Unreinforced Masonry"), D753 = "Residential", CHOOSE(RANDBETWEEN(1, 3), "Reinforced Concrete", "Unreinforced Masonry", "Adobe / Light Timber"))</f>
        <v>Reinforced Concrete</v>
      </c>
      <c r="F753" s="3">
        <f t="shared" ca="1" si="80"/>
        <v>2014</v>
      </c>
      <c r="G753" s="3">
        <f t="shared" ca="1" si="81"/>
        <v>5</v>
      </c>
      <c r="H753" s="2">
        <f t="shared" ca="1" si="82"/>
        <v>3</v>
      </c>
      <c r="I753" s="4">
        <f t="shared" ca="1" si="83"/>
        <v>38820094</v>
      </c>
    </row>
    <row r="754" spans="1:9">
      <c r="A754" s="1">
        <v>10000753</v>
      </c>
      <c r="B754" s="3" t="str">
        <f t="shared" ca="1" si="77"/>
        <v>South 24 Parganas</v>
      </c>
      <c r="C754" s="3" t="str">
        <f t="shared" ca="1" si="78"/>
        <v>High Risk</v>
      </c>
      <c r="D754" s="3" t="str">
        <f t="shared" ca="1" si="79"/>
        <v>Residential</v>
      </c>
      <c r="E754" s="3" t="str" cm="1">
        <f t="array" aca="1" ref="E754" ca="1">_xlfn.IFS(D754="Industrial", "Reinforced Concrete", D754 = "Commercial", CHOOSE(RANDBETWEEN(1, 2), "Reinforced Concrete", "Unreinforced Masonry"), D754 = "Residential", CHOOSE(RANDBETWEEN(1, 3), "Reinforced Concrete", "Unreinforced Masonry", "Adobe / Light Timber"))</f>
        <v>Unreinforced Masonry</v>
      </c>
      <c r="F754" s="3">
        <f t="shared" ca="1" si="80"/>
        <v>2005</v>
      </c>
      <c r="G754" s="3">
        <f t="shared" ca="1" si="81"/>
        <v>4</v>
      </c>
      <c r="H754" s="2">
        <f t="shared" ca="1" si="82"/>
        <v>0</v>
      </c>
      <c r="I754" s="4">
        <f t="shared" ca="1" si="83"/>
        <v>2751571</v>
      </c>
    </row>
    <row r="755" spans="1:9">
      <c r="A755" s="1">
        <v>10000754</v>
      </c>
      <c r="B755" s="3" t="str">
        <f t="shared" ca="1" si="77"/>
        <v>Jalpaiguri</v>
      </c>
      <c r="C755" s="3" t="str">
        <f t="shared" ca="1" si="78"/>
        <v>High Risk</v>
      </c>
      <c r="D755" s="3" t="str">
        <f t="shared" ca="1" si="79"/>
        <v>Residential</v>
      </c>
      <c r="E755" s="3" t="str" cm="1">
        <f t="array" aca="1" ref="E755" ca="1">_xlfn.IFS(D755="Industrial", "Reinforced Concrete", D755 = "Commercial", CHOOSE(RANDBETWEEN(1, 2), "Reinforced Concrete", "Unreinforced Masonry"), D755 = "Residential", CHOOSE(RANDBETWEEN(1, 3), "Reinforced Concrete", "Unreinforced Masonry", "Adobe / Light Timber"))</f>
        <v>Reinforced Concrete</v>
      </c>
      <c r="F755" s="3">
        <f t="shared" ca="1" si="80"/>
        <v>1996</v>
      </c>
      <c r="G755" s="3">
        <f t="shared" ca="1" si="81"/>
        <v>2</v>
      </c>
      <c r="H755" s="2">
        <f t="shared" ca="1" si="82"/>
        <v>4</v>
      </c>
      <c r="I755" s="4">
        <f t="shared" ca="1" si="83"/>
        <v>3252141</v>
      </c>
    </row>
    <row r="756" spans="1:9">
      <c r="A756" s="1">
        <v>10000755</v>
      </c>
      <c r="B756" s="3" t="str">
        <f t="shared" ca="1" si="77"/>
        <v>South 24 Parganas</v>
      </c>
      <c r="C756" s="3" t="str">
        <f t="shared" ca="1" si="78"/>
        <v>High Risk</v>
      </c>
      <c r="D756" s="3" t="str">
        <f t="shared" ca="1" si="79"/>
        <v>Residential</v>
      </c>
      <c r="E756" s="3" t="str" cm="1">
        <f t="array" aca="1" ref="E756" ca="1">_xlfn.IFS(D756="Industrial", "Reinforced Concrete", D756 = "Commercial", CHOOSE(RANDBETWEEN(1, 2), "Reinforced Concrete", "Unreinforced Masonry"), D756 = "Residential", CHOOSE(RANDBETWEEN(1, 3), "Reinforced Concrete", "Unreinforced Masonry", "Adobe / Light Timber"))</f>
        <v>Unreinforced Masonry</v>
      </c>
      <c r="F756" s="3">
        <f t="shared" ca="1" si="80"/>
        <v>1986</v>
      </c>
      <c r="G756" s="3">
        <f t="shared" ca="1" si="81"/>
        <v>4</v>
      </c>
      <c r="H756" s="2">
        <f t="shared" ca="1" si="82"/>
        <v>1</v>
      </c>
      <c r="I756" s="4">
        <f t="shared" ca="1" si="83"/>
        <v>2356035</v>
      </c>
    </row>
    <row r="757" spans="1:9">
      <c r="A757" s="1">
        <v>10000756</v>
      </c>
      <c r="B757" s="3" t="str">
        <f t="shared" ca="1" si="77"/>
        <v>Hooghly</v>
      </c>
      <c r="C757" s="3" t="str">
        <f t="shared" ca="1" si="78"/>
        <v>Moderate Risk</v>
      </c>
      <c r="D757" s="3" t="str">
        <f t="shared" ca="1" si="79"/>
        <v>Residential</v>
      </c>
      <c r="E757" s="3" t="str" cm="1">
        <f t="array" aca="1" ref="E757" ca="1">_xlfn.IFS(D757="Industrial", "Reinforced Concrete", D757 = "Commercial", CHOOSE(RANDBETWEEN(1, 2), "Reinforced Concrete", "Unreinforced Masonry"), D757 = "Residential", CHOOSE(RANDBETWEEN(1, 3), "Reinforced Concrete", "Unreinforced Masonry", "Adobe / Light Timber"))</f>
        <v>Reinforced Concrete</v>
      </c>
      <c r="F757" s="3">
        <f t="shared" ca="1" si="80"/>
        <v>2016</v>
      </c>
      <c r="G757" s="3">
        <f t="shared" ca="1" si="81"/>
        <v>5</v>
      </c>
      <c r="H757" s="2">
        <f t="shared" ca="1" si="82"/>
        <v>3</v>
      </c>
      <c r="I757" s="4">
        <f t="shared" ca="1" si="83"/>
        <v>4620713</v>
      </c>
    </row>
    <row r="758" spans="1:9">
      <c r="A758" s="1">
        <v>10000757</v>
      </c>
      <c r="B758" s="3" t="str">
        <f t="shared" ca="1" si="77"/>
        <v>Paschim Medinipur</v>
      </c>
      <c r="C758" s="3" t="str">
        <f t="shared" ca="1" si="78"/>
        <v>Moderate Risk</v>
      </c>
      <c r="D758" s="3" t="str">
        <f t="shared" ca="1" si="79"/>
        <v>Commercial</v>
      </c>
      <c r="E758" s="3" t="str" cm="1">
        <f t="array" aca="1" ref="E758" ca="1">_xlfn.IFS(D758="Industrial", "Reinforced Concrete", D758 = "Commercial", CHOOSE(RANDBETWEEN(1, 2), "Reinforced Concrete", "Unreinforced Masonry"), D758 = "Residential", CHOOSE(RANDBETWEEN(1, 3), "Reinforced Concrete", "Unreinforced Masonry", "Adobe / Light Timber"))</f>
        <v>Unreinforced Masonry</v>
      </c>
      <c r="F758" s="3">
        <f t="shared" ca="1" si="80"/>
        <v>1990</v>
      </c>
      <c r="G758" s="3">
        <f t="shared" ca="1" si="81"/>
        <v>5</v>
      </c>
      <c r="H758" s="2">
        <f t="shared" ca="1" si="82"/>
        <v>1</v>
      </c>
      <c r="I758" s="4">
        <f t="shared" ca="1" si="83"/>
        <v>10466363</v>
      </c>
    </row>
    <row r="759" spans="1:9">
      <c r="A759" s="1">
        <v>10000758</v>
      </c>
      <c r="B759" s="3" t="str">
        <f t="shared" ca="1" si="77"/>
        <v>Kolkata</v>
      </c>
      <c r="C759" s="3" t="str">
        <f t="shared" ca="1" si="78"/>
        <v>Moderate Risk</v>
      </c>
      <c r="D759" s="3" t="str">
        <f t="shared" ca="1" si="79"/>
        <v>Residential</v>
      </c>
      <c r="E759" s="3" t="str" cm="1">
        <f t="array" aca="1" ref="E759" ca="1">_xlfn.IFS(D759="Industrial", "Reinforced Concrete", D759 = "Commercial", CHOOSE(RANDBETWEEN(1, 2), "Reinforced Concrete", "Unreinforced Masonry"), D759 = "Residential", CHOOSE(RANDBETWEEN(1, 3), "Reinforced Concrete", "Unreinforced Masonry", "Adobe / Light Timber"))</f>
        <v>Adobe / Light Timber</v>
      </c>
      <c r="F759" s="3">
        <f t="shared" ca="1" si="80"/>
        <v>2000</v>
      </c>
      <c r="G759" s="3">
        <f t="shared" ca="1" si="81"/>
        <v>1</v>
      </c>
      <c r="H759" s="2">
        <f t="shared" ca="1" si="82"/>
        <v>2</v>
      </c>
      <c r="I759" s="4">
        <f t="shared" ca="1" si="83"/>
        <v>388267</v>
      </c>
    </row>
    <row r="760" spans="1:9">
      <c r="A760" s="1">
        <v>10000759</v>
      </c>
      <c r="B760" s="3" t="str">
        <f t="shared" ca="1" si="77"/>
        <v>Malda</v>
      </c>
      <c r="C760" s="3" t="str">
        <f t="shared" ca="1" si="78"/>
        <v>High Risk</v>
      </c>
      <c r="D760" s="3" t="str">
        <f t="shared" ca="1" si="79"/>
        <v>Residential</v>
      </c>
      <c r="E760" s="3" t="str" cm="1">
        <f t="array" aca="1" ref="E760" ca="1">_xlfn.IFS(D760="Industrial", "Reinforced Concrete", D760 = "Commercial", CHOOSE(RANDBETWEEN(1, 2), "Reinforced Concrete", "Unreinforced Masonry"), D760 = "Residential", CHOOSE(RANDBETWEEN(1, 3), "Reinforced Concrete", "Unreinforced Masonry", "Adobe / Light Timber"))</f>
        <v>Reinforced Concrete</v>
      </c>
      <c r="F760" s="3">
        <f t="shared" ca="1" si="80"/>
        <v>1984</v>
      </c>
      <c r="G760" s="3">
        <f t="shared" ca="1" si="81"/>
        <v>2</v>
      </c>
      <c r="H760" s="2">
        <f t="shared" ca="1" si="82"/>
        <v>4</v>
      </c>
      <c r="I760" s="4">
        <f t="shared" ca="1" si="83"/>
        <v>5520786</v>
      </c>
    </row>
    <row r="761" spans="1:9">
      <c r="A761" s="1">
        <v>10000760</v>
      </c>
      <c r="B761" s="3" t="str">
        <f t="shared" ca="1" si="77"/>
        <v>Paschim Medinipur</v>
      </c>
      <c r="C761" s="3" t="str">
        <f t="shared" ca="1" si="78"/>
        <v>Moderate Risk</v>
      </c>
      <c r="D761" s="3" t="str">
        <f t="shared" ca="1" si="79"/>
        <v>Commercial</v>
      </c>
      <c r="E761" s="3" t="str" cm="1">
        <f t="array" aca="1" ref="E761" ca="1">_xlfn.IFS(D761="Industrial", "Reinforced Concrete", D761 = "Commercial", CHOOSE(RANDBETWEEN(1, 2), "Reinforced Concrete", "Unreinforced Masonry"), D761 = "Residential", CHOOSE(RANDBETWEEN(1, 3), "Reinforced Concrete", "Unreinforced Masonry", "Adobe / Light Timber"))</f>
        <v>Reinforced Concrete</v>
      </c>
      <c r="F761" s="3">
        <f t="shared" ca="1" si="80"/>
        <v>2012</v>
      </c>
      <c r="G761" s="3">
        <f t="shared" ca="1" si="81"/>
        <v>5</v>
      </c>
      <c r="H761" s="2">
        <f t="shared" ca="1" si="82"/>
        <v>4</v>
      </c>
      <c r="I761" s="4">
        <f t="shared" ca="1" si="83"/>
        <v>15798774</v>
      </c>
    </row>
    <row r="762" spans="1:9">
      <c r="A762" s="1">
        <v>10000761</v>
      </c>
      <c r="B762" s="3" t="str">
        <f t="shared" ca="1" si="77"/>
        <v>Kolkata</v>
      </c>
      <c r="C762" s="3" t="str">
        <f t="shared" ca="1" si="78"/>
        <v>Moderate Risk</v>
      </c>
      <c r="D762" s="3" t="str">
        <f t="shared" ca="1" si="79"/>
        <v>Industrial</v>
      </c>
      <c r="E762" s="3" t="str" cm="1">
        <f t="array" aca="1" ref="E762" ca="1">_xlfn.IFS(D762="Industrial", "Reinforced Concrete", D762 = "Commercial", CHOOSE(RANDBETWEEN(1, 2), "Reinforced Concrete", "Unreinforced Masonry"), D762 = "Residential", CHOOSE(RANDBETWEEN(1, 3), "Reinforced Concrete", "Unreinforced Masonry", "Adobe / Light Timber"))</f>
        <v>Reinforced Concrete</v>
      </c>
      <c r="F762" s="3">
        <f t="shared" ca="1" si="80"/>
        <v>2009</v>
      </c>
      <c r="G762" s="3">
        <f t="shared" ca="1" si="81"/>
        <v>2</v>
      </c>
      <c r="H762" s="2">
        <f t="shared" ca="1" si="82"/>
        <v>5</v>
      </c>
      <c r="I762" s="4">
        <f t="shared" ca="1" si="83"/>
        <v>38358619</v>
      </c>
    </row>
    <row r="763" spans="1:9">
      <c r="A763" s="1">
        <v>10000762</v>
      </c>
      <c r="B763" s="3" t="str">
        <f t="shared" ca="1" si="77"/>
        <v>Hooghly</v>
      </c>
      <c r="C763" s="3" t="str">
        <f t="shared" ca="1" si="78"/>
        <v>Moderate Risk</v>
      </c>
      <c r="D763" s="3" t="str">
        <f t="shared" ca="1" si="79"/>
        <v>Industrial</v>
      </c>
      <c r="E763" s="3" t="str" cm="1">
        <f t="array" aca="1" ref="E763" ca="1">_xlfn.IFS(D763="Industrial", "Reinforced Concrete", D763 = "Commercial", CHOOSE(RANDBETWEEN(1, 2), "Reinforced Concrete", "Unreinforced Masonry"), D763 = "Residential", CHOOSE(RANDBETWEEN(1, 3), "Reinforced Concrete", "Unreinforced Masonry", "Adobe / Light Timber"))</f>
        <v>Reinforced Concrete</v>
      </c>
      <c r="F763" s="3">
        <f t="shared" ca="1" si="80"/>
        <v>1989</v>
      </c>
      <c r="G763" s="3">
        <f t="shared" ca="1" si="81"/>
        <v>3</v>
      </c>
      <c r="H763" s="2">
        <f t="shared" ca="1" si="82"/>
        <v>5</v>
      </c>
      <c r="I763" s="4">
        <f t="shared" ca="1" si="83"/>
        <v>55444774</v>
      </c>
    </row>
    <row r="764" spans="1:9">
      <c r="A764" s="1">
        <v>10000763</v>
      </c>
      <c r="B764" s="3" t="str">
        <f t="shared" ca="1" si="77"/>
        <v>Kolkata</v>
      </c>
      <c r="C764" s="3" t="str">
        <f t="shared" ca="1" si="78"/>
        <v>Moderate Risk</v>
      </c>
      <c r="D764" s="3" t="str">
        <f t="shared" ca="1" si="79"/>
        <v>Commercial</v>
      </c>
      <c r="E764" s="3" t="str" cm="1">
        <f t="array" aca="1" ref="E764" ca="1">_xlfn.IFS(D764="Industrial", "Reinforced Concrete", D764 = "Commercial", CHOOSE(RANDBETWEEN(1, 2), "Reinforced Concrete", "Unreinforced Masonry"), D764 = "Residential", CHOOSE(RANDBETWEEN(1, 3), "Reinforced Concrete", "Unreinforced Masonry", "Adobe / Light Timber"))</f>
        <v>Reinforced Concrete</v>
      </c>
      <c r="F764" s="3">
        <f t="shared" ca="1" si="80"/>
        <v>2009</v>
      </c>
      <c r="G764" s="3">
        <f t="shared" ca="1" si="81"/>
        <v>2</v>
      </c>
      <c r="H764" s="2">
        <f t="shared" ca="1" si="82"/>
        <v>3</v>
      </c>
      <c r="I764" s="4">
        <f t="shared" ca="1" si="83"/>
        <v>14807778</v>
      </c>
    </row>
    <row r="765" spans="1:9">
      <c r="A765" s="1">
        <v>10000764</v>
      </c>
      <c r="B765" s="3" t="str">
        <f t="shared" ca="1" si="77"/>
        <v>South 24 Parganas</v>
      </c>
      <c r="C765" s="3" t="str">
        <f t="shared" ca="1" si="78"/>
        <v>High Risk</v>
      </c>
      <c r="D765" s="3" t="str">
        <f t="shared" ca="1" si="79"/>
        <v>Commercial</v>
      </c>
      <c r="E765" s="3" t="str" cm="1">
        <f t="array" aca="1" ref="E765" ca="1">_xlfn.IFS(D765="Industrial", "Reinforced Concrete", D765 = "Commercial", CHOOSE(RANDBETWEEN(1, 2), "Reinforced Concrete", "Unreinforced Masonry"), D765 = "Residential", CHOOSE(RANDBETWEEN(1, 3), "Reinforced Concrete", "Unreinforced Masonry", "Adobe / Light Timber"))</f>
        <v>Unreinforced Masonry</v>
      </c>
      <c r="F765" s="3">
        <f t="shared" ca="1" si="80"/>
        <v>2005</v>
      </c>
      <c r="G765" s="3">
        <f t="shared" ca="1" si="81"/>
        <v>1</v>
      </c>
      <c r="H765" s="2">
        <f t="shared" ca="1" si="82"/>
        <v>2</v>
      </c>
      <c r="I765" s="4">
        <f t="shared" ca="1" si="83"/>
        <v>19805849</v>
      </c>
    </row>
    <row r="766" spans="1:9">
      <c r="A766" s="1">
        <v>10000765</v>
      </c>
      <c r="B766" s="3" t="str">
        <f t="shared" ca="1" si="77"/>
        <v>Malda</v>
      </c>
      <c r="C766" s="3" t="str">
        <f t="shared" ca="1" si="78"/>
        <v>High Risk</v>
      </c>
      <c r="D766" s="3" t="str">
        <f t="shared" ca="1" si="79"/>
        <v>Residential</v>
      </c>
      <c r="E766" s="3" t="str" cm="1">
        <f t="array" aca="1" ref="E766" ca="1">_xlfn.IFS(D766="Industrial", "Reinforced Concrete", D766 = "Commercial", CHOOSE(RANDBETWEEN(1, 2), "Reinforced Concrete", "Unreinforced Masonry"), D766 = "Residential", CHOOSE(RANDBETWEEN(1, 3), "Reinforced Concrete", "Unreinforced Masonry", "Adobe / Light Timber"))</f>
        <v>Reinforced Concrete</v>
      </c>
      <c r="F766" s="3">
        <f t="shared" ca="1" si="80"/>
        <v>1999</v>
      </c>
      <c r="G766" s="3">
        <f t="shared" ca="1" si="81"/>
        <v>5</v>
      </c>
      <c r="H766" s="2">
        <f t="shared" ca="1" si="82"/>
        <v>4</v>
      </c>
      <c r="I766" s="4">
        <f t="shared" ca="1" si="83"/>
        <v>3334336</v>
      </c>
    </row>
    <row r="767" spans="1:9">
      <c r="A767" s="1">
        <v>10000766</v>
      </c>
      <c r="B767" s="3" t="str">
        <f t="shared" ca="1" si="77"/>
        <v>Hooghly</v>
      </c>
      <c r="C767" s="3" t="str">
        <f t="shared" ca="1" si="78"/>
        <v>Moderate Risk</v>
      </c>
      <c r="D767" s="3" t="str">
        <f t="shared" ca="1" si="79"/>
        <v>Industrial</v>
      </c>
      <c r="E767" s="3" t="str" cm="1">
        <f t="array" aca="1" ref="E767" ca="1">_xlfn.IFS(D767="Industrial", "Reinforced Concrete", D767 = "Commercial", CHOOSE(RANDBETWEEN(1, 2), "Reinforced Concrete", "Unreinforced Masonry"), D767 = "Residential", CHOOSE(RANDBETWEEN(1, 3), "Reinforced Concrete", "Unreinforced Masonry", "Adobe / Light Timber"))</f>
        <v>Reinforced Concrete</v>
      </c>
      <c r="F767" s="3">
        <f t="shared" ca="1" si="80"/>
        <v>1982</v>
      </c>
      <c r="G767" s="3">
        <f t="shared" ca="1" si="81"/>
        <v>3</v>
      </c>
      <c r="H767" s="2">
        <f t="shared" ca="1" si="82"/>
        <v>3</v>
      </c>
      <c r="I767" s="4">
        <f t="shared" ca="1" si="83"/>
        <v>44832548</v>
      </c>
    </row>
    <row r="768" spans="1:9">
      <c r="A768" s="1">
        <v>10000767</v>
      </c>
      <c r="B768" s="3" t="str">
        <f t="shared" ca="1" si="77"/>
        <v>Jalpaiguri</v>
      </c>
      <c r="C768" s="3" t="str">
        <f t="shared" ca="1" si="78"/>
        <v>High Risk</v>
      </c>
      <c r="D768" s="3" t="str">
        <f t="shared" ca="1" si="79"/>
        <v>Commercial</v>
      </c>
      <c r="E768" s="3" t="str" cm="1">
        <f t="array" aca="1" ref="E768" ca="1">_xlfn.IFS(D768="Industrial", "Reinforced Concrete", D768 = "Commercial", CHOOSE(RANDBETWEEN(1, 2), "Reinforced Concrete", "Unreinforced Masonry"), D768 = "Residential", CHOOSE(RANDBETWEEN(1, 3), "Reinforced Concrete", "Unreinforced Masonry", "Adobe / Light Timber"))</f>
        <v>Reinforced Concrete</v>
      </c>
      <c r="F768" s="3">
        <f t="shared" ca="1" si="80"/>
        <v>1984</v>
      </c>
      <c r="G768" s="3">
        <f t="shared" ca="1" si="81"/>
        <v>2</v>
      </c>
      <c r="H768" s="2">
        <f t="shared" ca="1" si="82"/>
        <v>3</v>
      </c>
      <c r="I768" s="4">
        <f t="shared" ca="1" si="83"/>
        <v>24853299</v>
      </c>
    </row>
    <row r="769" spans="1:9">
      <c r="A769" s="1">
        <v>10000768</v>
      </c>
      <c r="B769" s="3" t="str">
        <f t="shared" ca="1" si="77"/>
        <v>Kolkata</v>
      </c>
      <c r="C769" s="3" t="str">
        <f t="shared" ca="1" si="78"/>
        <v>Moderate Risk</v>
      </c>
      <c r="D769" s="3" t="str">
        <f t="shared" ca="1" si="79"/>
        <v>Residential</v>
      </c>
      <c r="E769" s="3" t="str" cm="1">
        <f t="array" aca="1" ref="E769" ca="1">_xlfn.IFS(D769="Industrial", "Reinforced Concrete", D769 = "Commercial", CHOOSE(RANDBETWEEN(1, 2), "Reinforced Concrete", "Unreinforced Masonry"), D769 = "Residential", CHOOSE(RANDBETWEEN(1, 3), "Reinforced Concrete", "Unreinforced Masonry", "Adobe / Light Timber"))</f>
        <v>Adobe / Light Timber</v>
      </c>
      <c r="F769" s="3">
        <f t="shared" ca="1" si="80"/>
        <v>1981</v>
      </c>
      <c r="G769" s="3">
        <f t="shared" ca="1" si="81"/>
        <v>1</v>
      </c>
      <c r="H769" s="2">
        <f t="shared" ca="1" si="82"/>
        <v>0</v>
      </c>
      <c r="I769" s="4">
        <f t="shared" ca="1" si="83"/>
        <v>704663</v>
      </c>
    </row>
    <row r="770" spans="1:9">
      <c r="A770" s="1">
        <v>10000769</v>
      </c>
      <c r="B770" s="3" t="str">
        <f t="shared" ca="1" si="77"/>
        <v>Malda</v>
      </c>
      <c r="C770" s="3" t="str">
        <f t="shared" ca="1" si="78"/>
        <v>High Risk</v>
      </c>
      <c r="D770" s="3" t="str">
        <f t="shared" ca="1" si="79"/>
        <v>Commercial</v>
      </c>
      <c r="E770" s="3" t="str" cm="1">
        <f t="array" aca="1" ref="E770" ca="1">_xlfn.IFS(D770="Industrial", "Reinforced Concrete", D770 = "Commercial", CHOOSE(RANDBETWEEN(1, 2), "Reinforced Concrete", "Unreinforced Masonry"), D770 = "Residential", CHOOSE(RANDBETWEEN(1, 3), "Reinforced Concrete", "Unreinforced Masonry", "Adobe / Light Timber"))</f>
        <v>Unreinforced Masonry</v>
      </c>
      <c r="F770" s="3">
        <f t="shared" ca="1" si="80"/>
        <v>2018</v>
      </c>
      <c r="G770" s="3">
        <f t="shared" ca="1" si="81"/>
        <v>4</v>
      </c>
      <c r="H770" s="2">
        <f t="shared" ca="1" si="82"/>
        <v>0</v>
      </c>
      <c r="I770" s="4">
        <f t="shared" ca="1" si="83"/>
        <v>7142986</v>
      </c>
    </row>
    <row r="771" spans="1:9">
      <c r="A771" s="1">
        <v>10000770</v>
      </c>
      <c r="B771" s="3" t="str">
        <f t="shared" ref="B771:B834" ca="1" si="84">CHOOSE(RANDBETWEEN(1, 6),"South 24 Parganas", "Malda", "Jalpaiguri","Kolkata","Hooghly","Paschim Medinipur")</f>
        <v>South 24 Parganas</v>
      </c>
      <c r="C771" s="3" t="str">
        <f t="shared" ref="C771:C834" ca="1" si="85">IF(OR(B771 = "South 24 Parganas", B771 = "Malda", B771 = "Jalpaiguri"), "High Risk", "Moderate Risk")</f>
        <v>High Risk</v>
      </c>
      <c r="D771" s="3" t="str">
        <f t="shared" ref="D771:D834" ca="1" si="86">CHOOSE(RANDBETWEEN(1, 3), "Residential","Commercial","Industrial")</f>
        <v>Commercial</v>
      </c>
      <c r="E771" s="3" t="str" cm="1">
        <f t="array" aca="1" ref="E771" ca="1">_xlfn.IFS(D771="Industrial", "Reinforced Concrete", D771 = "Commercial", CHOOSE(RANDBETWEEN(1, 2), "Reinforced Concrete", "Unreinforced Masonry"), D771 = "Residential", CHOOSE(RANDBETWEEN(1, 3), "Reinforced Concrete", "Unreinforced Masonry", "Adobe / Light Timber"))</f>
        <v>Reinforced Concrete</v>
      </c>
      <c r="F771" s="3">
        <f t="shared" ref="F771:F834" ca="1" si="87">RANDBETWEEN(1980, 2024)</f>
        <v>2023</v>
      </c>
      <c r="G771" s="3">
        <f t="shared" ref="G771:G834" ca="1" si="88">IF(E771 = "Adobe / Light Timber", 1, RANDBETWEEN(1, 5))</f>
        <v>1</v>
      </c>
      <c r="H771" s="2">
        <f t="shared" ref="H771:H834" ca="1" si="89">IF(E771="Reinforced Concrete",RANDBETWEEN(3, 5),RANDBETWEEN(0,2))</f>
        <v>5</v>
      </c>
      <c r="I771" s="4">
        <f t="shared" ref="I771:I834" ca="1" si="90">MAX(200000, _xlfn.IFS(D771 = "Industrial", ROUND(_xlfn.NORM.INV(RAND(), 50000000, 10000000), 0), D771 = "Commercial",ROUND(_xlfn.NORM.INV(RAND(), 15000000, 5000000), 0),E771 = "Adobe / Light Timber", ROUND(_xlfn.NORM.INV(RAND(), 500000, 100000), 0),TRUE, ROUND(_xlfn.NORM.INV(RAND(), 4000000, 1500000), 0)))</f>
        <v>20059023</v>
      </c>
    </row>
    <row r="772" spans="1:9">
      <c r="A772" s="1">
        <v>10000771</v>
      </c>
      <c r="B772" s="3" t="str">
        <f t="shared" ca="1" si="84"/>
        <v>Kolkata</v>
      </c>
      <c r="C772" s="3" t="str">
        <f t="shared" ca="1" si="85"/>
        <v>Moderate Risk</v>
      </c>
      <c r="D772" s="3" t="str">
        <f t="shared" ca="1" si="86"/>
        <v>Residential</v>
      </c>
      <c r="E772" s="3" t="str" cm="1">
        <f t="array" aca="1" ref="E772" ca="1">_xlfn.IFS(D772="Industrial", "Reinforced Concrete", D772 = "Commercial", CHOOSE(RANDBETWEEN(1, 2), "Reinforced Concrete", "Unreinforced Masonry"), D772 = "Residential", CHOOSE(RANDBETWEEN(1, 3), "Reinforced Concrete", "Unreinforced Masonry", "Adobe / Light Timber"))</f>
        <v>Adobe / Light Timber</v>
      </c>
      <c r="F772" s="3">
        <f t="shared" ca="1" si="87"/>
        <v>2013</v>
      </c>
      <c r="G772" s="3">
        <f t="shared" ca="1" si="88"/>
        <v>1</v>
      </c>
      <c r="H772" s="2">
        <f t="shared" ca="1" si="89"/>
        <v>0</v>
      </c>
      <c r="I772" s="4">
        <f t="shared" ca="1" si="90"/>
        <v>631586</v>
      </c>
    </row>
    <row r="773" spans="1:9">
      <c r="A773" s="1">
        <v>10000772</v>
      </c>
      <c r="B773" s="3" t="str">
        <f t="shared" ca="1" si="84"/>
        <v>Jalpaiguri</v>
      </c>
      <c r="C773" s="3" t="str">
        <f t="shared" ca="1" si="85"/>
        <v>High Risk</v>
      </c>
      <c r="D773" s="3" t="str">
        <f t="shared" ca="1" si="86"/>
        <v>Residential</v>
      </c>
      <c r="E773" s="3" t="str" cm="1">
        <f t="array" aca="1" ref="E773" ca="1">_xlfn.IFS(D773="Industrial", "Reinforced Concrete", D773 = "Commercial", CHOOSE(RANDBETWEEN(1, 2), "Reinforced Concrete", "Unreinforced Masonry"), D773 = "Residential", CHOOSE(RANDBETWEEN(1, 3), "Reinforced Concrete", "Unreinforced Masonry", "Adobe / Light Timber"))</f>
        <v>Unreinforced Masonry</v>
      </c>
      <c r="F773" s="3">
        <f t="shared" ca="1" si="87"/>
        <v>1988</v>
      </c>
      <c r="G773" s="3">
        <f t="shared" ca="1" si="88"/>
        <v>4</v>
      </c>
      <c r="H773" s="2">
        <f t="shared" ca="1" si="89"/>
        <v>1</v>
      </c>
      <c r="I773" s="4">
        <f t="shared" ca="1" si="90"/>
        <v>5147514</v>
      </c>
    </row>
    <row r="774" spans="1:9">
      <c r="A774" s="1">
        <v>10000773</v>
      </c>
      <c r="B774" s="3" t="str">
        <f t="shared" ca="1" si="84"/>
        <v>Paschim Medinipur</v>
      </c>
      <c r="C774" s="3" t="str">
        <f t="shared" ca="1" si="85"/>
        <v>Moderate Risk</v>
      </c>
      <c r="D774" s="3" t="str">
        <f t="shared" ca="1" si="86"/>
        <v>Industrial</v>
      </c>
      <c r="E774" s="3" t="str" cm="1">
        <f t="array" aca="1" ref="E774" ca="1">_xlfn.IFS(D774="Industrial", "Reinforced Concrete", D774 = "Commercial", CHOOSE(RANDBETWEEN(1, 2), "Reinforced Concrete", "Unreinforced Masonry"), D774 = "Residential", CHOOSE(RANDBETWEEN(1, 3), "Reinforced Concrete", "Unreinforced Masonry", "Adobe / Light Timber"))</f>
        <v>Reinforced Concrete</v>
      </c>
      <c r="F774" s="3">
        <f t="shared" ca="1" si="87"/>
        <v>1994</v>
      </c>
      <c r="G774" s="3">
        <f t="shared" ca="1" si="88"/>
        <v>5</v>
      </c>
      <c r="H774" s="2">
        <f t="shared" ca="1" si="89"/>
        <v>5</v>
      </c>
      <c r="I774" s="4">
        <f t="shared" ca="1" si="90"/>
        <v>45514849</v>
      </c>
    </row>
    <row r="775" spans="1:9">
      <c r="A775" s="1">
        <v>10000774</v>
      </c>
      <c r="B775" s="3" t="str">
        <f t="shared" ca="1" si="84"/>
        <v>Hooghly</v>
      </c>
      <c r="C775" s="3" t="str">
        <f t="shared" ca="1" si="85"/>
        <v>Moderate Risk</v>
      </c>
      <c r="D775" s="3" t="str">
        <f t="shared" ca="1" si="86"/>
        <v>Residential</v>
      </c>
      <c r="E775" s="3" t="str" cm="1">
        <f t="array" aca="1" ref="E775" ca="1">_xlfn.IFS(D775="Industrial", "Reinforced Concrete", D775 = "Commercial", CHOOSE(RANDBETWEEN(1, 2), "Reinforced Concrete", "Unreinforced Masonry"), D775 = "Residential", CHOOSE(RANDBETWEEN(1, 3), "Reinforced Concrete", "Unreinforced Masonry", "Adobe / Light Timber"))</f>
        <v>Reinforced Concrete</v>
      </c>
      <c r="F775" s="3">
        <f t="shared" ca="1" si="87"/>
        <v>2019</v>
      </c>
      <c r="G775" s="3">
        <f t="shared" ca="1" si="88"/>
        <v>1</v>
      </c>
      <c r="H775" s="2">
        <f t="shared" ca="1" si="89"/>
        <v>4</v>
      </c>
      <c r="I775" s="4">
        <f t="shared" ca="1" si="90"/>
        <v>1962413</v>
      </c>
    </row>
    <row r="776" spans="1:9">
      <c r="A776" s="1">
        <v>10000775</v>
      </c>
      <c r="B776" s="3" t="str">
        <f t="shared" ca="1" si="84"/>
        <v>Hooghly</v>
      </c>
      <c r="C776" s="3" t="str">
        <f t="shared" ca="1" si="85"/>
        <v>Moderate Risk</v>
      </c>
      <c r="D776" s="3" t="str">
        <f t="shared" ca="1" si="86"/>
        <v>Commercial</v>
      </c>
      <c r="E776" s="3" t="str" cm="1">
        <f t="array" aca="1" ref="E776" ca="1">_xlfn.IFS(D776="Industrial", "Reinforced Concrete", D776 = "Commercial", CHOOSE(RANDBETWEEN(1, 2), "Reinforced Concrete", "Unreinforced Masonry"), D776 = "Residential", CHOOSE(RANDBETWEEN(1, 3), "Reinforced Concrete", "Unreinforced Masonry", "Adobe / Light Timber"))</f>
        <v>Unreinforced Masonry</v>
      </c>
      <c r="F776" s="3">
        <f t="shared" ca="1" si="87"/>
        <v>1980</v>
      </c>
      <c r="G776" s="3">
        <f t="shared" ca="1" si="88"/>
        <v>3</v>
      </c>
      <c r="H776" s="2">
        <f t="shared" ca="1" si="89"/>
        <v>2</v>
      </c>
      <c r="I776" s="4">
        <f t="shared" ca="1" si="90"/>
        <v>17107261</v>
      </c>
    </row>
    <row r="777" spans="1:9">
      <c r="A777" s="1">
        <v>10000776</v>
      </c>
      <c r="B777" s="3" t="str">
        <f t="shared" ca="1" si="84"/>
        <v>Paschim Medinipur</v>
      </c>
      <c r="C777" s="3" t="str">
        <f t="shared" ca="1" si="85"/>
        <v>Moderate Risk</v>
      </c>
      <c r="D777" s="3" t="str">
        <f t="shared" ca="1" si="86"/>
        <v>Commercial</v>
      </c>
      <c r="E777" s="3" t="str" cm="1">
        <f t="array" aca="1" ref="E777" ca="1">_xlfn.IFS(D777="Industrial", "Reinforced Concrete", D777 = "Commercial", CHOOSE(RANDBETWEEN(1, 2), "Reinforced Concrete", "Unreinforced Masonry"), D777 = "Residential", CHOOSE(RANDBETWEEN(1, 3), "Reinforced Concrete", "Unreinforced Masonry", "Adobe / Light Timber"))</f>
        <v>Reinforced Concrete</v>
      </c>
      <c r="F777" s="3">
        <f t="shared" ca="1" si="87"/>
        <v>2013</v>
      </c>
      <c r="G777" s="3">
        <f t="shared" ca="1" si="88"/>
        <v>3</v>
      </c>
      <c r="H777" s="2">
        <f t="shared" ca="1" si="89"/>
        <v>3</v>
      </c>
      <c r="I777" s="4">
        <f t="shared" ca="1" si="90"/>
        <v>18058120</v>
      </c>
    </row>
    <row r="778" spans="1:9">
      <c r="A778" s="1">
        <v>10000777</v>
      </c>
      <c r="B778" s="3" t="str">
        <f t="shared" ca="1" si="84"/>
        <v>Jalpaiguri</v>
      </c>
      <c r="C778" s="3" t="str">
        <f t="shared" ca="1" si="85"/>
        <v>High Risk</v>
      </c>
      <c r="D778" s="3" t="str">
        <f t="shared" ca="1" si="86"/>
        <v>Commercial</v>
      </c>
      <c r="E778" s="3" t="str" cm="1">
        <f t="array" aca="1" ref="E778" ca="1">_xlfn.IFS(D778="Industrial", "Reinforced Concrete", D778 = "Commercial", CHOOSE(RANDBETWEEN(1, 2), "Reinforced Concrete", "Unreinforced Masonry"), D778 = "Residential", CHOOSE(RANDBETWEEN(1, 3), "Reinforced Concrete", "Unreinforced Masonry", "Adobe / Light Timber"))</f>
        <v>Unreinforced Masonry</v>
      </c>
      <c r="F778" s="3">
        <f t="shared" ca="1" si="87"/>
        <v>2004</v>
      </c>
      <c r="G778" s="3">
        <f t="shared" ca="1" si="88"/>
        <v>2</v>
      </c>
      <c r="H778" s="2">
        <f t="shared" ca="1" si="89"/>
        <v>0</v>
      </c>
      <c r="I778" s="4">
        <f t="shared" ca="1" si="90"/>
        <v>16409405</v>
      </c>
    </row>
    <row r="779" spans="1:9">
      <c r="A779" s="1">
        <v>10000778</v>
      </c>
      <c r="B779" s="3" t="str">
        <f t="shared" ca="1" si="84"/>
        <v>Malda</v>
      </c>
      <c r="C779" s="3" t="str">
        <f t="shared" ca="1" si="85"/>
        <v>High Risk</v>
      </c>
      <c r="D779" s="3" t="str">
        <f t="shared" ca="1" si="86"/>
        <v>Residential</v>
      </c>
      <c r="E779" s="3" t="str" cm="1">
        <f t="array" aca="1" ref="E779" ca="1">_xlfn.IFS(D779="Industrial", "Reinforced Concrete", D779 = "Commercial", CHOOSE(RANDBETWEEN(1, 2), "Reinforced Concrete", "Unreinforced Masonry"), D779 = "Residential", CHOOSE(RANDBETWEEN(1, 3), "Reinforced Concrete", "Unreinforced Masonry", "Adobe / Light Timber"))</f>
        <v>Adobe / Light Timber</v>
      </c>
      <c r="F779" s="3">
        <f t="shared" ca="1" si="87"/>
        <v>2011</v>
      </c>
      <c r="G779" s="3">
        <f t="shared" ca="1" si="88"/>
        <v>1</v>
      </c>
      <c r="H779" s="2">
        <f t="shared" ca="1" si="89"/>
        <v>2</v>
      </c>
      <c r="I779" s="4">
        <f t="shared" ca="1" si="90"/>
        <v>392390</v>
      </c>
    </row>
    <row r="780" spans="1:9">
      <c r="A780" s="1">
        <v>10000779</v>
      </c>
      <c r="B780" s="3" t="str">
        <f t="shared" ca="1" si="84"/>
        <v>Kolkata</v>
      </c>
      <c r="C780" s="3" t="str">
        <f t="shared" ca="1" si="85"/>
        <v>Moderate Risk</v>
      </c>
      <c r="D780" s="3" t="str">
        <f t="shared" ca="1" si="86"/>
        <v>Residential</v>
      </c>
      <c r="E780" s="3" t="str" cm="1">
        <f t="array" aca="1" ref="E780" ca="1">_xlfn.IFS(D780="Industrial", "Reinforced Concrete", D780 = "Commercial", CHOOSE(RANDBETWEEN(1, 2), "Reinforced Concrete", "Unreinforced Masonry"), D780 = "Residential", CHOOSE(RANDBETWEEN(1, 3), "Reinforced Concrete", "Unreinforced Masonry", "Adobe / Light Timber"))</f>
        <v>Reinforced Concrete</v>
      </c>
      <c r="F780" s="3">
        <f t="shared" ca="1" si="87"/>
        <v>2015</v>
      </c>
      <c r="G780" s="3">
        <f t="shared" ca="1" si="88"/>
        <v>4</v>
      </c>
      <c r="H780" s="2">
        <f t="shared" ca="1" si="89"/>
        <v>4</v>
      </c>
      <c r="I780" s="4">
        <f t="shared" ca="1" si="90"/>
        <v>2546382</v>
      </c>
    </row>
    <row r="781" spans="1:9">
      <c r="A781" s="1">
        <v>10000780</v>
      </c>
      <c r="B781" s="3" t="str">
        <f t="shared" ca="1" si="84"/>
        <v>Hooghly</v>
      </c>
      <c r="C781" s="3" t="str">
        <f t="shared" ca="1" si="85"/>
        <v>Moderate Risk</v>
      </c>
      <c r="D781" s="3" t="str">
        <f t="shared" ca="1" si="86"/>
        <v>Residential</v>
      </c>
      <c r="E781" s="3" t="str" cm="1">
        <f t="array" aca="1" ref="E781" ca="1">_xlfn.IFS(D781="Industrial", "Reinforced Concrete", D781 = "Commercial", CHOOSE(RANDBETWEEN(1, 2), "Reinforced Concrete", "Unreinforced Masonry"), D781 = "Residential", CHOOSE(RANDBETWEEN(1, 3), "Reinforced Concrete", "Unreinforced Masonry", "Adobe / Light Timber"))</f>
        <v>Unreinforced Masonry</v>
      </c>
      <c r="F781" s="3">
        <f t="shared" ca="1" si="87"/>
        <v>1986</v>
      </c>
      <c r="G781" s="3">
        <f t="shared" ca="1" si="88"/>
        <v>3</v>
      </c>
      <c r="H781" s="2">
        <f t="shared" ca="1" si="89"/>
        <v>1</v>
      </c>
      <c r="I781" s="4">
        <f t="shared" ca="1" si="90"/>
        <v>2364026</v>
      </c>
    </row>
    <row r="782" spans="1:9">
      <c r="A782" s="1">
        <v>10000781</v>
      </c>
      <c r="B782" s="3" t="str">
        <f t="shared" ca="1" si="84"/>
        <v>Malda</v>
      </c>
      <c r="C782" s="3" t="str">
        <f t="shared" ca="1" si="85"/>
        <v>High Risk</v>
      </c>
      <c r="D782" s="3" t="str">
        <f t="shared" ca="1" si="86"/>
        <v>Industrial</v>
      </c>
      <c r="E782" s="3" t="str" cm="1">
        <f t="array" aca="1" ref="E782" ca="1">_xlfn.IFS(D782="Industrial", "Reinforced Concrete", D782 = "Commercial", CHOOSE(RANDBETWEEN(1, 2), "Reinforced Concrete", "Unreinforced Masonry"), D782 = "Residential", CHOOSE(RANDBETWEEN(1, 3), "Reinforced Concrete", "Unreinforced Masonry", "Adobe / Light Timber"))</f>
        <v>Reinforced Concrete</v>
      </c>
      <c r="F782" s="3">
        <f t="shared" ca="1" si="87"/>
        <v>2022</v>
      </c>
      <c r="G782" s="3">
        <f t="shared" ca="1" si="88"/>
        <v>3</v>
      </c>
      <c r="H782" s="2">
        <f t="shared" ca="1" si="89"/>
        <v>5</v>
      </c>
      <c r="I782" s="4">
        <f t="shared" ca="1" si="90"/>
        <v>48266844</v>
      </c>
    </row>
    <row r="783" spans="1:9">
      <c r="A783" s="1">
        <v>10000782</v>
      </c>
      <c r="B783" s="3" t="str">
        <f t="shared" ca="1" si="84"/>
        <v>Jalpaiguri</v>
      </c>
      <c r="C783" s="3" t="str">
        <f t="shared" ca="1" si="85"/>
        <v>High Risk</v>
      </c>
      <c r="D783" s="3" t="str">
        <f t="shared" ca="1" si="86"/>
        <v>Industrial</v>
      </c>
      <c r="E783" s="3" t="str" cm="1">
        <f t="array" aca="1" ref="E783" ca="1">_xlfn.IFS(D783="Industrial", "Reinforced Concrete", D783 = "Commercial", CHOOSE(RANDBETWEEN(1, 2), "Reinforced Concrete", "Unreinforced Masonry"), D783 = "Residential", CHOOSE(RANDBETWEEN(1, 3), "Reinforced Concrete", "Unreinforced Masonry", "Adobe / Light Timber"))</f>
        <v>Reinforced Concrete</v>
      </c>
      <c r="F783" s="3">
        <f t="shared" ca="1" si="87"/>
        <v>1988</v>
      </c>
      <c r="G783" s="3">
        <f t="shared" ca="1" si="88"/>
        <v>5</v>
      </c>
      <c r="H783" s="2">
        <f t="shared" ca="1" si="89"/>
        <v>5</v>
      </c>
      <c r="I783" s="4">
        <f t="shared" ca="1" si="90"/>
        <v>56258604</v>
      </c>
    </row>
    <row r="784" spans="1:9">
      <c r="A784" s="1">
        <v>10000783</v>
      </c>
      <c r="B784" s="3" t="str">
        <f t="shared" ca="1" si="84"/>
        <v>Paschim Medinipur</v>
      </c>
      <c r="C784" s="3" t="str">
        <f t="shared" ca="1" si="85"/>
        <v>Moderate Risk</v>
      </c>
      <c r="D784" s="3" t="str">
        <f t="shared" ca="1" si="86"/>
        <v>Industrial</v>
      </c>
      <c r="E784" s="3" t="str" cm="1">
        <f t="array" aca="1" ref="E784" ca="1">_xlfn.IFS(D784="Industrial", "Reinforced Concrete", D784 = "Commercial", CHOOSE(RANDBETWEEN(1, 2), "Reinforced Concrete", "Unreinforced Masonry"), D784 = "Residential", CHOOSE(RANDBETWEEN(1, 3), "Reinforced Concrete", "Unreinforced Masonry", "Adobe / Light Timber"))</f>
        <v>Reinforced Concrete</v>
      </c>
      <c r="F784" s="3">
        <f t="shared" ca="1" si="87"/>
        <v>1994</v>
      </c>
      <c r="G784" s="3">
        <f t="shared" ca="1" si="88"/>
        <v>3</v>
      </c>
      <c r="H784" s="2">
        <f t="shared" ca="1" si="89"/>
        <v>4</v>
      </c>
      <c r="I784" s="4">
        <f t="shared" ca="1" si="90"/>
        <v>65862061</v>
      </c>
    </row>
    <row r="785" spans="1:9">
      <c r="A785" s="1">
        <v>10000784</v>
      </c>
      <c r="B785" s="3" t="str">
        <f t="shared" ca="1" si="84"/>
        <v>Paschim Medinipur</v>
      </c>
      <c r="C785" s="3" t="str">
        <f t="shared" ca="1" si="85"/>
        <v>Moderate Risk</v>
      </c>
      <c r="D785" s="3" t="str">
        <f t="shared" ca="1" si="86"/>
        <v>Industrial</v>
      </c>
      <c r="E785" s="3" t="str" cm="1">
        <f t="array" aca="1" ref="E785" ca="1">_xlfn.IFS(D785="Industrial", "Reinforced Concrete", D785 = "Commercial", CHOOSE(RANDBETWEEN(1, 2), "Reinforced Concrete", "Unreinforced Masonry"), D785 = "Residential", CHOOSE(RANDBETWEEN(1, 3), "Reinforced Concrete", "Unreinforced Masonry", "Adobe / Light Timber"))</f>
        <v>Reinforced Concrete</v>
      </c>
      <c r="F785" s="3">
        <f t="shared" ca="1" si="87"/>
        <v>1991</v>
      </c>
      <c r="G785" s="3">
        <f t="shared" ca="1" si="88"/>
        <v>4</v>
      </c>
      <c r="H785" s="2">
        <f t="shared" ca="1" si="89"/>
        <v>4</v>
      </c>
      <c r="I785" s="4">
        <f t="shared" ca="1" si="90"/>
        <v>39727690</v>
      </c>
    </row>
    <row r="786" spans="1:9">
      <c r="A786" s="1">
        <v>10000785</v>
      </c>
      <c r="B786" s="3" t="str">
        <f t="shared" ca="1" si="84"/>
        <v>Kolkata</v>
      </c>
      <c r="C786" s="3" t="str">
        <f t="shared" ca="1" si="85"/>
        <v>Moderate Risk</v>
      </c>
      <c r="D786" s="3" t="str">
        <f t="shared" ca="1" si="86"/>
        <v>Residential</v>
      </c>
      <c r="E786" s="3" t="str" cm="1">
        <f t="array" aca="1" ref="E786" ca="1">_xlfn.IFS(D786="Industrial", "Reinforced Concrete", D786 = "Commercial", CHOOSE(RANDBETWEEN(1, 2), "Reinforced Concrete", "Unreinforced Masonry"), D786 = "Residential", CHOOSE(RANDBETWEEN(1, 3), "Reinforced Concrete", "Unreinforced Masonry", "Adobe / Light Timber"))</f>
        <v>Unreinforced Masonry</v>
      </c>
      <c r="F786" s="3">
        <f t="shared" ca="1" si="87"/>
        <v>1992</v>
      </c>
      <c r="G786" s="3">
        <f t="shared" ca="1" si="88"/>
        <v>3</v>
      </c>
      <c r="H786" s="2">
        <f t="shared" ca="1" si="89"/>
        <v>2</v>
      </c>
      <c r="I786" s="4">
        <f t="shared" ca="1" si="90"/>
        <v>5762994</v>
      </c>
    </row>
    <row r="787" spans="1:9">
      <c r="A787" s="1">
        <v>10000786</v>
      </c>
      <c r="B787" s="3" t="str">
        <f t="shared" ca="1" si="84"/>
        <v>Malda</v>
      </c>
      <c r="C787" s="3" t="str">
        <f t="shared" ca="1" si="85"/>
        <v>High Risk</v>
      </c>
      <c r="D787" s="3" t="str">
        <f t="shared" ca="1" si="86"/>
        <v>Residential</v>
      </c>
      <c r="E787" s="3" t="str" cm="1">
        <f t="array" aca="1" ref="E787" ca="1">_xlfn.IFS(D787="Industrial", "Reinforced Concrete", D787 = "Commercial", CHOOSE(RANDBETWEEN(1, 2), "Reinforced Concrete", "Unreinforced Masonry"), D787 = "Residential", CHOOSE(RANDBETWEEN(1, 3), "Reinforced Concrete", "Unreinforced Masonry", "Adobe / Light Timber"))</f>
        <v>Reinforced Concrete</v>
      </c>
      <c r="F787" s="3">
        <f t="shared" ca="1" si="87"/>
        <v>1983</v>
      </c>
      <c r="G787" s="3">
        <f t="shared" ca="1" si="88"/>
        <v>3</v>
      </c>
      <c r="H787" s="2">
        <f t="shared" ca="1" si="89"/>
        <v>3</v>
      </c>
      <c r="I787" s="4">
        <f t="shared" ca="1" si="90"/>
        <v>4370935</v>
      </c>
    </row>
    <row r="788" spans="1:9">
      <c r="A788" s="1">
        <v>10000787</v>
      </c>
      <c r="B788" s="3" t="str">
        <f t="shared" ca="1" si="84"/>
        <v>Kolkata</v>
      </c>
      <c r="C788" s="3" t="str">
        <f t="shared" ca="1" si="85"/>
        <v>Moderate Risk</v>
      </c>
      <c r="D788" s="3" t="str">
        <f t="shared" ca="1" si="86"/>
        <v>Commercial</v>
      </c>
      <c r="E788" s="3" t="str" cm="1">
        <f t="array" aca="1" ref="E788" ca="1">_xlfn.IFS(D788="Industrial", "Reinforced Concrete", D788 = "Commercial", CHOOSE(RANDBETWEEN(1, 2), "Reinforced Concrete", "Unreinforced Masonry"), D788 = "Residential", CHOOSE(RANDBETWEEN(1, 3), "Reinforced Concrete", "Unreinforced Masonry", "Adobe / Light Timber"))</f>
        <v>Reinforced Concrete</v>
      </c>
      <c r="F788" s="3">
        <f t="shared" ca="1" si="87"/>
        <v>1980</v>
      </c>
      <c r="G788" s="3">
        <f t="shared" ca="1" si="88"/>
        <v>1</v>
      </c>
      <c r="H788" s="2">
        <f t="shared" ca="1" si="89"/>
        <v>3</v>
      </c>
      <c r="I788" s="4">
        <f t="shared" ca="1" si="90"/>
        <v>13738909</v>
      </c>
    </row>
    <row r="789" spans="1:9">
      <c r="A789" s="1">
        <v>10000788</v>
      </c>
      <c r="B789" s="3" t="str">
        <f t="shared" ca="1" si="84"/>
        <v>Kolkata</v>
      </c>
      <c r="C789" s="3" t="str">
        <f t="shared" ca="1" si="85"/>
        <v>Moderate Risk</v>
      </c>
      <c r="D789" s="3" t="str">
        <f t="shared" ca="1" si="86"/>
        <v>Commercial</v>
      </c>
      <c r="E789" s="3" t="str" cm="1">
        <f t="array" aca="1" ref="E789" ca="1">_xlfn.IFS(D789="Industrial", "Reinforced Concrete", D789 = "Commercial", CHOOSE(RANDBETWEEN(1, 2), "Reinforced Concrete", "Unreinforced Masonry"), D789 = "Residential", CHOOSE(RANDBETWEEN(1, 3), "Reinforced Concrete", "Unreinforced Masonry", "Adobe / Light Timber"))</f>
        <v>Reinforced Concrete</v>
      </c>
      <c r="F789" s="3">
        <f t="shared" ca="1" si="87"/>
        <v>1998</v>
      </c>
      <c r="G789" s="3">
        <f t="shared" ca="1" si="88"/>
        <v>2</v>
      </c>
      <c r="H789" s="2">
        <f t="shared" ca="1" si="89"/>
        <v>3</v>
      </c>
      <c r="I789" s="4">
        <f t="shared" ca="1" si="90"/>
        <v>13191485</v>
      </c>
    </row>
    <row r="790" spans="1:9">
      <c r="A790" s="1">
        <v>10000789</v>
      </c>
      <c r="B790" s="3" t="str">
        <f t="shared" ca="1" si="84"/>
        <v>Jalpaiguri</v>
      </c>
      <c r="C790" s="3" t="str">
        <f t="shared" ca="1" si="85"/>
        <v>High Risk</v>
      </c>
      <c r="D790" s="3" t="str">
        <f t="shared" ca="1" si="86"/>
        <v>Residential</v>
      </c>
      <c r="E790" s="3" t="str" cm="1">
        <f t="array" aca="1" ref="E790" ca="1">_xlfn.IFS(D790="Industrial", "Reinforced Concrete", D790 = "Commercial", CHOOSE(RANDBETWEEN(1, 2), "Reinforced Concrete", "Unreinforced Masonry"), D790 = "Residential", CHOOSE(RANDBETWEEN(1, 3), "Reinforced Concrete", "Unreinforced Masonry", "Adobe / Light Timber"))</f>
        <v>Reinforced Concrete</v>
      </c>
      <c r="F790" s="3">
        <f t="shared" ca="1" si="87"/>
        <v>2004</v>
      </c>
      <c r="G790" s="3">
        <f t="shared" ca="1" si="88"/>
        <v>1</v>
      </c>
      <c r="H790" s="2">
        <f t="shared" ca="1" si="89"/>
        <v>3</v>
      </c>
      <c r="I790" s="4">
        <f t="shared" ca="1" si="90"/>
        <v>2977107</v>
      </c>
    </row>
    <row r="791" spans="1:9">
      <c r="A791" s="1">
        <v>10000790</v>
      </c>
      <c r="B791" s="3" t="str">
        <f t="shared" ca="1" si="84"/>
        <v>Malda</v>
      </c>
      <c r="C791" s="3" t="str">
        <f t="shared" ca="1" si="85"/>
        <v>High Risk</v>
      </c>
      <c r="D791" s="3" t="str">
        <f t="shared" ca="1" si="86"/>
        <v>Residential</v>
      </c>
      <c r="E791" s="3" t="str" cm="1">
        <f t="array" aca="1" ref="E791" ca="1">_xlfn.IFS(D791="Industrial", "Reinforced Concrete", D791 = "Commercial", CHOOSE(RANDBETWEEN(1, 2), "Reinforced Concrete", "Unreinforced Masonry"), D791 = "Residential", CHOOSE(RANDBETWEEN(1, 3), "Reinforced Concrete", "Unreinforced Masonry", "Adobe / Light Timber"))</f>
        <v>Unreinforced Masonry</v>
      </c>
      <c r="F791" s="3">
        <f t="shared" ca="1" si="87"/>
        <v>2009</v>
      </c>
      <c r="G791" s="3">
        <f t="shared" ca="1" si="88"/>
        <v>5</v>
      </c>
      <c r="H791" s="2">
        <f t="shared" ca="1" si="89"/>
        <v>1</v>
      </c>
      <c r="I791" s="4">
        <f t="shared" ca="1" si="90"/>
        <v>4904996</v>
      </c>
    </row>
    <row r="792" spans="1:9">
      <c r="A792" s="1">
        <v>10000791</v>
      </c>
      <c r="B792" s="3" t="str">
        <f t="shared" ca="1" si="84"/>
        <v>Hooghly</v>
      </c>
      <c r="C792" s="3" t="str">
        <f t="shared" ca="1" si="85"/>
        <v>Moderate Risk</v>
      </c>
      <c r="D792" s="3" t="str">
        <f t="shared" ca="1" si="86"/>
        <v>Commercial</v>
      </c>
      <c r="E792" s="3" t="str" cm="1">
        <f t="array" aca="1" ref="E792" ca="1">_xlfn.IFS(D792="Industrial", "Reinforced Concrete", D792 = "Commercial", CHOOSE(RANDBETWEEN(1, 2), "Reinforced Concrete", "Unreinforced Masonry"), D792 = "Residential", CHOOSE(RANDBETWEEN(1, 3), "Reinforced Concrete", "Unreinforced Masonry", "Adobe / Light Timber"))</f>
        <v>Reinforced Concrete</v>
      </c>
      <c r="F792" s="3">
        <f t="shared" ca="1" si="87"/>
        <v>1995</v>
      </c>
      <c r="G792" s="3">
        <f t="shared" ca="1" si="88"/>
        <v>1</v>
      </c>
      <c r="H792" s="2">
        <f t="shared" ca="1" si="89"/>
        <v>5</v>
      </c>
      <c r="I792" s="4">
        <f t="shared" ca="1" si="90"/>
        <v>15268863</v>
      </c>
    </row>
    <row r="793" spans="1:9">
      <c r="A793" s="1">
        <v>10000792</v>
      </c>
      <c r="B793" s="3" t="str">
        <f t="shared" ca="1" si="84"/>
        <v>Kolkata</v>
      </c>
      <c r="C793" s="3" t="str">
        <f t="shared" ca="1" si="85"/>
        <v>Moderate Risk</v>
      </c>
      <c r="D793" s="3" t="str">
        <f t="shared" ca="1" si="86"/>
        <v>Residential</v>
      </c>
      <c r="E793" s="3" t="str" cm="1">
        <f t="array" aca="1" ref="E793" ca="1">_xlfn.IFS(D793="Industrial", "Reinforced Concrete", D793 = "Commercial", CHOOSE(RANDBETWEEN(1, 2), "Reinforced Concrete", "Unreinforced Masonry"), D793 = "Residential", CHOOSE(RANDBETWEEN(1, 3), "Reinforced Concrete", "Unreinforced Masonry", "Adobe / Light Timber"))</f>
        <v>Unreinforced Masonry</v>
      </c>
      <c r="F793" s="3">
        <f t="shared" ca="1" si="87"/>
        <v>1996</v>
      </c>
      <c r="G793" s="3">
        <f t="shared" ca="1" si="88"/>
        <v>5</v>
      </c>
      <c r="H793" s="2">
        <f t="shared" ca="1" si="89"/>
        <v>1</v>
      </c>
      <c r="I793" s="4">
        <f t="shared" ca="1" si="90"/>
        <v>5757846</v>
      </c>
    </row>
    <row r="794" spans="1:9">
      <c r="A794" s="1">
        <v>10000793</v>
      </c>
      <c r="B794" s="3" t="str">
        <f t="shared" ca="1" si="84"/>
        <v>Paschim Medinipur</v>
      </c>
      <c r="C794" s="3" t="str">
        <f t="shared" ca="1" si="85"/>
        <v>Moderate Risk</v>
      </c>
      <c r="D794" s="3" t="str">
        <f t="shared" ca="1" si="86"/>
        <v>Industrial</v>
      </c>
      <c r="E794" s="3" t="str" cm="1">
        <f t="array" aca="1" ref="E794" ca="1">_xlfn.IFS(D794="Industrial", "Reinforced Concrete", D794 = "Commercial", CHOOSE(RANDBETWEEN(1, 2), "Reinforced Concrete", "Unreinforced Masonry"), D794 = "Residential", CHOOSE(RANDBETWEEN(1, 3), "Reinforced Concrete", "Unreinforced Masonry", "Adobe / Light Timber"))</f>
        <v>Reinforced Concrete</v>
      </c>
      <c r="F794" s="3">
        <f t="shared" ca="1" si="87"/>
        <v>2013</v>
      </c>
      <c r="G794" s="3">
        <f t="shared" ca="1" si="88"/>
        <v>5</v>
      </c>
      <c r="H794" s="2">
        <f t="shared" ca="1" si="89"/>
        <v>4</v>
      </c>
      <c r="I794" s="4">
        <f t="shared" ca="1" si="90"/>
        <v>65329714</v>
      </c>
    </row>
    <row r="795" spans="1:9">
      <c r="A795" s="1">
        <v>10000794</v>
      </c>
      <c r="B795" s="3" t="str">
        <f t="shared" ca="1" si="84"/>
        <v>Malda</v>
      </c>
      <c r="C795" s="3" t="str">
        <f t="shared" ca="1" si="85"/>
        <v>High Risk</v>
      </c>
      <c r="D795" s="3" t="str">
        <f t="shared" ca="1" si="86"/>
        <v>Commercial</v>
      </c>
      <c r="E795" s="3" t="str" cm="1">
        <f t="array" aca="1" ref="E795" ca="1">_xlfn.IFS(D795="Industrial", "Reinforced Concrete", D795 = "Commercial", CHOOSE(RANDBETWEEN(1, 2), "Reinforced Concrete", "Unreinforced Masonry"), D795 = "Residential", CHOOSE(RANDBETWEEN(1, 3), "Reinforced Concrete", "Unreinforced Masonry", "Adobe / Light Timber"))</f>
        <v>Reinforced Concrete</v>
      </c>
      <c r="F795" s="3">
        <f t="shared" ca="1" si="87"/>
        <v>2008</v>
      </c>
      <c r="G795" s="3">
        <f t="shared" ca="1" si="88"/>
        <v>3</v>
      </c>
      <c r="H795" s="2">
        <f t="shared" ca="1" si="89"/>
        <v>5</v>
      </c>
      <c r="I795" s="4">
        <f t="shared" ca="1" si="90"/>
        <v>18150032</v>
      </c>
    </row>
    <row r="796" spans="1:9">
      <c r="A796" s="1">
        <v>10000795</v>
      </c>
      <c r="B796" s="3" t="str">
        <f t="shared" ca="1" si="84"/>
        <v>Hooghly</v>
      </c>
      <c r="C796" s="3" t="str">
        <f t="shared" ca="1" si="85"/>
        <v>Moderate Risk</v>
      </c>
      <c r="D796" s="3" t="str">
        <f t="shared" ca="1" si="86"/>
        <v>Industrial</v>
      </c>
      <c r="E796" s="3" t="str" cm="1">
        <f t="array" aca="1" ref="E796" ca="1">_xlfn.IFS(D796="Industrial", "Reinforced Concrete", D796 = "Commercial", CHOOSE(RANDBETWEEN(1, 2), "Reinforced Concrete", "Unreinforced Masonry"), D796 = "Residential", CHOOSE(RANDBETWEEN(1, 3), "Reinforced Concrete", "Unreinforced Masonry", "Adobe / Light Timber"))</f>
        <v>Reinforced Concrete</v>
      </c>
      <c r="F796" s="3">
        <f t="shared" ca="1" si="87"/>
        <v>2008</v>
      </c>
      <c r="G796" s="3">
        <f t="shared" ca="1" si="88"/>
        <v>2</v>
      </c>
      <c r="H796" s="2">
        <f t="shared" ca="1" si="89"/>
        <v>3</v>
      </c>
      <c r="I796" s="4">
        <f t="shared" ca="1" si="90"/>
        <v>44899356</v>
      </c>
    </row>
    <row r="797" spans="1:9">
      <c r="A797" s="1">
        <v>10000796</v>
      </c>
      <c r="B797" s="3" t="str">
        <f t="shared" ca="1" si="84"/>
        <v>Malda</v>
      </c>
      <c r="C797" s="3" t="str">
        <f t="shared" ca="1" si="85"/>
        <v>High Risk</v>
      </c>
      <c r="D797" s="3" t="str">
        <f t="shared" ca="1" si="86"/>
        <v>Commercial</v>
      </c>
      <c r="E797" s="3" t="str" cm="1">
        <f t="array" aca="1" ref="E797" ca="1">_xlfn.IFS(D797="Industrial", "Reinforced Concrete", D797 = "Commercial", CHOOSE(RANDBETWEEN(1, 2), "Reinforced Concrete", "Unreinforced Masonry"), D797 = "Residential", CHOOSE(RANDBETWEEN(1, 3), "Reinforced Concrete", "Unreinforced Masonry", "Adobe / Light Timber"))</f>
        <v>Reinforced Concrete</v>
      </c>
      <c r="F797" s="3">
        <f t="shared" ca="1" si="87"/>
        <v>2014</v>
      </c>
      <c r="G797" s="3">
        <f t="shared" ca="1" si="88"/>
        <v>1</v>
      </c>
      <c r="H797" s="2">
        <f t="shared" ca="1" si="89"/>
        <v>5</v>
      </c>
      <c r="I797" s="4">
        <f t="shared" ca="1" si="90"/>
        <v>6204100</v>
      </c>
    </row>
    <row r="798" spans="1:9">
      <c r="A798" s="1">
        <v>10000797</v>
      </c>
      <c r="B798" s="3" t="str">
        <f t="shared" ca="1" si="84"/>
        <v>Jalpaiguri</v>
      </c>
      <c r="C798" s="3" t="str">
        <f t="shared" ca="1" si="85"/>
        <v>High Risk</v>
      </c>
      <c r="D798" s="3" t="str">
        <f t="shared" ca="1" si="86"/>
        <v>Industrial</v>
      </c>
      <c r="E798" s="3" t="str" cm="1">
        <f t="array" aca="1" ref="E798" ca="1">_xlfn.IFS(D798="Industrial", "Reinforced Concrete", D798 = "Commercial", CHOOSE(RANDBETWEEN(1, 2), "Reinforced Concrete", "Unreinforced Masonry"), D798 = "Residential", CHOOSE(RANDBETWEEN(1, 3), "Reinforced Concrete", "Unreinforced Masonry", "Adobe / Light Timber"))</f>
        <v>Reinforced Concrete</v>
      </c>
      <c r="F798" s="3">
        <f t="shared" ca="1" si="87"/>
        <v>1993</v>
      </c>
      <c r="G798" s="3">
        <f t="shared" ca="1" si="88"/>
        <v>2</v>
      </c>
      <c r="H798" s="2">
        <f t="shared" ca="1" si="89"/>
        <v>4</v>
      </c>
      <c r="I798" s="4">
        <f t="shared" ca="1" si="90"/>
        <v>70369098</v>
      </c>
    </row>
    <row r="799" spans="1:9">
      <c r="A799" s="1">
        <v>10000798</v>
      </c>
      <c r="B799" s="3" t="str">
        <f t="shared" ca="1" si="84"/>
        <v>Paschim Medinipur</v>
      </c>
      <c r="C799" s="3" t="str">
        <f t="shared" ca="1" si="85"/>
        <v>Moderate Risk</v>
      </c>
      <c r="D799" s="3" t="str">
        <f t="shared" ca="1" si="86"/>
        <v>Commercial</v>
      </c>
      <c r="E799" s="3" t="str" cm="1">
        <f t="array" aca="1" ref="E799" ca="1">_xlfn.IFS(D799="Industrial", "Reinforced Concrete", D799 = "Commercial", CHOOSE(RANDBETWEEN(1, 2), "Reinforced Concrete", "Unreinforced Masonry"), D799 = "Residential", CHOOSE(RANDBETWEEN(1, 3), "Reinforced Concrete", "Unreinforced Masonry", "Adobe / Light Timber"))</f>
        <v>Reinforced Concrete</v>
      </c>
      <c r="F799" s="3">
        <f t="shared" ca="1" si="87"/>
        <v>1989</v>
      </c>
      <c r="G799" s="3">
        <f t="shared" ca="1" si="88"/>
        <v>5</v>
      </c>
      <c r="H799" s="2">
        <f t="shared" ca="1" si="89"/>
        <v>5</v>
      </c>
      <c r="I799" s="4">
        <f t="shared" ca="1" si="90"/>
        <v>21858274</v>
      </c>
    </row>
    <row r="800" spans="1:9">
      <c r="A800" s="1">
        <v>10000799</v>
      </c>
      <c r="B800" s="3" t="str">
        <f t="shared" ca="1" si="84"/>
        <v>Kolkata</v>
      </c>
      <c r="C800" s="3" t="str">
        <f t="shared" ca="1" si="85"/>
        <v>Moderate Risk</v>
      </c>
      <c r="D800" s="3" t="str">
        <f t="shared" ca="1" si="86"/>
        <v>Industrial</v>
      </c>
      <c r="E800" s="3" t="str" cm="1">
        <f t="array" aca="1" ref="E800" ca="1">_xlfn.IFS(D800="Industrial", "Reinforced Concrete", D800 = "Commercial", CHOOSE(RANDBETWEEN(1, 2), "Reinforced Concrete", "Unreinforced Masonry"), D800 = "Residential", CHOOSE(RANDBETWEEN(1, 3), "Reinforced Concrete", "Unreinforced Masonry", "Adobe / Light Timber"))</f>
        <v>Reinforced Concrete</v>
      </c>
      <c r="F800" s="3">
        <f t="shared" ca="1" si="87"/>
        <v>1990</v>
      </c>
      <c r="G800" s="3">
        <f t="shared" ca="1" si="88"/>
        <v>2</v>
      </c>
      <c r="H800" s="2">
        <f t="shared" ca="1" si="89"/>
        <v>4</v>
      </c>
      <c r="I800" s="4">
        <f t="shared" ca="1" si="90"/>
        <v>36038690</v>
      </c>
    </row>
    <row r="801" spans="1:9">
      <c r="A801" s="1">
        <v>10000800</v>
      </c>
      <c r="B801" s="3" t="str">
        <f t="shared" ca="1" si="84"/>
        <v>Malda</v>
      </c>
      <c r="C801" s="3" t="str">
        <f t="shared" ca="1" si="85"/>
        <v>High Risk</v>
      </c>
      <c r="D801" s="3" t="str">
        <f t="shared" ca="1" si="86"/>
        <v>Commercial</v>
      </c>
      <c r="E801" s="3" t="str" cm="1">
        <f t="array" aca="1" ref="E801" ca="1">_xlfn.IFS(D801="Industrial", "Reinforced Concrete", D801 = "Commercial", CHOOSE(RANDBETWEEN(1, 2), "Reinforced Concrete", "Unreinforced Masonry"), D801 = "Residential", CHOOSE(RANDBETWEEN(1, 3), "Reinforced Concrete", "Unreinforced Masonry", "Adobe / Light Timber"))</f>
        <v>Unreinforced Masonry</v>
      </c>
      <c r="F801" s="3">
        <f t="shared" ca="1" si="87"/>
        <v>2006</v>
      </c>
      <c r="G801" s="3">
        <f t="shared" ca="1" si="88"/>
        <v>3</v>
      </c>
      <c r="H801" s="2">
        <f t="shared" ca="1" si="89"/>
        <v>1</v>
      </c>
      <c r="I801" s="4">
        <f t="shared" ca="1" si="90"/>
        <v>11483967</v>
      </c>
    </row>
    <row r="802" spans="1:9">
      <c r="A802" s="1">
        <v>10000801</v>
      </c>
      <c r="B802" s="3" t="str">
        <f t="shared" ca="1" si="84"/>
        <v>South 24 Parganas</v>
      </c>
      <c r="C802" s="3" t="str">
        <f t="shared" ca="1" si="85"/>
        <v>High Risk</v>
      </c>
      <c r="D802" s="3" t="str">
        <f t="shared" ca="1" si="86"/>
        <v>Residential</v>
      </c>
      <c r="E802" s="3" t="str" cm="1">
        <f t="array" aca="1" ref="E802" ca="1">_xlfn.IFS(D802="Industrial", "Reinforced Concrete", D802 = "Commercial", CHOOSE(RANDBETWEEN(1, 2), "Reinforced Concrete", "Unreinforced Masonry"), D802 = "Residential", CHOOSE(RANDBETWEEN(1, 3), "Reinforced Concrete", "Unreinforced Masonry", "Adobe / Light Timber"))</f>
        <v>Adobe / Light Timber</v>
      </c>
      <c r="F802" s="3">
        <f t="shared" ca="1" si="87"/>
        <v>1981</v>
      </c>
      <c r="G802" s="3">
        <f t="shared" ca="1" si="88"/>
        <v>1</v>
      </c>
      <c r="H802" s="2">
        <f t="shared" ca="1" si="89"/>
        <v>0</v>
      </c>
      <c r="I802" s="4">
        <f t="shared" ca="1" si="90"/>
        <v>594620</v>
      </c>
    </row>
    <row r="803" spans="1:9">
      <c r="A803" s="1">
        <v>10000802</v>
      </c>
      <c r="B803" s="3" t="str">
        <f t="shared" ca="1" si="84"/>
        <v>Hooghly</v>
      </c>
      <c r="C803" s="3" t="str">
        <f t="shared" ca="1" si="85"/>
        <v>Moderate Risk</v>
      </c>
      <c r="D803" s="3" t="str">
        <f t="shared" ca="1" si="86"/>
        <v>Commercial</v>
      </c>
      <c r="E803" s="3" t="str" cm="1">
        <f t="array" aca="1" ref="E803" ca="1">_xlfn.IFS(D803="Industrial", "Reinforced Concrete", D803 = "Commercial", CHOOSE(RANDBETWEEN(1, 2), "Reinforced Concrete", "Unreinforced Masonry"), D803 = "Residential", CHOOSE(RANDBETWEEN(1, 3), "Reinforced Concrete", "Unreinforced Masonry", "Adobe / Light Timber"))</f>
        <v>Reinforced Concrete</v>
      </c>
      <c r="F803" s="3">
        <f t="shared" ca="1" si="87"/>
        <v>1992</v>
      </c>
      <c r="G803" s="3">
        <f t="shared" ca="1" si="88"/>
        <v>4</v>
      </c>
      <c r="H803" s="2">
        <f t="shared" ca="1" si="89"/>
        <v>5</v>
      </c>
      <c r="I803" s="4">
        <f t="shared" ca="1" si="90"/>
        <v>21750652</v>
      </c>
    </row>
    <row r="804" spans="1:9">
      <c r="A804" s="1">
        <v>10000803</v>
      </c>
      <c r="B804" s="3" t="str">
        <f t="shared" ca="1" si="84"/>
        <v>Jalpaiguri</v>
      </c>
      <c r="C804" s="3" t="str">
        <f t="shared" ca="1" si="85"/>
        <v>High Risk</v>
      </c>
      <c r="D804" s="3" t="str">
        <f t="shared" ca="1" si="86"/>
        <v>Industrial</v>
      </c>
      <c r="E804" s="3" t="str" cm="1">
        <f t="array" aca="1" ref="E804" ca="1">_xlfn.IFS(D804="Industrial", "Reinforced Concrete", D804 = "Commercial", CHOOSE(RANDBETWEEN(1, 2), "Reinforced Concrete", "Unreinforced Masonry"), D804 = "Residential", CHOOSE(RANDBETWEEN(1, 3), "Reinforced Concrete", "Unreinforced Masonry", "Adobe / Light Timber"))</f>
        <v>Reinforced Concrete</v>
      </c>
      <c r="F804" s="3">
        <f t="shared" ca="1" si="87"/>
        <v>1986</v>
      </c>
      <c r="G804" s="3">
        <f t="shared" ca="1" si="88"/>
        <v>3</v>
      </c>
      <c r="H804" s="2">
        <f t="shared" ca="1" si="89"/>
        <v>3</v>
      </c>
      <c r="I804" s="4">
        <f t="shared" ca="1" si="90"/>
        <v>64041343</v>
      </c>
    </row>
    <row r="805" spans="1:9">
      <c r="A805" s="1">
        <v>10000804</v>
      </c>
      <c r="B805" s="3" t="str">
        <f t="shared" ca="1" si="84"/>
        <v>Jalpaiguri</v>
      </c>
      <c r="C805" s="3" t="str">
        <f t="shared" ca="1" si="85"/>
        <v>High Risk</v>
      </c>
      <c r="D805" s="3" t="str">
        <f t="shared" ca="1" si="86"/>
        <v>Residential</v>
      </c>
      <c r="E805" s="3" t="str" cm="1">
        <f t="array" aca="1" ref="E805" ca="1">_xlfn.IFS(D805="Industrial", "Reinforced Concrete", D805 = "Commercial", CHOOSE(RANDBETWEEN(1, 2), "Reinforced Concrete", "Unreinforced Masonry"), D805 = "Residential", CHOOSE(RANDBETWEEN(1, 3), "Reinforced Concrete", "Unreinforced Masonry", "Adobe / Light Timber"))</f>
        <v>Reinforced Concrete</v>
      </c>
      <c r="F805" s="3">
        <f t="shared" ca="1" si="87"/>
        <v>2022</v>
      </c>
      <c r="G805" s="3">
        <f t="shared" ca="1" si="88"/>
        <v>4</v>
      </c>
      <c r="H805" s="2">
        <f t="shared" ca="1" si="89"/>
        <v>4</v>
      </c>
      <c r="I805" s="4">
        <f t="shared" ca="1" si="90"/>
        <v>4884165</v>
      </c>
    </row>
    <row r="806" spans="1:9">
      <c r="A806" s="1">
        <v>10000805</v>
      </c>
      <c r="B806" s="3" t="str">
        <f t="shared" ca="1" si="84"/>
        <v>South 24 Parganas</v>
      </c>
      <c r="C806" s="3" t="str">
        <f t="shared" ca="1" si="85"/>
        <v>High Risk</v>
      </c>
      <c r="D806" s="3" t="str">
        <f t="shared" ca="1" si="86"/>
        <v>Commercial</v>
      </c>
      <c r="E806" s="3" t="str" cm="1">
        <f t="array" aca="1" ref="E806" ca="1">_xlfn.IFS(D806="Industrial", "Reinforced Concrete", D806 = "Commercial", CHOOSE(RANDBETWEEN(1, 2), "Reinforced Concrete", "Unreinforced Masonry"), D806 = "Residential", CHOOSE(RANDBETWEEN(1, 3), "Reinforced Concrete", "Unreinforced Masonry", "Adobe / Light Timber"))</f>
        <v>Unreinforced Masonry</v>
      </c>
      <c r="F806" s="3">
        <f t="shared" ca="1" si="87"/>
        <v>1992</v>
      </c>
      <c r="G806" s="3">
        <f t="shared" ca="1" si="88"/>
        <v>3</v>
      </c>
      <c r="H806" s="2">
        <f t="shared" ca="1" si="89"/>
        <v>2</v>
      </c>
      <c r="I806" s="4">
        <f t="shared" ca="1" si="90"/>
        <v>12838010</v>
      </c>
    </row>
    <row r="807" spans="1:9">
      <c r="A807" s="1">
        <v>10000806</v>
      </c>
      <c r="B807" s="3" t="str">
        <f t="shared" ca="1" si="84"/>
        <v>Jalpaiguri</v>
      </c>
      <c r="C807" s="3" t="str">
        <f t="shared" ca="1" si="85"/>
        <v>High Risk</v>
      </c>
      <c r="D807" s="3" t="str">
        <f t="shared" ca="1" si="86"/>
        <v>Residential</v>
      </c>
      <c r="E807" s="3" t="str" cm="1">
        <f t="array" aca="1" ref="E807" ca="1">_xlfn.IFS(D807="Industrial", "Reinforced Concrete", D807 = "Commercial", CHOOSE(RANDBETWEEN(1, 2), "Reinforced Concrete", "Unreinforced Masonry"), D807 = "Residential", CHOOSE(RANDBETWEEN(1, 3), "Reinforced Concrete", "Unreinforced Masonry", "Adobe / Light Timber"))</f>
        <v>Reinforced Concrete</v>
      </c>
      <c r="F807" s="3">
        <f t="shared" ca="1" si="87"/>
        <v>1999</v>
      </c>
      <c r="G807" s="3">
        <f t="shared" ca="1" si="88"/>
        <v>2</v>
      </c>
      <c r="H807" s="2">
        <f t="shared" ca="1" si="89"/>
        <v>3</v>
      </c>
      <c r="I807" s="4">
        <f t="shared" ca="1" si="90"/>
        <v>6475316</v>
      </c>
    </row>
    <row r="808" spans="1:9">
      <c r="A808" s="1">
        <v>10000807</v>
      </c>
      <c r="B808" s="3" t="str">
        <f t="shared" ca="1" si="84"/>
        <v>Malda</v>
      </c>
      <c r="C808" s="3" t="str">
        <f t="shared" ca="1" si="85"/>
        <v>High Risk</v>
      </c>
      <c r="D808" s="3" t="str">
        <f t="shared" ca="1" si="86"/>
        <v>Industrial</v>
      </c>
      <c r="E808" s="3" t="str" cm="1">
        <f t="array" aca="1" ref="E808" ca="1">_xlfn.IFS(D808="Industrial", "Reinforced Concrete", D808 = "Commercial", CHOOSE(RANDBETWEEN(1, 2), "Reinforced Concrete", "Unreinforced Masonry"), D808 = "Residential", CHOOSE(RANDBETWEEN(1, 3), "Reinforced Concrete", "Unreinforced Masonry", "Adobe / Light Timber"))</f>
        <v>Reinforced Concrete</v>
      </c>
      <c r="F808" s="3">
        <f t="shared" ca="1" si="87"/>
        <v>2020</v>
      </c>
      <c r="G808" s="3">
        <f t="shared" ca="1" si="88"/>
        <v>5</v>
      </c>
      <c r="H808" s="2">
        <f t="shared" ca="1" si="89"/>
        <v>4</v>
      </c>
      <c r="I808" s="4">
        <f t="shared" ca="1" si="90"/>
        <v>37195489</v>
      </c>
    </row>
    <row r="809" spans="1:9">
      <c r="A809" s="1">
        <v>10000808</v>
      </c>
      <c r="B809" s="3" t="str">
        <f t="shared" ca="1" si="84"/>
        <v>Kolkata</v>
      </c>
      <c r="C809" s="3" t="str">
        <f t="shared" ca="1" si="85"/>
        <v>Moderate Risk</v>
      </c>
      <c r="D809" s="3" t="str">
        <f t="shared" ca="1" si="86"/>
        <v>Residential</v>
      </c>
      <c r="E809" s="3" t="str" cm="1">
        <f t="array" aca="1" ref="E809" ca="1">_xlfn.IFS(D809="Industrial", "Reinforced Concrete", D809 = "Commercial", CHOOSE(RANDBETWEEN(1, 2), "Reinforced Concrete", "Unreinforced Masonry"), D809 = "Residential", CHOOSE(RANDBETWEEN(1, 3), "Reinforced Concrete", "Unreinforced Masonry", "Adobe / Light Timber"))</f>
        <v>Unreinforced Masonry</v>
      </c>
      <c r="F809" s="3">
        <f t="shared" ca="1" si="87"/>
        <v>1989</v>
      </c>
      <c r="G809" s="3">
        <f t="shared" ca="1" si="88"/>
        <v>1</v>
      </c>
      <c r="H809" s="2">
        <f t="shared" ca="1" si="89"/>
        <v>1</v>
      </c>
      <c r="I809" s="4">
        <f t="shared" ca="1" si="90"/>
        <v>3587962</v>
      </c>
    </row>
    <row r="810" spans="1:9">
      <c r="A810" s="1">
        <v>10000809</v>
      </c>
      <c r="B810" s="3" t="str">
        <f t="shared" ca="1" si="84"/>
        <v>Kolkata</v>
      </c>
      <c r="C810" s="3" t="str">
        <f t="shared" ca="1" si="85"/>
        <v>Moderate Risk</v>
      </c>
      <c r="D810" s="3" t="str">
        <f t="shared" ca="1" si="86"/>
        <v>Industrial</v>
      </c>
      <c r="E810" s="3" t="str" cm="1">
        <f t="array" aca="1" ref="E810" ca="1">_xlfn.IFS(D810="Industrial", "Reinforced Concrete", D810 = "Commercial", CHOOSE(RANDBETWEEN(1, 2), "Reinforced Concrete", "Unreinforced Masonry"), D810 = "Residential", CHOOSE(RANDBETWEEN(1, 3), "Reinforced Concrete", "Unreinforced Masonry", "Adobe / Light Timber"))</f>
        <v>Reinforced Concrete</v>
      </c>
      <c r="F810" s="3">
        <f t="shared" ca="1" si="87"/>
        <v>1998</v>
      </c>
      <c r="G810" s="3">
        <f t="shared" ca="1" si="88"/>
        <v>1</v>
      </c>
      <c r="H810" s="2">
        <f t="shared" ca="1" si="89"/>
        <v>4</v>
      </c>
      <c r="I810" s="4">
        <f t="shared" ca="1" si="90"/>
        <v>39414528</v>
      </c>
    </row>
    <row r="811" spans="1:9">
      <c r="A811" s="1">
        <v>10000810</v>
      </c>
      <c r="B811" s="3" t="str">
        <f t="shared" ca="1" si="84"/>
        <v>Kolkata</v>
      </c>
      <c r="C811" s="3" t="str">
        <f t="shared" ca="1" si="85"/>
        <v>Moderate Risk</v>
      </c>
      <c r="D811" s="3" t="str">
        <f t="shared" ca="1" si="86"/>
        <v>Residential</v>
      </c>
      <c r="E811" s="3" t="str" cm="1">
        <f t="array" aca="1" ref="E811" ca="1">_xlfn.IFS(D811="Industrial", "Reinforced Concrete", D811 = "Commercial", CHOOSE(RANDBETWEEN(1, 2), "Reinforced Concrete", "Unreinforced Masonry"), D811 = "Residential", CHOOSE(RANDBETWEEN(1, 3), "Reinforced Concrete", "Unreinforced Masonry", "Adobe / Light Timber"))</f>
        <v>Reinforced Concrete</v>
      </c>
      <c r="F811" s="3">
        <f t="shared" ca="1" si="87"/>
        <v>2023</v>
      </c>
      <c r="G811" s="3">
        <f t="shared" ca="1" si="88"/>
        <v>1</v>
      </c>
      <c r="H811" s="2">
        <f t="shared" ca="1" si="89"/>
        <v>5</v>
      </c>
      <c r="I811" s="4">
        <f t="shared" ca="1" si="90"/>
        <v>4295507</v>
      </c>
    </row>
    <row r="812" spans="1:9">
      <c r="A812" s="1">
        <v>10000811</v>
      </c>
      <c r="B812" s="3" t="str">
        <f t="shared" ca="1" si="84"/>
        <v>Jalpaiguri</v>
      </c>
      <c r="C812" s="3" t="str">
        <f t="shared" ca="1" si="85"/>
        <v>High Risk</v>
      </c>
      <c r="D812" s="3" t="str">
        <f t="shared" ca="1" si="86"/>
        <v>Commercial</v>
      </c>
      <c r="E812" s="3" t="str" cm="1">
        <f t="array" aca="1" ref="E812" ca="1">_xlfn.IFS(D812="Industrial", "Reinforced Concrete", D812 = "Commercial", CHOOSE(RANDBETWEEN(1, 2), "Reinforced Concrete", "Unreinforced Masonry"), D812 = "Residential", CHOOSE(RANDBETWEEN(1, 3), "Reinforced Concrete", "Unreinforced Masonry", "Adobe / Light Timber"))</f>
        <v>Reinforced Concrete</v>
      </c>
      <c r="F812" s="3">
        <f t="shared" ca="1" si="87"/>
        <v>1987</v>
      </c>
      <c r="G812" s="3">
        <f t="shared" ca="1" si="88"/>
        <v>1</v>
      </c>
      <c r="H812" s="2">
        <f t="shared" ca="1" si="89"/>
        <v>4</v>
      </c>
      <c r="I812" s="4">
        <f t="shared" ca="1" si="90"/>
        <v>20797658</v>
      </c>
    </row>
    <row r="813" spans="1:9">
      <c r="A813" s="1">
        <v>10000812</v>
      </c>
      <c r="B813" s="3" t="str">
        <f t="shared" ca="1" si="84"/>
        <v>Paschim Medinipur</v>
      </c>
      <c r="C813" s="3" t="str">
        <f t="shared" ca="1" si="85"/>
        <v>Moderate Risk</v>
      </c>
      <c r="D813" s="3" t="str">
        <f t="shared" ca="1" si="86"/>
        <v>Residential</v>
      </c>
      <c r="E813" s="3" t="str" cm="1">
        <f t="array" aca="1" ref="E813" ca="1">_xlfn.IFS(D813="Industrial", "Reinforced Concrete", D813 = "Commercial", CHOOSE(RANDBETWEEN(1, 2), "Reinforced Concrete", "Unreinforced Masonry"), D813 = "Residential", CHOOSE(RANDBETWEEN(1, 3), "Reinforced Concrete", "Unreinforced Masonry", "Adobe / Light Timber"))</f>
        <v>Adobe / Light Timber</v>
      </c>
      <c r="F813" s="3">
        <f t="shared" ca="1" si="87"/>
        <v>2014</v>
      </c>
      <c r="G813" s="3">
        <f t="shared" ca="1" si="88"/>
        <v>1</v>
      </c>
      <c r="H813" s="2">
        <f t="shared" ca="1" si="89"/>
        <v>2</v>
      </c>
      <c r="I813" s="4">
        <f t="shared" ca="1" si="90"/>
        <v>490103</v>
      </c>
    </row>
    <row r="814" spans="1:9">
      <c r="A814" s="1">
        <v>10000813</v>
      </c>
      <c r="B814" s="3" t="str">
        <f t="shared" ca="1" si="84"/>
        <v>South 24 Parganas</v>
      </c>
      <c r="C814" s="3" t="str">
        <f t="shared" ca="1" si="85"/>
        <v>High Risk</v>
      </c>
      <c r="D814" s="3" t="str">
        <f t="shared" ca="1" si="86"/>
        <v>Industrial</v>
      </c>
      <c r="E814" s="3" t="str" cm="1">
        <f t="array" aca="1" ref="E814" ca="1">_xlfn.IFS(D814="Industrial", "Reinforced Concrete", D814 = "Commercial", CHOOSE(RANDBETWEEN(1, 2), "Reinforced Concrete", "Unreinforced Masonry"), D814 = "Residential", CHOOSE(RANDBETWEEN(1, 3), "Reinforced Concrete", "Unreinforced Masonry", "Adobe / Light Timber"))</f>
        <v>Reinforced Concrete</v>
      </c>
      <c r="F814" s="3">
        <f t="shared" ca="1" si="87"/>
        <v>1995</v>
      </c>
      <c r="G814" s="3">
        <f t="shared" ca="1" si="88"/>
        <v>1</v>
      </c>
      <c r="H814" s="2">
        <f t="shared" ca="1" si="89"/>
        <v>3</v>
      </c>
      <c r="I814" s="4">
        <f t="shared" ca="1" si="90"/>
        <v>42491095</v>
      </c>
    </row>
    <row r="815" spans="1:9">
      <c r="A815" s="1">
        <v>10000814</v>
      </c>
      <c r="B815" s="3" t="str">
        <f t="shared" ca="1" si="84"/>
        <v>Kolkata</v>
      </c>
      <c r="C815" s="3" t="str">
        <f t="shared" ca="1" si="85"/>
        <v>Moderate Risk</v>
      </c>
      <c r="D815" s="3" t="str">
        <f t="shared" ca="1" si="86"/>
        <v>Industrial</v>
      </c>
      <c r="E815" s="3" t="str" cm="1">
        <f t="array" aca="1" ref="E815" ca="1">_xlfn.IFS(D815="Industrial", "Reinforced Concrete", D815 = "Commercial", CHOOSE(RANDBETWEEN(1, 2), "Reinforced Concrete", "Unreinforced Masonry"), D815 = "Residential", CHOOSE(RANDBETWEEN(1, 3), "Reinforced Concrete", "Unreinforced Masonry", "Adobe / Light Timber"))</f>
        <v>Reinforced Concrete</v>
      </c>
      <c r="F815" s="3">
        <f t="shared" ca="1" si="87"/>
        <v>2016</v>
      </c>
      <c r="G815" s="3">
        <f t="shared" ca="1" si="88"/>
        <v>4</v>
      </c>
      <c r="H815" s="2">
        <f t="shared" ca="1" si="89"/>
        <v>5</v>
      </c>
      <c r="I815" s="4">
        <f t="shared" ca="1" si="90"/>
        <v>52623222</v>
      </c>
    </row>
    <row r="816" spans="1:9">
      <c r="A816" s="1">
        <v>10000815</v>
      </c>
      <c r="B816" s="3" t="str">
        <f t="shared" ca="1" si="84"/>
        <v>Malda</v>
      </c>
      <c r="C816" s="3" t="str">
        <f t="shared" ca="1" si="85"/>
        <v>High Risk</v>
      </c>
      <c r="D816" s="3" t="str">
        <f t="shared" ca="1" si="86"/>
        <v>Industrial</v>
      </c>
      <c r="E816" s="3" t="str" cm="1">
        <f t="array" aca="1" ref="E816" ca="1">_xlfn.IFS(D816="Industrial", "Reinforced Concrete", D816 = "Commercial", CHOOSE(RANDBETWEEN(1, 2), "Reinforced Concrete", "Unreinforced Masonry"), D816 = "Residential", CHOOSE(RANDBETWEEN(1, 3), "Reinforced Concrete", "Unreinforced Masonry", "Adobe / Light Timber"))</f>
        <v>Reinforced Concrete</v>
      </c>
      <c r="F816" s="3">
        <f t="shared" ca="1" si="87"/>
        <v>2007</v>
      </c>
      <c r="G816" s="3">
        <f t="shared" ca="1" si="88"/>
        <v>2</v>
      </c>
      <c r="H816" s="2">
        <f t="shared" ca="1" si="89"/>
        <v>5</v>
      </c>
      <c r="I816" s="4">
        <f t="shared" ca="1" si="90"/>
        <v>60798547</v>
      </c>
    </row>
    <row r="817" spans="1:9">
      <c r="A817" s="1">
        <v>10000816</v>
      </c>
      <c r="B817" s="3" t="str">
        <f t="shared" ca="1" si="84"/>
        <v>South 24 Parganas</v>
      </c>
      <c r="C817" s="3" t="str">
        <f t="shared" ca="1" si="85"/>
        <v>High Risk</v>
      </c>
      <c r="D817" s="3" t="str">
        <f t="shared" ca="1" si="86"/>
        <v>Industrial</v>
      </c>
      <c r="E817" s="3" t="str" cm="1">
        <f t="array" aca="1" ref="E817" ca="1">_xlfn.IFS(D817="Industrial", "Reinforced Concrete", D817 = "Commercial", CHOOSE(RANDBETWEEN(1, 2), "Reinforced Concrete", "Unreinforced Masonry"), D817 = "Residential", CHOOSE(RANDBETWEEN(1, 3), "Reinforced Concrete", "Unreinforced Masonry", "Adobe / Light Timber"))</f>
        <v>Reinforced Concrete</v>
      </c>
      <c r="F817" s="3">
        <f t="shared" ca="1" si="87"/>
        <v>1980</v>
      </c>
      <c r="G817" s="3">
        <f t="shared" ca="1" si="88"/>
        <v>2</v>
      </c>
      <c r="H817" s="2">
        <f t="shared" ca="1" si="89"/>
        <v>4</v>
      </c>
      <c r="I817" s="4">
        <f t="shared" ca="1" si="90"/>
        <v>23914910</v>
      </c>
    </row>
    <row r="818" spans="1:9">
      <c r="A818" s="1">
        <v>10000817</v>
      </c>
      <c r="B818" s="3" t="str">
        <f t="shared" ca="1" si="84"/>
        <v>Malda</v>
      </c>
      <c r="C818" s="3" t="str">
        <f t="shared" ca="1" si="85"/>
        <v>High Risk</v>
      </c>
      <c r="D818" s="3" t="str">
        <f t="shared" ca="1" si="86"/>
        <v>Industrial</v>
      </c>
      <c r="E818" s="3" t="str" cm="1">
        <f t="array" aca="1" ref="E818" ca="1">_xlfn.IFS(D818="Industrial", "Reinforced Concrete", D818 = "Commercial", CHOOSE(RANDBETWEEN(1, 2), "Reinforced Concrete", "Unreinforced Masonry"), D818 = "Residential", CHOOSE(RANDBETWEEN(1, 3), "Reinforced Concrete", "Unreinforced Masonry", "Adobe / Light Timber"))</f>
        <v>Reinforced Concrete</v>
      </c>
      <c r="F818" s="3">
        <f t="shared" ca="1" si="87"/>
        <v>1995</v>
      </c>
      <c r="G818" s="3">
        <f t="shared" ca="1" si="88"/>
        <v>1</v>
      </c>
      <c r="H818" s="2">
        <f t="shared" ca="1" si="89"/>
        <v>3</v>
      </c>
      <c r="I818" s="4">
        <f t="shared" ca="1" si="90"/>
        <v>49521691</v>
      </c>
    </row>
    <row r="819" spans="1:9">
      <c r="A819" s="1">
        <v>10000818</v>
      </c>
      <c r="B819" s="3" t="str">
        <f t="shared" ca="1" si="84"/>
        <v>Kolkata</v>
      </c>
      <c r="C819" s="3" t="str">
        <f t="shared" ca="1" si="85"/>
        <v>Moderate Risk</v>
      </c>
      <c r="D819" s="3" t="str">
        <f t="shared" ca="1" si="86"/>
        <v>Commercial</v>
      </c>
      <c r="E819" s="3" t="str" cm="1">
        <f t="array" aca="1" ref="E819" ca="1">_xlfn.IFS(D819="Industrial", "Reinforced Concrete", D819 = "Commercial", CHOOSE(RANDBETWEEN(1, 2), "Reinforced Concrete", "Unreinforced Masonry"), D819 = "Residential", CHOOSE(RANDBETWEEN(1, 3), "Reinforced Concrete", "Unreinforced Masonry", "Adobe / Light Timber"))</f>
        <v>Reinforced Concrete</v>
      </c>
      <c r="F819" s="3">
        <f t="shared" ca="1" si="87"/>
        <v>2007</v>
      </c>
      <c r="G819" s="3">
        <f t="shared" ca="1" si="88"/>
        <v>1</v>
      </c>
      <c r="H819" s="2">
        <f t="shared" ca="1" si="89"/>
        <v>3</v>
      </c>
      <c r="I819" s="4">
        <f t="shared" ca="1" si="90"/>
        <v>24083081</v>
      </c>
    </row>
    <row r="820" spans="1:9">
      <c r="A820" s="1">
        <v>10000819</v>
      </c>
      <c r="B820" s="3" t="str">
        <f t="shared" ca="1" si="84"/>
        <v>Malda</v>
      </c>
      <c r="C820" s="3" t="str">
        <f t="shared" ca="1" si="85"/>
        <v>High Risk</v>
      </c>
      <c r="D820" s="3" t="str">
        <f t="shared" ca="1" si="86"/>
        <v>Residential</v>
      </c>
      <c r="E820" s="3" t="str" cm="1">
        <f t="array" aca="1" ref="E820" ca="1">_xlfn.IFS(D820="Industrial", "Reinforced Concrete", D820 = "Commercial", CHOOSE(RANDBETWEEN(1, 2), "Reinforced Concrete", "Unreinforced Masonry"), D820 = "Residential", CHOOSE(RANDBETWEEN(1, 3), "Reinforced Concrete", "Unreinforced Masonry", "Adobe / Light Timber"))</f>
        <v>Unreinforced Masonry</v>
      </c>
      <c r="F820" s="3">
        <f t="shared" ca="1" si="87"/>
        <v>2005</v>
      </c>
      <c r="G820" s="3">
        <f t="shared" ca="1" si="88"/>
        <v>4</v>
      </c>
      <c r="H820" s="2">
        <f t="shared" ca="1" si="89"/>
        <v>1</v>
      </c>
      <c r="I820" s="4">
        <f t="shared" ca="1" si="90"/>
        <v>1822031</v>
      </c>
    </row>
    <row r="821" spans="1:9">
      <c r="A821" s="1">
        <v>10000820</v>
      </c>
      <c r="B821" s="3" t="str">
        <f t="shared" ca="1" si="84"/>
        <v>Paschim Medinipur</v>
      </c>
      <c r="C821" s="3" t="str">
        <f t="shared" ca="1" si="85"/>
        <v>Moderate Risk</v>
      </c>
      <c r="D821" s="3" t="str">
        <f t="shared" ca="1" si="86"/>
        <v>Industrial</v>
      </c>
      <c r="E821" s="3" t="str" cm="1">
        <f t="array" aca="1" ref="E821" ca="1">_xlfn.IFS(D821="Industrial", "Reinforced Concrete", D821 = "Commercial", CHOOSE(RANDBETWEEN(1, 2), "Reinforced Concrete", "Unreinforced Masonry"), D821 = "Residential", CHOOSE(RANDBETWEEN(1, 3), "Reinforced Concrete", "Unreinforced Masonry", "Adobe / Light Timber"))</f>
        <v>Reinforced Concrete</v>
      </c>
      <c r="F821" s="3">
        <f t="shared" ca="1" si="87"/>
        <v>2024</v>
      </c>
      <c r="G821" s="3">
        <f t="shared" ca="1" si="88"/>
        <v>5</v>
      </c>
      <c r="H821" s="2">
        <f t="shared" ca="1" si="89"/>
        <v>4</v>
      </c>
      <c r="I821" s="4">
        <f t="shared" ca="1" si="90"/>
        <v>57255554</v>
      </c>
    </row>
    <row r="822" spans="1:9">
      <c r="A822" s="1">
        <v>10000821</v>
      </c>
      <c r="B822" s="3" t="str">
        <f t="shared" ca="1" si="84"/>
        <v>Hooghly</v>
      </c>
      <c r="C822" s="3" t="str">
        <f t="shared" ca="1" si="85"/>
        <v>Moderate Risk</v>
      </c>
      <c r="D822" s="3" t="str">
        <f t="shared" ca="1" si="86"/>
        <v>Commercial</v>
      </c>
      <c r="E822" s="3" t="str" cm="1">
        <f t="array" aca="1" ref="E822" ca="1">_xlfn.IFS(D822="Industrial", "Reinforced Concrete", D822 = "Commercial", CHOOSE(RANDBETWEEN(1, 2), "Reinforced Concrete", "Unreinforced Masonry"), D822 = "Residential", CHOOSE(RANDBETWEEN(1, 3), "Reinforced Concrete", "Unreinforced Masonry", "Adobe / Light Timber"))</f>
        <v>Unreinforced Masonry</v>
      </c>
      <c r="F822" s="3">
        <f t="shared" ca="1" si="87"/>
        <v>1987</v>
      </c>
      <c r="G822" s="3">
        <f t="shared" ca="1" si="88"/>
        <v>2</v>
      </c>
      <c r="H822" s="2">
        <f t="shared" ca="1" si="89"/>
        <v>1</v>
      </c>
      <c r="I822" s="4">
        <f t="shared" ca="1" si="90"/>
        <v>9066273</v>
      </c>
    </row>
    <row r="823" spans="1:9">
      <c r="A823" s="1">
        <v>10000822</v>
      </c>
      <c r="B823" s="3" t="str">
        <f t="shared" ca="1" si="84"/>
        <v>Hooghly</v>
      </c>
      <c r="C823" s="3" t="str">
        <f t="shared" ca="1" si="85"/>
        <v>Moderate Risk</v>
      </c>
      <c r="D823" s="3" t="str">
        <f t="shared" ca="1" si="86"/>
        <v>Industrial</v>
      </c>
      <c r="E823" s="3" t="str" cm="1">
        <f t="array" aca="1" ref="E823" ca="1">_xlfn.IFS(D823="Industrial", "Reinforced Concrete", D823 = "Commercial", CHOOSE(RANDBETWEEN(1, 2), "Reinforced Concrete", "Unreinforced Masonry"), D823 = "Residential", CHOOSE(RANDBETWEEN(1, 3), "Reinforced Concrete", "Unreinforced Masonry", "Adobe / Light Timber"))</f>
        <v>Reinforced Concrete</v>
      </c>
      <c r="F823" s="3">
        <f t="shared" ca="1" si="87"/>
        <v>2012</v>
      </c>
      <c r="G823" s="3">
        <f t="shared" ca="1" si="88"/>
        <v>1</v>
      </c>
      <c r="H823" s="2">
        <f t="shared" ca="1" si="89"/>
        <v>3</v>
      </c>
      <c r="I823" s="4">
        <f t="shared" ca="1" si="90"/>
        <v>56651959</v>
      </c>
    </row>
    <row r="824" spans="1:9">
      <c r="A824" s="1">
        <v>10000823</v>
      </c>
      <c r="B824" s="3" t="str">
        <f t="shared" ca="1" si="84"/>
        <v>Hooghly</v>
      </c>
      <c r="C824" s="3" t="str">
        <f t="shared" ca="1" si="85"/>
        <v>Moderate Risk</v>
      </c>
      <c r="D824" s="3" t="str">
        <f t="shared" ca="1" si="86"/>
        <v>Residential</v>
      </c>
      <c r="E824" s="3" t="str" cm="1">
        <f t="array" aca="1" ref="E824" ca="1">_xlfn.IFS(D824="Industrial", "Reinforced Concrete", D824 = "Commercial", CHOOSE(RANDBETWEEN(1, 2), "Reinforced Concrete", "Unreinforced Masonry"), D824 = "Residential", CHOOSE(RANDBETWEEN(1, 3), "Reinforced Concrete", "Unreinforced Masonry", "Adobe / Light Timber"))</f>
        <v>Reinforced Concrete</v>
      </c>
      <c r="F824" s="3">
        <f t="shared" ca="1" si="87"/>
        <v>2011</v>
      </c>
      <c r="G824" s="3">
        <f t="shared" ca="1" si="88"/>
        <v>1</v>
      </c>
      <c r="H824" s="2">
        <f t="shared" ca="1" si="89"/>
        <v>4</v>
      </c>
      <c r="I824" s="4">
        <f t="shared" ca="1" si="90"/>
        <v>4152813</v>
      </c>
    </row>
    <row r="825" spans="1:9">
      <c r="A825" s="1">
        <v>10000824</v>
      </c>
      <c r="B825" s="3" t="str">
        <f t="shared" ca="1" si="84"/>
        <v>Jalpaiguri</v>
      </c>
      <c r="C825" s="3" t="str">
        <f t="shared" ca="1" si="85"/>
        <v>High Risk</v>
      </c>
      <c r="D825" s="3" t="str">
        <f t="shared" ca="1" si="86"/>
        <v>Commercial</v>
      </c>
      <c r="E825" s="3" t="str" cm="1">
        <f t="array" aca="1" ref="E825" ca="1">_xlfn.IFS(D825="Industrial", "Reinforced Concrete", D825 = "Commercial", CHOOSE(RANDBETWEEN(1, 2), "Reinforced Concrete", "Unreinforced Masonry"), D825 = "Residential", CHOOSE(RANDBETWEEN(1, 3), "Reinforced Concrete", "Unreinforced Masonry", "Adobe / Light Timber"))</f>
        <v>Unreinforced Masonry</v>
      </c>
      <c r="F825" s="3">
        <f t="shared" ca="1" si="87"/>
        <v>2017</v>
      </c>
      <c r="G825" s="3">
        <f t="shared" ca="1" si="88"/>
        <v>4</v>
      </c>
      <c r="H825" s="2">
        <f t="shared" ca="1" si="89"/>
        <v>2</v>
      </c>
      <c r="I825" s="4">
        <f t="shared" ca="1" si="90"/>
        <v>18583390</v>
      </c>
    </row>
    <row r="826" spans="1:9">
      <c r="A826" s="1">
        <v>10000825</v>
      </c>
      <c r="B826" s="3" t="str">
        <f t="shared" ca="1" si="84"/>
        <v>Jalpaiguri</v>
      </c>
      <c r="C826" s="3" t="str">
        <f t="shared" ca="1" si="85"/>
        <v>High Risk</v>
      </c>
      <c r="D826" s="3" t="str">
        <f t="shared" ca="1" si="86"/>
        <v>Commercial</v>
      </c>
      <c r="E826" s="3" t="str" cm="1">
        <f t="array" aca="1" ref="E826" ca="1">_xlfn.IFS(D826="Industrial", "Reinforced Concrete", D826 = "Commercial", CHOOSE(RANDBETWEEN(1, 2), "Reinforced Concrete", "Unreinforced Masonry"), D826 = "Residential", CHOOSE(RANDBETWEEN(1, 3), "Reinforced Concrete", "Unreinforced Masonry", "Adobe / Light Timber"))</f>
        <v>Reinforced Concrete</v>
      </c>
      <c r="F826" s="3">
        <f t="shared" ca="1" si="87"/>
        <v>1994</v>
      </c>
      <c r="G826" s="3">
        <f t="shared" ca="1" si="88"/>
        <v>4</v>
      </c>
      <c r="H826" s="2">
        <f t="shared" ca="1" si="89"/>
        <v>4</v>
      </c>
      <c r="I826" s="4">
        <f t="shared" ca="1" si="90"/>
        <v>6241729</v>
      </c>
    </row>
    <row r="827" spans="1:9">
      <c r="A827" s="1">
        <v>10000826</v>
      </c>
      <c r="B827" s="3" t="str">
        <f t="shared" ca="1" si="84"/>
        <v>South 24 Parganas</v>
      </c>
      <c r="C827" s="3" t="str">
        <f t="shared" ca="1" si="85"/>
        <v>High Risk</v>
      </c>
      <c r="D827" s="3" t="str">
        <f t="shared" ca="1" si="86"/>
        <v>Commercial</v>
      </c>
      <c r="E827" s="3" t="str" cm="1">
        <f t="array" aca="1" ref="E827" ca="1">_xlfn.IFS(D827="Industrial", "Reinforced Concrete", D827 = "Commercial", CHOOSE(RANDBETWEEN(1, 2), "Reinforced Concrete", "Unreinforced Masonry"), D827 = "Residential", CHOOSE(RANDBETWEEN(1, 3), "Reinforced Concrete", "Unreinforced Masonry", "Adobe / Light Timber"))</f>
        <v>Unreinforced Masonry</v>
      </c>
      <c r="F827" s="3">
        <f t="shared" ca="1" si="87"/>
        <v>2017</v>
      </c>
      <c r="G827" s="3">
        <f t="shared" ca="1" si="88"/>
        <v>5</v>
      </c>
      <c r="H827" s="2">
        <f t="shared" ca="1" si="89"/>
        <v>0</v>
      </c>
      <c r="I827" s="4">
        <f t="shared" ca="1" si="90"/>
        <v>15537008</v>
      </c>
    </row>
    <row r="828" spans="1:9">
      <c r="A828" s="1">
        <v>10000827</v>
      </c>
      <c r="B828" s="3" t="str">
        <f t="shared" ca="1" si="84"/>
        <v>Jalpaiguri</v>
      </c>
      <c r="C828" s="3" t="str">
        <f t="shared" ca="1" si="85"/>
        <v>High Risk</v>
      </c>
      <c r="D828" s="3" t="str">
        <f t="shared" ca="1" si="86"/>
        <v>Industrial</v>
      </c>
      <c r="E828" s="3" t="str" cm="1">
        <f t="array" aca="1" ref="E828" ca="1">_xlfn.IFS(D828="Industrial", "Reinforced Concrete", D828 = "Commercial", CHOOSE(RANDBETWEEN(1, 2), "Reinforced Concrete", "Unreinforced Masonry"), D828 = "Residential", CHOOSE(RANDBETWEEN(1, 3), "Reinforced Concrete", "Unreinforced Masonry", "Adobe / Light Timber"))</f>
        <v>Reinforced Concrete</v>
      </c>
      <c r="F828" s="3">
        <f t="shared" ca="1" si="87"/>
        <v>2009</v>
      </c>
      <c r="G828" s="3">
        <f t="shared" ca="1" si="88"/>
        <v>1</v>
      </c>
      <c r="H828" s="2">
        <f t="shared" ca="1" si="89"/>
        <v>4</v>
      </c>
      <c r="I828" s="4">
        <f t="shared" ca="1" si="90"/>
        <v>41374059</v>
      </c>
    </row>
    <row r="829" spans="1:9">
      <c r="A829" s="1">
        <v>10000828</v>
      </c>
      <c r="B829" s="3" t="str">
        <f t="shared" ca="1" si="84"/>
        <v>South 24 Parganas</v>
      </c>
      <c r="C829" s="3" t="str">
        <f t="shared" ca="1" si="85"/>
        <v>High Risk</v>
      </c>
      <c r="D829" s="3" t="str">
        <f t="shared" ca="1" si="86"/>
        <v>Industrial</v>
      </c>
      <c r="E829" s="3" t="str" cm="1">
        <f t="array" aca="1" ref="E829" ca="1">_xlfn.IFS(D829="Industrial", "Reinforced Concrete", D829 = "Commercial", CHOOSE(RANDBETWEEN(1, 2), "Reinforced Concrete", "Unreinforced Masonry"), D829 = "Residential", CHOOSE(RANDBETWEEN(1, 3), "Reinforced Concrete", "Unreinforced Masonry", "Adobe / Light Timber"))</f>
        <v>Reinforced Concrete</v>
      </c>
      <c r="F829" s="3">
        <f t="shared" ca="1" si="87"/>
        <v>1991</v>
      </c>
      <c r="G829" s="3">
        <f t="shared" ca="1" si="88"/>
        <v>5</v>
      </c>
      <c r="H829" s="2">
        <f t="shared" ca="1" si="89"/>
        <v>3</v>
      </c>
      <c r="I829" s="4">
        <f t="shared" ca="1" si="90"/>
        <v>41276973</v>
      </c>
    </row>
    <row r="830" spans="1:9">
      <c r="A830" s="1">
        <v>10000829</v>
      </c>
      <c r="B830" s="3" t="str">
        <f t="shared" ca="1" si="84"/>
        <v>Kolkata</v>
      </c>
      <c r="C830" s="3" t="str">
        <f t="shared" ca="1" si="85"/>
        <v>Moderate Risk</v>
      </c>
      <c r="D830" s="3" t="str">
        <f t="shared" ca="1" si="86"/>
        <v>Residential</v>
      </c>
      <c r="E830" s="3" t="str" cm="1">
        <f t="array" aca="1" ref="E830" ca="1">_xlfn.IFS(D830="Industrial", "Reinforced Concrete", D830 = "Commercial", CHOOSE(RANDBETWEEN(1, 2), "Reinforced Concrete", "Unreinforced Masonry"), D830 = "Residential", CHOOSE(RANDBETWEEN(1, 3), "Reinforced Concrete", "Unreinforced Masonry", "Adobe / Light Timber"))</f>
        <v>Adobe / Light Timber</v>
      </c>
      <c r="F830" s="3">
        <f t="shared" ca="1" si="87"/>
        <v>1994</v>
      </c>
      <c r="G830" s="3">
        <f t="shared" ca="1" si="88"/>
        <v>1</v>
      </c>
      <c r="H830" s="2">
        <f t="shared" ca="1" si="89"/>
        <v>2</v>
      </c>
      <c r="I830" s="4">
        <f t="shared" ca="1" si="90"/>
        <v>602111</v>
      </c>
    </row>
    <row r="831" spans="1:9">
      <c r="A831" s="1">
        <v>10000830</v>
      </c>
      <c r="B831" s="3" t="str">
        <f t="shared" ca="1" si="84"/>
        <v>South 24 Parganas</v>
      </c>
      <c r="C831" s="3" t="str">
        <f t="shared" ca="1" si="85"/>
        <v>High Risk</v>
      </c>
      <c r="D831" s="3" t="str">
        <f t="shared" ca="1" si="86"/>
        <v>Industrial</v>
      </c>
      <c r="E831" s="3" t="str" cm="1">
        <f t="array" aca="1" ref="E831" ca="1">_xlfn.IFS(D831="Industrial", "Reinforced Concrete", D831 = "Commercial", CHOOSE(RANDBETWEEN(1, 2), "Reinforced Concrete", "Unreinforced Masonry"), D831 = "Residential", CHOOSE(RANDBETWEEN(1, 3), "Reinforced Concrete", "Unreinforced Masonry", "Adobe / Light Timber"))</f>
        <v>Reinforced Concrete</v>
      </c>
      <c r="F831" s="3">
        <f t="shared" ca="1" si="87"/>
        <v>2010</v>
      </c>
      <c r="G831" s="3">
        <f t="shared" ca="1" si="88"/>
        <v>2</v>
      </c>
      <c r="H831" s="2">
        <f t="shared" ca="1" si="89"/>
        <v>5</v>
      </c>
      <c r="I831" s="4">
        <f t="shared" ca="1" si="90"/>
        <v>45083807</v>
      </c>
    </row>
    <row r="832" spans="1:9">
      <c r="A832" s="1">
        <v>10000831</v>
      </c>
      <c r="B832" s="3" t="str">
        <f t="shared" ca="1" si="84"/>
        <v>Jalpaiguri</v>
      </c>
      <c r="C832" s="3" t="str">
        <f t="shared" ca="1" si="85"/>
        <v>High Risk</v>
      </c>
      <c r="D832" s="3" t="str">
        <f t="shared" ca="1" si="86"/>
        <v>Industrial</v>
      </c>
      <c r="E832" s="3" t="str" cm="1">
        <f t="array" aca="1" ref="E832" ca="1">_xlfn.IFS(D832="Industrial", "Reinforced Concrete", D832 = "Commercial", CHOOSE(RANDBETWEEN(1, 2), "Reinforced Concrete", "Unreinforced Masonry"), D832 = "Residential", CHOOSE(RANDBETWEEN(1, 3), "Reinforced Concrete", "Unreinforced Masonry", "Adobe / Light Timber"))</f>
        <v>Reinforced Concrete</v>
      </c>
      <c r="F832" s="3">
        <f t="shared" ca="1" si="87"/>
        <v>1999</v>
      </c>
      <c r="G832" s="3">
        <f t="shared" ca="1" si="88"/>
        <v>3</v>
      </c>
      <c r="H832" s="2">
        <f t="shared" ca="1" si="89"/>
        <v>3</v>
      </c>
      <c r="I832" s="4">
        <f t="shared" ca="1" si="90"/>
        <v>60972815</v>
      </c>
    </row>
    <row r="833" spans="1:9">
      <c r="A833" s="1">
        <v>10000832</v>
      </c>
      <c r="B833" s="3" t="str">
        <f t="shared" ca="1" si="84"/>
        <v>Jalpaiguri</v>
      </c>
      <c r="C833" s="3" t="str">
        <f t="shared" ca="1" si="85"/>
        <v>High Risk</v>
      </c>
      <c r="D833" s="3" t="str">
        <f t="shared" ca="1" si="86"/>
        <v>Commercial</v>
      </c>
      <c r="E833" s="3" t="str" cm="1">
        <f t="array" aca="1" ref="E833" ca="1">_xlfn.IFS(D833="Industrial", "Reinforced Concrete", D833 = "Commercial", CHOOSE(RANDBETWEEN(1, 2), "Reinforced Concrete", "Unreinforced Masonry"), D833 = "Residential", CHOOSE(RANDBETWEEN(1, 3), "Reinforced Concrete", "Unreinforced Masonry", "Adobe / Light Timber"))</f>
        <v>Unreinforced Masonry</v>
      </c>
      <c r="F833" s="3">
        <f t="shared" ca="1" si="87"/>
        <v>1982</v>
      </c>
      <c r="G833" s="3">
        <f t="shared" ca="1" si="88"/>
        <v>5</v>
      </c>
      <c r="H833" s="2">
        <f t="shared" ca="1" si="89"/>
        <v>2</v>
      </c>
      <c r="I833" s="4">
        <f t="shared" ca="1" si="90"/>
        <v>11699979</v>
      </c>
    </row>
    <row r="834" spans="1:9">
      <c r="A834" s="1">
        <v>10000833</v>
      </c>
      <c r="B834" s="3" t="str">
        <f t="shared" ca="1" si="84"/>
        <v>Malda</v>
      </c>
      <c r="C834" s="3" t="str">
        <f t="shared" ca="1" si="85"/>
        <v>High Risk</v>
      </c>
      <c r="D834" s="3" t="str">
        <f t="shared" ca="1" si="86"/>
        <v>Industrial</v>
      </c>
      <c r="E834" s="3" t="str" cm="1">
        <f t="array" aca="1" ref="E834" ca="1">_xlfn.IFS(D834="Industrial", "Reinforced Concrete", D834 = "Commercial", CHOOSE(RANDBETWEEN(1, 2), "Reinforced Concrete", "Unreinforced Masonry"), D834 = "Residential", CHOOSE(RANDBETWEEN(1, 3), "Reinforced Concrete", "Unreinforced Masonry", "Adobe / Light Timber"))</f>
        <v>Reinforced Concrete</v>
      </c>
      <c r="F834" s="3">
        <f t="shared" ca="1" si="87"/>
        <v>1989</v>
      </c>
      <c r="G834" s="3">
        <f t="shared" ca="1" si="88"/>
        <v>2</v>
      </c>
      <c r="H834" s="2">
        <f t="shared" ca="1" si="89"/>
        <v>5</v>
      </c>
      <c r="I834" s="4">
        <f t="shared" ca="1" si="90"/>
        <v>43861241</v>
      </c>
    </row>
    <row r="835" spans="1:9">
      <c r="A835" s="1">
        <v>10000834</v>
      </c>
      <c r="B835" s="3" t="str">
        <f t="shared" ref="B835:B898" ca="1" si="91">CHOOSE(RANDBETWEEN(1, 6),"South 24 Parganas", "Malda", "Jalpaiguri","Kolkata","Hooghly","Paschim Medinipur")</f>
        <v>Hooghly</v>
      </c>
      <c r="C835" s="3" t="str">
        <f t="shared" ref="C835:C898" ca="1" si="92">IF(OR(B835 = "South 24 Parganas", B835 = "Malda", B835 = "Jalpaiguri"), "High Risk", "Moderate Risk")</f>
        <v>Moderate Risk</v>
      </c>
      <c r="D835" s="3" t="str">
        <f t="shared" ref="D835:D898" ca="1" si="93">CHOOSE(RANDBETWEEN(1, 3), "Residential","Commercial","Industrial")</f>
        <v>Residential</v>
      </c>
      <c r="E835" s="3" t="str" cm="1">
        <f t="array" aca="1" ref="E835" ca="1">_xlfn.IFS(D835="Industrial", "Reinforced Concrete", D835 = "Commercial", CHOOSE(RANDBETWEEN(1, 2), "Reinforced Concrete", "Unreinforced Masonry"), D835 = "Residential", CHOOSE(RANDBETWEEN(1, 3), "Reinforced Concrete", "Unreinforced Masonry", "Adobe / Light Timber"))</f>
        <v>Unreinforced Masonry</v>
      </c>
      <c r="F835" s="3">
        <f t="shared" ref="F835:F898" ca="1" si="94">RANDBETWEEN(1980, 2024)</f>
        <v>1992</v>
      </c>
      <c r="G835" s="3">
        <f t="shared" ref="G835:G898" ca="1" si="95">IF(E835 = "Adobe / Light Timber", 1, RANDBETWEEN(1, 5))</f>
        <v>4</v>
      </c>
      <c r="H835" s="2">
        <f t="shared" ref="H835:H898" ca="1" si="96">IF(E835="Reinforced Concrete",RANDBETWEEN(3, 5),RANDBETWEEN(0,2))</f>
        <v>2</v>
      </c>
      <c r="I835" s="4">
        <f t="shared" ref="I835:I898" ca="1" si="97">MAX(200000, _xlfn.IFS(D835 = "Industrial", ROUND(_xlfn.NORM.INV(RAND(), 50000000, 10000000), 0), D835 = "Commercial",ROUND(_xlfn.NORM.INV(RAND(), 15000000, 5000000), 0),E835 = "Adobe / Light Timber", ROUND(_xlfn.NORM.INV(RAND(), 500000, 100000), 0),TRUE, ROUND(_xlfn.NORM.INV(RAND(), 4000000, 1500000), 0)))</f>
        <v>5796150</v>
      </c>
    </row>
    <row r="836" spans="1:9">
      <c r="A836" s="1">
        <v>10000835</v>
      </c>
      <c r="B836" s="3" t="str">
        <f t="shared" ca="1" si="91"/>
        <v>Paschim Medinipur</v>
      </c>
      <c r="C836" s="3" t="str">
        <f t="shared" ca="1" si="92"/>
        <v>Moderate Risk</v>
      </c>
      <c r="D836" s="3" t="str">
        <f t="shared" ca="1" si="93"/>
        <v>Commercial</v>
      </c>
      <c r="E836" s="3" t="str" cm="1">
        <f t="array" aca="1" ref="E836" ca="1">_xlfn.IFS(D836="Industrial", "Reinforced Concrete", D836 = "Commercial", CHOOSE(RANDBETWEEN(1, 2), "Reinforced Concrete", "Unreinforced Masonry"), D836 = "Residential", CHOOSE(RANDBETWEEN(1, 3), "Reinforced Concrete", "Unreinforced Masonry", "Adobe / Light Timber"))</f>
        <v>Unreinforced Masonry</v>
      </c>
      <c r="F836" s="3">
        <f t="shared" ca="1" si="94"/>
        <v>1984</v>
      </c>
      <c r="G836" s="3">
        <f t="shared" ca="1" si="95"/>
        <v>3</v>
      </c>
      <c r="H836" s="2">
        <f t="shared" ca="1" si="96"/>
        <v>0</v>
      </c>
      <c r="I836" s="4">
        <f t="shared" ca="1" si="97"/>
        <v>19752058</v>
      </c>
    </row>
    <row r="837" spans="1:9">
      <c r="A837" s="1">
        <v>10000836</v>
      </c>
      <c r="B837" s="3" t="str">
        <f t="shared" ca="1" si="91"/>
        <v>Hooghly</v>
      </c>
      <c r="C837" s="3" t="str">
        <f t="shared" ca="1" si="92"/>
        <v>Moderate Risk</v>
      </c>
      <c r="D837" s="3" t="str">
        <f t="shared" ca="1" si="93"/>
        <v>Residential</v>
      </c>
      <c r="E837" s="3" t="str" cm="1">
        <f t="array" aca="1" ref="E837" ca="1">_xlfn.IFS(D837="Industrial", "Reinforced Concrete", D837 = "Commercial", CHOOSE(RANDBETWEEN(1, 2), "Reinforced Concrete", "Unreinforced Masonry"), D837 = "Residential", CHOOSE(RANDBETWEEN(1, 3), "Reinforced Concrete", "Unreinforced Masonry", "Adobe / Light Timber"))</f>
        <v>Reinforced Concrete</v>
      </c>
      <c r="F837" s="3">
        <f t="shared" ca="1" si="94"/>
        <v>1991</v>
      </c>
      <c r="G837" s="3">
        <f t="shared" ca="1" si="95"/>
        <v>3</v>
      </c>
      <c r="H837" s="2">
        <f t="shared" ca="1" si="96"/>
        <v>4</v>
      </c>
      <c r="I837" s="4">
        <f t="shared" ca="1" si="97"/>
        <v>2621423</v>
      </c>
    </row>
    <row r="838" spans="1:9">
      <c r="A838" s="1">
        <v>10000837</v>
      </c>
      <c r="B838" s="3" t="str">
        <f t="shared" ca="1" si="91"/>
        <v>Paschim Medinipur</v>
      </c>
      <c r="C838" s="3" t="str">
        <f t="shared" ca="1" si="92"/>
        <v>Moderate Risk</v>
      </c>
      <c r="D838" s="3" t="str">
        <f t="shared" ca="1" si="93"/>
        <v>Commercial</v>
      </c>
      <c r="E838" s="3" t="str" cm="1">
        <f t="array" aca="1" ref="E838" ca="1">_xlfn.IFS(D838="Industrial", "Reinforced Concrete", D838 = "Commercial", CHOOSE(RANDBETWEEN(1, 2), "Reinforced Concrete", "Unreinforced Masonry"), D838 = "Residential", CHOOSE(RANDBETWEEN(1, 3), "Reinforced Concrete", "Unreinforced Masonry", "Adobe / Light Timber"))</f>
        <v>Unreinforced Masonry</v>
      </c>
      <c r="F838" s="3">
        <f t="shared" ca="1" si="94"/>
        <v>1980</v>
      </c>
      <c r="G838" s="3">
        <f t="shared" ca="1" si="95"/>
        <v>3</v>
      </c>
      <c r="H838" s="2">
        <f t="shared" ca="1" si="96"/>
        <v>0</v>
      </c>
      <c r="I838" s="4">
        <f t="shared" ca="1" si="97"/>
        <v>9075197</v>
      </c>
    </row>
    <row r="839" spans="1:9">
      <c r="A839" s="1">
        <v>10000838</v>
      </c>
      <c r="B839" s="3" t="str">
        <f t="shared" ca="1" si="91"/>
        <v>Hooghly</v>
      </c>
      <c r="C839" s="3" t="str">
        <f t="shared" ca="1" si="92"/>
        <v>Moderate Risk</v>
      </c>
      <c r="D839" s="3" t="str">
        <f t="shared" ca="1" si="93"/>
        <v>Industrial</v>
      </c>
      <c r="E839" s="3" t="str" cm="1">
        <f t="array" aca="1" ref="E839" ca="1">_xlfn.IFS(D839="Industrial", "Reinforced Concrete", D839 = "Commercial", CHOOSE(RANDBETWEEN(1, 2), "Reinforced Concrete", "Unreinforced Masonry"), D839 = "Residential", CHOOSE(RANDBETWEEN(1, 3), "Reinforced Concrete", "Unreinforced Masonry", "Adobe / Light Timber"))</f>
        <v>Reinforced Concrete</v>
      </c>
      <c r="F839" s="3">
        <f t="shared" ca="1" si="94"/>
        <v>2006</v>
      </c>
      <c r="G839" s="3">
        <f t="shared" ca="1" si="95"/>
        <v>2</v>
      </c>
      <c r="H839" s="2">
        <f t="shared" ca="1" si="96"/>
        <v>3</v>
      </c>
      <c r="I839" s="4">
        <f t="shared" ca="1" si="97"/>
        <v>21823471</v>
      </c>
    </row>
    <row r="840" spans="1:9">
      <c r="A840" s="1">
        <v>10000839</v>
      </c>
      <c r="B840" s="3" t="str">
        <f t="shared" ca="1" si="91"/>
        <v>Paschim Medinipur</v>
      </c>
      <c r="C840" s="3" t="str">
        <f t="shared" ca="1" si="92"/>
        <v>Moderate Risk</v>
      </c>
      <c r="D840" s="3" t="str">
        <f t="shared" ca="1" si="93"/>
        <v>Residential</v>
      </c>
      <c r="E840" s="3" t="str" cm="1">
        <f t="array" aca="1" ref="E840" ca="1">_xlfn.IFS(D840="Industrial", "Reinforced Concrete", D840 = "Commercial", CHOOSE(RANDBETWEEN(1, 2), "Reinforced Concrete", "Unreinforced Masonry"), D840 = "Residential", CHOOSE(RANDBETWEEN(1, 3), "Reinforced Concrete", "Unreinforced Masonry", "Adobe / Light Timber"))</f>
        <v>Adobe / Light Timber</v>
      </c>
      <c r="F840" s="3">
        <f t="shared" ca="1" si="94"/>
        <v>1980</v>
      </c>
      <c r="G840" s="3">
        <f t="shared" ca="1" si="95"/>
        <v>1</v>
      </c>
      <c r="H840" s="2">
        <f t="shared" ca="1" si="96"/>
        <v>2</v>
      </c>
      <c r="I840" s="4">
        <f t="shared" ca="1" si="97"/>
        <v>547991</v>
      </c>
    </row>
    <row r="841" spans="1:9">
      <c r="A841" s="1">
        <v>10000840</v>
      </c>
      <c r="B841" s="3" t="str">
        <f t="shared" ca="1" si="91"/>
        <v>Hooghly</v>
      </c>
      <c r="C841" s="3" t="str">
        <f t="shared" ca="1" si="92"/>
        <v>Moderate Risk</v>
      </c>
      <c r="D841" s="3" t="str">
        <f t="shared" ca="1" si="93"/>
        <v>Industrial</v>
      </c>
      <c r="E841" s="3" t="str" cm="1">
        <f t="array" aca="1" ref="E841" ca="1">_xlfn.IFS(D841="Industrial", "Reinforced Concrete", D841 = "Commercial", CHOOSE(RANDBETWEEN(1, 2), "Reinforced Concrete", "Unreinforced Masonry"), D841 = "Residential", CHOOSE(RANDBETWEEN(1, 3), "Reinforced Concrete", "Unreinforced Masonry", "Adobe / Light Timber"))</f>
        <v>Reinforced Concrete</v>
      </c>
      <c r="F841" s="3">
        <f t="shared" ca="1" si="94"/>
        <v>1982</v>
      </c>
      <c r="G841" s="3">
        <f t="shared" ca="1" si="95"/>
        <v>3</v>
      </c>
      <c r="H841" s="2">
        <f t="shared" ca="1" si="96"/>
        <v>4</v>
      </c>
      <c r="I841" s="4">
        <f t="shared" ca="1" si="97"/>
        <v>43761118</v>
      </c>
    </row>
    <row r="842" spans="1:9">
      <c r="A842" s="1">
        <v>10000841</v>
      </c>
      <c r="B842" s="3" t="str">
        <f t="shared" ca="1" si="91"/>
        <v>Paschim Medinipur</v>
      </c>
      <c r="C842" s="3" t="str">
        <f t="shared" ca="1" si="92"/>
        <v>Moderate Risk</v>
      </c>
      <c r="D842" s="3" t="str">
        <f t="shared" ca="1" si="93"/>
        <v>Residential</v>
      </c>
      <c r="E842" s="3" t="str" cm="1">
        <f t="array" aca="1" ref="E842" ca="1">_xlfn.IFS(D842="Industrial", "Reinforced Concrete", D842 = "Commercial", CHOOSE(RANDBETWEEN(1, 2), "Reinforced Concrete", "Unreinforced Masonry"), D842 = "Residential", CHOOSE(RANDBETWEEN(1, 3), "Reinforced Concrete", "Unreinforced Masonry", "Adobe / Light Timber"))</f>
        <v>Unreinforced Masonry</v>
      </c>
      <c r="F842" s="3">
        <f t="shared" ca="1" si="94"/>
        <v>2004</v>
      </c>
      <c r="G842" s="3">
        <f t="shared" ca="1" si="95"/>
        <v>5</v>
      </c>
      <c r="H842" s="2">
        <f t="shared" ca="1" si="96"/>
        <v>2</v>
      </c>
      <c r="I842" s="4">
        <f t="shared" ca="1" si="97"/>
        <v>1208445</v>
      </c>
    </row>
    <row r="843" spans="1:9">
      <c r="A843" s="1">
        <v>10000842</v>
      </c>
      <c r="B843" s="3" t="str">
        <f t="shared" ca="1" si="91"/>
        <v>Hooghly</v>
      </c>
      <c r="C843" s="3" t="str">
        <f t="shared" ca="1" si="92"/>
        <v>Moderate Risk</v>
      </c>
      <c r="D843" s="3" t="str">
        <f t="shared" ca="1" si="93"/>
        <v>Commercial</v>
      </c>
      <c r="E843" s="3" t="str" cm="1">
        <f t="array" aca="1" ref="E843" ca="1">_xlfn.IFS(D843="Industrial", "Reinforced Concrete", D843 = "Commercial", CHOOSE(RANDBETWEEN(1, 2), "Reinforced Concrete", "Unreinforced Masonry"), D843 = "Residential", CHOOSE(RANDBETWEEN(1, 3), "Reinforced Concrete", "Unreinforced Masonry", "Adobe / Light Timber"))</f>
        <v>Reinforced Concrete</v>
      </c>
      <c r="F843" s="3">
        <f t="shared" ca="1" si="94"/>
        <v>2004</v>
      </c>
      <c r="G843" s="3">
        <f t="shared" ca="1" si="95"/>
        <v>1</v>
      </c>
      <c r="H843" s="2">
        <f t="shared" ca="1" si="96"/>
        <v>5</v>
      </c>
      <c r="I843" s="4">
        <f t="shared" ca="1" si="97"/>
        <v>17904469</v>
      </c>
    </row>
    <row r="844" spans="1:9">
      <c r="A844" s="1">
        <v>10000843</v>
      </c>
      <c r="B844" s="3" t="str">
        <f t="shared" ca="1" si="91"/>
        <v>Kolkata</v>
      </c>
      <c r="C844" s="3" t="str">
        <f t="shared" ca="1" si="92"/>
        <v>Moderate Risk</v>
      </c>
      <c r="D844" s="3" t="str">
        <f t="shared" ca="1" si="93"/>
        <v>Residential</v>
      </c>
      <c r="E844" s="3" t="str" cm="1">
        <f t="array" aca="1" ref="E844" ca="1">_xlfn.IFS(D844="Industrial", "Reinforced Concrete", D844 = "Commercial", CHOOSE(RANDBETWEEN(1, 2), "Reinforced Concrete", "Unreinforced Masonry"), D844 = "Residential", CHOOSE(RANDBETWEEN(1, 3), "Reinforced Concrete", "Unreinforced Masonry", "Adobe / Light Timber"))</f>
        <v>Adobe / Light Timber</v>
      </c>
      <c r="F844" s="3">
        <f t="shared" ca="1" si="94"/>
        <v>2005</v>
      </c>
      <c r="G844" s="3">
        <f t="shared" ca="1" si="95"/>
        <v>1</v>
      </c>
      <c r="H844" s="2">
        <f t="shared" ca="1" si="96"/>
        <v>0</v>
      </c>
      <c r="I844" s="4">
        <f t="shared" ca="1" si="97"/>
        <v>614112</v>
      </c>
    </row>
    <row r="845" spans="1:9">
      <c r="A845" s="1">
        <v>10000844</v>
      </c>
      <c r="B845" s="3" t="str">
        <f t="shared" ca="1" si="91"/>
        <v>Paschim Medinipur</v>
      </c>
      <c r="C845" s="3" t="str">
        <f t="shared" ca="1" si="92"/>
        <v>Moderate Risk</v>
      </c>
      <c r="D845" s="3" t="str">
        <f t="shared" ca="1" si="93"/>
        <v>Industrial</v>
      </c>
      <c r="E845" s="3" t="str" cm="1">
        <f t="array" aca="1" ref="E845" ca="1">_xlfn.IFS(D845="Industrial", "Reinforced Concrete", D845 = "Commercial", CHOOSE(RANDBETWEEN(1, 2), "Reinforced Concrete", "Unreinforced Masonry"), D845 = "Residential", CHOOSE(RANDBETWEEN(1, 3), "Reinforced Concrete", "Unreinforced Masonry", "Adobe / Light Timber"))</f>
        <v>Reinforced Concrete</v>
      </c>
      <c r="F845" s="3">
        <f t="shared" ca="1" si="94"/>
        <v>1995</v>
      </c>
      <c r="G845" s="3">
        <f t="shared" ca="1" si="95"/>
        <v>3</v>
      </c>
      <c r="H845" s="2">
        <f t="shared" ca="1" si="96"/>
        <v>4</v>
      </c>
      <c r="I845" s="4">
        <f t="shared" ca="1" si="97"/>
        <v>65070932</v>
      </c>
    </row>
    <row r="846" spans="1:9">
      <c r="A846" s="1">
        <v>10000845</v>
      </c>
      <c r="B846" s="3" t="str">
        <f t="shared" ca="1" si="91"/>
        <v>Jalpaiguri</v>
      </c>
      <c r="C846" s="3" t="str">
        <f t="shared" ca="1" si="92"/>
        <v>High Risk</v>
      </c>
      <c r="D846" s="3" t="str">
        <f t="shared" ca="1" si="93"/>
        <v>Commercial</v>
      </c>
      <c r="E846" s="3" t="str" cm="1">
        <f t="array" aca="1" ref="E846" ca="1">_xlfn.IFS(D846="Industrial", "Reinforced Concrete", D846 = "Commercial", CHOOSE(RANDBETWEEN(1, 2), "Reinforced Concrete", "Unreinforced Masonry"), D846 = "Residential", CHOOSE(RANDBETWEEN(1, 3), "Reinforced Concrete", "Unreinforced Masonry", "Adobe / Light Timber"))</f>
        <v>Unreinforced Masonry</v>
      </c>
      <c r="F846" s="3">
        <f t="shared" ca="1" si="94"/>
        <v>2009</v>
      </c>
      <c r="G846" s="3">
        <f t="shared" ca="1" si="95"/>
        <v>3</v>
      </c>
      <c r="H846" s="2">
        <f t="shared" ca="1" si="96"/>
        <v>0</v>
      </c>
      <c r="I846" s="4">
        <f t="shared" ca="1" si="97"/>
        <v>6729082</v>
      </c>
    </row>
    <row r="847" spans="1:9">
      <c r="A847" s="1">
        <v>10000846</v>
      </c>
      <c r="B847" s="3" t="str">
        <f t="shared" ca="1" si="91"/>
        <v>Paschim Medinipur</v>
      </c>
      <c r="C847" s="3" t="str">
        <f t="shared" ca="1" si="92"/>
        <v>Moderate Risk</v>
      </c>
      <c r="D847" s="3" t="str">
        <f t="shared" ca="1" si="93"/>
        <v>Commercial</v>
      </c>
      <c r="E847" s="3" t="str" cm="1">
        <f t="array" aca="1" ref="E847" ca="1">_xlfn.IFS(D847="Industrial", "Reinforced Concrete", D847 = "Commercial", CHOOSE(RANDBETWEEN(1, 2), "Reinforced Concrete", "Unreinforced Masonry"), D847 = "Residential", CHOOSE(RANDBETWEEN(1, 3), "Reinforced Concrete", "Unreinforced Masonry", "Adobe / Light Timber"))</f>
        <v>Reinforced Concrete</v>
      </c>
      <c r="F847" s="3">
        <f t="shared" ca="1" si="94"/>
        <v>1984</v>
      </c>
      <c r="G847" s="3">
        <f t="shared" ca="1" si="95"/>
        <v>1</v>
      </c>
      <c r="H847" s="2">
        <f t="shared" ca="1" si="96"/>
        <v>5</v>
      </c>
      <c r="I847" s="4">
        <f t="shared" ca="1" si="97"/>
        <v>17510047</v>
      </c>
    </row>
    <row r="848" spans="1:9">
      <c r="A848" s="1">
        <v>10000847</v>
      </c>
      <c r="B848" s="3" t="str">
        <f t="shared" ca="1" si="91"/>
        <v>Jalpaiguri</v>
      </c>
      <c r="C848" s="3" t="str">
        <f t="shared" ca="1" si="92"/>
        <v>High Risk</v>
      </c>
      <c r="D848" s="3" t="str">
        <f t="shared" ca="1" si="93"/>
        <v>Commercial</v>
      </c>
      <c r="E848" s="3" t="str" cm="1">
        <f t="array" aca="1" ref="E848" ca="1">_xlfn.IFS(D848="Industrial", "Reinforced Concrete", D848 = "Commercial", CHOOSE(RANDBETWEEN(1, 2), "Reinforced Concrete", "Unreinforced Masonry"), D848 = "Residential", CHOOSE(RANDBETWEEN(1, 3), "Reinforced Concrete", "Unreinforced Masonry", "Adobe / Light Timber"))</f>
        <v>Reinforced Concrete</v>
      </c>
      <c r="F848" s="3">
        <f t="shared" ca="1" si="94"/>
        <v>2006</v>
      </c>
      <c r="G848" s="3">
        <f t="shared" ca="1" si="95"/>
        <v>4</v>
      </c>
      <c r="H848" s="2">
        <f t="shared" ca="1" si="96"/>
        <v>4</v>
      </c>
      <c r="I848" s="4">
        <f t="shared" ca="1" si="97"/>
        <v>20060962</v>
      </c>
    </row>
    <row r="849" spans="1:9">
      <c r="A849" s="1">
        <v>10000848</v>
      </c>
      <c r="B849" s="3" t="str">
        <f t="shared" ca="1" si="91"/>
        <v>Hooghly</v>
      </c>
      <c r="C849" s="3" t="str">
        <f t="shared" ca="1" si="92"/>
        <v>Moderate Risk</v>
      </c>
      <c r="D849" s="3" t="str">
        <f t="shared" ca="1" si="93"/>
        <v>Commercial</v>
      </c>
      <c r="E849" s="3" t="str" cm="1">
        <f t="array" aca="1" ref="E849" ca="1">_xlfn.IFS(D849="Industrial", "Reinforced Concrete", D849 = "Commercial", CHOOSE(RANDBETWEEN(1, 2), "Reinforced Concrete", "Unreinforced Masonry"), D849 = "Residential", CHOOSE(RANDBETWEEN(1, 3), "Reinforced Concrete", "Unreinforced Masonry", "Adobe / Light Timber"))</f>
        <v>Reinforced Concrete</v>
      </c>
      <c r="F849" s="3">
        <f t="shared" ca="1" si="94"/>
        <v>2006</v>
      </c>
      <c r="G849" s="3">
        <f t="shared" ca="1" si="95"/>
        <v>2</v>
      </c>
      <c r="H849" s="2">
        <f t="shared" ca="1" si="96"/>
        <v>4</v>
      </c>
      <c r="I849" s="4">
        <f t="shared" ca="1" si="97"/>
        <v>16143028</v>
      </c>
    </row>
    <row r="850" spans="1:9">
      <c r="A850" s="1">
        <v>10000849</v>
      </c>
      <c r="B850" s="3" t="str">
        <f t="shared" ca="1" si="91"/>
        <v>Paschim Medinipur</v>
      </c>
      <c r="C850" s="3" t="str">
        <f t="shared" ca="1" si="92"/>
        <v>Moderate Risk</v>
      </c>
      <c r="D850" s="3" t="str">
        <f t="shared" ca="1" si="93"/>
        <v>Residential</v>
      </c>
      <c r="E850" s="3" t="str" cm="1">
        <f t="array" aca="1" ref="E850" ca="1">_xlfn.IFS(D850="Industrial", "Reinforced Concrete", D850 = "Commercial", CHOOSE(RANDBETWEEN(1, 2), "Reinforced Concrete", "Unreinforced Masonry"), D850 = "Residential", CHOOSE(RANDBETWEEN(1, 3), "Reinforced Concrete", "Unreinforced Masonry", "Adobe / Light Timber"))</f>
        <v>Adobe / Light Timber</v>
      </c>
      <c r="F850" s="3">
        <f t="shared" ca="1" si="94"/>
        <v>1990</v>
      </c>
      <c r="G850" s="3">
        <f t="shared" ca="1" si="95"/>
        <v>1</v>
      </c>
      <c r="H850" s="2">
        <f t="shared" ca="1" si="96"/>
        <v>1</v>
      </c>
      <c r="I850" s="4">
        <f t="shared" ca="1" si="97"/>
        <v>533208</v>
      </c>
    </row>
    <row r="851" spans="1:9">
      <c r="A851" s="1">
        <v>10000850</v>
      </c>
      <c r="B851" s="3" t="str">
        <f t="shared" ca="1" si="91"/>
        <v>Malda</v>
      </c>
      <c r="C851" s="3" t="str">
        <f t="shared" ca="1" si="92"/>
        <v>High Risk</v>
      </c>
      <c r="D851" s="3" t="str">
        <f t="shared" ca="1" si="93"/>
        <v>Industrial</v>
      </c>
      <c r="E851" s="3" t="str" cm="1">
        <f t="array" aca="1" ref="E851" ca="1">_xlfn.IFS(D851="Industrial", "Reinforced Concrete", D851 = "Commercial", CHOOSE(RANDBETWEEN(1, 2), "Reinforced Concrete", "Unreinforced Masonry"), D851 = "Residential", CHOOSE(RANDBETWEEN(1, 3), "Reinforced Concrete", "Unreinforced Masonry", "Adobe / Light Timber"))</f>
        <v>Reinforced Concrete</v>
      </c>
      <c r="F851" s="3">
        <f t="shared" ca="1" si="94"/>
        <v>2005</v>
      </c>
      <c r="G851" s="3">
        <f t="shared" ca="1" si="95"/>
        <v>1</v>
      </c>
      <c r="H851" s="2">
        <f t="shared" ca="1" si="96"/>
        <v>4</v>
      </c>
      <c r="I851" s="4">
        <f t="shared" ca="1" si="97"/>
        <v>42909604</v>
      </c>
    </row>
    <row r="852" spans="1:9">
      <c r="A852" s="1">
        <v>10000851</v>
      </c>
      <c r="B852" s="3" t="str">
        <f t="shared" ca="1" si="91"/>
        <v>South 24 Parganas</v>
      </c>
      <c r="C852" s="3" t="str">
        <f t="shared" ca="1" si="92"/>
        <v>High Risk</v>
      </c>
      <c r="D852" s="3" t="str">
        <f t="shared" ca="1" si="93"/>
        <v>Residential</v>
      </c>
      <c r="E852" s="3" t="str" cm="1">
        <f t="array" aca="1" ref="E852" ca="1">_xlfn.IFS(D852="Industrial", "Reinforced Concrete", D852 = "Commercial", CHOOSE(RANDBETWEEN(1, 2), "Reinforced Concrete", "Unreinforced Masonry"), D852 = "Residential", CHOOSE(RANDBETWEEN(1, 3), "Reinforced Concrete", "Unreinforced Masonry", "Adobe / Light Timber"))</f>
        <v>Reinforced Concrete</v>
      </c>
      <c r="F852" s="3">
        <f t="shared" ca="1" si="94"/>
        <v>2018</v>
      </c>
      <c r="G852" s="3">
        <f t="shared" ca="1" si="95"/>
        <v>2</v>
      </c>
      <c r="H852" s="2">
        <f t="shared" ca="1" si="96"/>
        <v>3</v>
      </c>
      <c r="I852" s="4">
        <f t="shared" ca="1" si="97"/>
        <v>6596784</v>
      </c>
    </row>
    <row r="853" spans="1:9">
      <c r="A853" s="1">
        <v>10000852</v>
      </c>
      <c r="B853" s="3" t="str">
        <f t="shared" ca="1" si="91"/>
        <v>Paschim Medinipur</v>
      </c>
      <c r="C853" s="3" t="str">
        <f t="shared" ca="1" si="92"/>
        <v>Moderate Risk</v>
      </c>
      <c r="D853" s="3" t="str">
        <f t="shared" ca="1" si="93"/>
        <v>Industrial</v>
      </c>
      <c r="E853" s="3" t="str" cm="1">
        <f t="array" aca="1" ref="E853" ca="1">_xlfn.IFS(D853="Industrial", "Reinforced Concrete", D853 = "Commercial", CHOOSE(RANDBETWEEN(1, 2), "Reinforced Concrete", "Unreinforced Masonry"), D853 = "Residential", CHOOSE(RANDBETWEEN(1, 3), "Reinforced Concrete", "Unreinforced Masonry", "Adobe / Light Timber"))</f>
        <v>Reinforced Concrete</v>
      </c>
      <c r="F853" s="3">
        <f t="shared" ca="1" si="94"/>
        <v>2000</v>
      </c>
      <c r="G853" s="3">
        <f t="shared" ca="1" si="95"/>
        <v>3</v>
      </c>
      <c r="H853" s="2">
        <f t="shared" ca="1" si="96"/>
        <v>5</v>
      </c>
      <c r="I853" s="4">
        <f t="shared" ca="1" si="97"/>
        <v>52883760</v>
      </c>
    </row>
    <row r="854" spans="1:9">
      <c r="A854" s="1">
        <v>10000853</v>
      </c>
      <c r="B854" s="3" t="str">
        <f t="shared" ca="1" si="91"/>
        <v>Kolkata</v>
      </c>
      <c r="C854" s="3" t="str">
        <f t="shared" ca="1" si="92"/>
        <v>Moderate Risk</v>
      </c>
      <c r="D854" s="3" t="str">
        <f t="shared" ca="1" si="93"/>
        <v>Residential</v>
      </c>
      <c r="E854" s="3" t="str" cm="1">
        <f t="array" aca="1" ref="E854" ca="1">_xlfn.IFS(D854="Industrial", "Reinforced Concrete", D854 = "Commercial", CHOOSE(RANDBETWEEN(1, 2), "Reinforced Concrete", "Unreinforced Masonry"), D854 = "Residential", CHOOSE(RANDBETWEEN(1, 3), "Reinforced Concrete", "Unreinforced Masonry", "Adobe / Light Timber"))</f>
        <v>Unreinforced Masonry</v>
      </c>
      <c r="F854" s="3">
        <f t="shared" ca="1" si="94"/>
        <v>1981</v>
      </c>
      <c r="G854" s="3">
        <f t="shared" ca="1" si="95"/>
        <v>5</v>
      </c>
      <c r="H854" s="2">
        <f t="shared" ca="1" si="96"/>
        <v>1</v>
      </c>
      <c r="I854" s="4">
        <f t="shared" ca="1" si="97"/>
        <v>1241473</v>
      </c>
    </row>
    <row r="855" spans="1:9">
      <c r="A855" s="1">
        <v>10000854</v>
      </c>
      <c r="B855" s="3" t="str">
        <f t="shared" ca="1" si="91"/>
        <v>Jalpaiguri</v>
      </c>
      <c r="C855" s="3" t="str">
        <f t="shared" ca="1" si="92"/>
        <v>High Risk</v>
      </c>
      <c r="D855" s="3" t="str">
        <f t="shared" ca="1" si="93"/>
        <v>Commercial</v>
      </c>
      <c r="E855" s="3" t="str" cm="1">
        <f t="array" aca="1" ref="E855" ca="1">_xlfn.IFS(D855="Industrial", "Reinforced Concrete", D855 = "Commercial", CHOOSE(RANDBETWEEN(1, 2), "Reinforced Concrete", "Unreinforced Masonry"), D855 = "Residential", CHOOSE(RANDBETWEEN(1, 3), "Reinforced Concrete", "Unreinforced Masonry", "Adobe / Light Timber"))</f>
        <v>Reinforced Concrete</v>
      </c>
      <c r="F855" s="3">
        <f t="shared" ca="1" si="94"/>
        <v>1985</v>
      </c>
      <c r="G855" s="3">
        <f t="shared" ca="1" si="95"/>
        <v>3</v>
      </c>
      <c r="H855" s="2">
        <f t="shared" ca="1" si="96"/>
        <v>5</v>
      </c>
      <c r="I855" s="4">
        <f t="shared" ca="1" si="97"/>
        <v>20128305</v>
      </c>
    </row>
    <row r="856" spans="1:9">
      <c r="A856" s="1">
        <v>10000855</v>
      </c>
      <c r="B856" s="3" t="str">
        <f t="shared" ca="1" si="91"/>
        <v>Malda</v>
      </c>
      <c r="C856" s="3" t="str">
        <f t="shared" ca="1" si="92"/>
        <v>High Risk</v>
      </c>
      <c r="D856" s="3" t="str">
        <f t="shared" ca="1" si="93"/>
        <v>Commercial</v>
      </c>
      <c r="E856" s="3" t="str" cm="1">
        <f t="array" aca="1" ref="E856" ca="1">_xlfn.IFS(D856="Industrial", "Reinforced Concrete", D856 = "Commercial", CHOOSE(RANDBETWEEN(1, 2), "Reinforced Concrete", "Unreinforced Masonry"), D856 = "Residential", CHOOSE(RANDBETWEEN(1, 3), "Reinforced Concrete", "Unreinforced Masonry", "Adobe / Light Timber"))</f>
        <v>Unreinforced Masonry</v>
      </c>
      <c r="F856" s="3">
        <f t="shared" ca="1" si="94"/>
        <v>1991</v>
      </c>
      <c r="G856" s="3">
        <f t="shared" ca="1" si="95"/>
        <v>2</v>
      </c>
      <c r="H856" s="2">
        <f t="shared" ca="1" si="96"/>
        <v>1</v>
      </c>
      <c r="I856" s="4">
        <f t="shared" ca="1" si="97"/>
        <v>11757745</v>
      </c>
    </row>
    <row r="857" spans="1:9">
      <c r="A857" s="1">
        <v>10000856</v>
      </c>
      <c r="B857" s="3" t="str">
        <f t="shared" ca="1" si="91"/>
        <v>Kolkata</v>
      </c>
      <c r="C857" s="3" t="str">
        <f t="shared" ca="1" si="92"/>
        <v>Moderate Risk</v>
      </c>
      <c r="D857" s="3" t="str">
        <f t="shared" ca="1" si="93"/>
        <v>Industrial</v>
      </c>
      <c r="E857" s="3" t="str" cm="1">
        <f t="array" aca="1" ref="E857" ca="1">_xlfn.IFS(D857="Industrial", "Reinforced Concrete", D857 = "Commercial", CHOOSE(RANDBETWEEN(1, 2), "Reinforced Concrete", "Unreinforced Masonry"), D857 = "Residential", CHOOSE(RANDBETWEEN(1, 3), "Reinforced Concrete", "Unreinforced Masonry", "Adobe / Light Timber"))</f>
        <v>Reinforced Concrete</v>
      </c>
      <c r="F857" s="3">
        <f t="shared" ca="1" si="94"/>
        <v>2003</v>
      </c>
      <c r="G857" s="3">
        <f t="shared" ca="1" si="95"/>
        <v>5</v>
      </c>
      <c r="H857" s="2">
        <f t="shared" ca="1" si="96"/>
        <v>4</v>
      </c>
      <c r="I857" s="4">
        <f t="shared" ca="1" si="97"/>
        <v>51522340</v>
      </c>
    </row>
    <row r="858" spans="1:9">
      <c r="A858" s="1">
        <v>10000857</v>
      </c>
      <c r="B858" s="3" t="str">
        <f t="shared" ca="1" si="91"/>
        <v>Jalpaiguri</v>
      </c>
      <c r="C858" s="3" t="str">
        <f t="shared" ca="1" si="92"/>
        <v>High Risk</v>
      </c>
      <c r="D858" s="3" t="str">
        <f t="shared" ca="1" si="93"/>
        <v>Residential</v>
      </c>
      <c r="E858" s="3" t="str" cm="1">
        <f t="array" aca="1" ref="E858" ca="1">_xlfn.IFS(D858="Industrial", "Reinforced Concrete", D858 = "Commercial", CHOOSE(RANDBETWEEN(1, 2), "Reinforced Concrete", "Unreinforced Masonry"), D858 = "Residential", CHOOSE(RANDBETWEEN(1, 3), "Reinforced Concrete", "Unreinforced Masonry", "Adobe / Light Timber"))</f>
        <v>Unreinforced Masonry</v>
      </c>
      <c r="F858" s="3">
        <f t="shared" ca="1" si="94"/>
        <v>1987</v>
      </c>
      <c r="G858" s="3">
        <f t="shared" ca="1" si="95"/>
        <v>4</v>
      </c>
      <c r="H858" s="2">
        <f t="shared" ca="1" si="96"/>
        <v>1</v>
      </c>
      <c r="I858" s="4">
        <f t="shared" ca="1" si="97"/>
        <v>4312042</v>
      </c>
    </row>
    <row r="859" spans="1:9">
      <c r="A859" s="1">
        <v>10000858</v>
      </c>
      <c r="B859" s="3" t="str">
        <f t="shared" ca="1" si="91"/>
        <v>Hooghly</v>
      </c>
      <c r="C859" s="3" t="str">
        <f t="shared" ca="1" si="92"/>
        <v>Moderate Risk</v>
      </c>
      <c r="D859" s="3" t="str">
        <f t="shared" ca="1" si="93"/>
        <v>Residential</v>
      </c>
      <c r="E859" s="3" t="str" cm="1">
        <f t="array" aca="1" ref="E859" ca="1">_xlfn.IFS(D859="Industrial", "Reinforced Concrete", D859 = "Commercial", CHOOSE(RANDBETWEEN(1, 2), "Reinforced Concrete", "Unreinforced Masonry"), D859 = "Residential", CHOOSE(RANDBETWEEN(1, 3), "Reinforced Concrete", "Unreinforced Masonry", "Adobe / Light Timber"))</f>
        <v>Adobe / Light Timber</v>
      </c>
      <c r="F859" s="3">
        <f t="shared" ca="1" si="94"/>
        <v>2004</v>
      </c>
      <c r="G859" s="3">
        <f t="shared" ca="1" si="95"/>
        <v>1</v>
      </c>
      <c r="H859" s="2">
        <f t="shared" ca="1" si="96"/>
        <v>0</v>
      </c>
      <c r="I859" s="4">
        <f t="shared" ca="1" si="97"/>
        <v>585333</v>
      </c>
    </row>
    <row r="860" spans="1:9">
      <c r="A860" s="1">
        <v>10000859</v>
      </c>
      <c r="B860" s="3" t="str">
        <f t="shared" ca="1" si="91"/>
        <v>Kolkata</v>
      </c>
      <c r="C860" s="3" t="str">
        <f t="shared" ca="1" si="92"/>
        <v>Moderate Risk</v>
      </c>
      <c r="D860" s="3" t="str">
        <f t="shared" ca="1" si="93"/>
        <v>Commercial</v>
      </c>
      <c r="E860" s="3" t="str" cm="1">
        <f t="array" aca="1" ref="E860" ca="1">_xlfn.IFS(D860="Industrial", "Reinforced Concrete", D860 = "Commercial", CHOOSE(RANDBETWEEN(1, 2), "Reinforced Concrete", "Unreinforced Masonry"), D860 = "Residential", CHOOSE(RANDBETWEEN(1, 3), "Reinforced Concrete", "Unreinforced Masonry", "Adobe / Light Timber"))</f>
        <v>Reinforced Concrete</v>
      </c>
      <c r="F860" s="3">
        <f t="shared" ca="1" si="94"/>
        <v>2006</v>
      </c>
      <c r="G860" s="3">
        <f t="shared" ca="1" si="95"/>
        <v>2</v>
      </c>
      <c r="H860" s="2">
        <f t="shared" ca="1" si="96"/>
        <v>3</v>
      </c>
      <c r="I860" s="4">
        <f t="shared" ca="1" si="97"/>
        <v>11874825</v>
      </c>
    </row>
    <row r="861" spans="1:9">
      <c r="A861" s="1">
        <v>10000860</v>
      </c>
      <c r="B861" s="3" t="str">
        <f t="shared" ca="1" si="91"/>
        <v>Paschim Medinipur</v>
      </c>
      <c r="C861" s="3" t="str">
        <f t="shared" ca="1" si="92"/>
        <v>Moderate Risk</v>
      </c>
      <c r="D861" s="3" t="str">
        <f t="shared" ca="1" si="93"/>
        <v>Commercial</v>
      </c>
      <c r="E861" s="3" t="str" cm="1">
        <f t="array" aca="1" ref="E861" ca="1">_xlfn.IFS(D861="Industrial", "Reinforced Concrete", D861 = "Commercial", CHOOSE(RANDBETWEEN(1, 2), "Reinforced Concrete", "Unreinforced Masonry"), D861 = "Residential", CHOOSE(RANDBETWEEN(1, 3), "Reinforced Concrete", "Unreinforced Masonry", "Adobe / Light Timber"))</f>
        <v>Reinforced Concrete</v>
      </c>
      <c r="F861" s="3">
        <f t="shared" ca="1" si="94"/>
        <v>2019</v>
      </c>
      <c r="G861" s="3">
        <f t="shared" ca="1" si="95"/>
        <v>4</v>
      </c>
      <c r="H861" s="2">
        <f t="shared" ca="1" si="96"/>
        <v>3</v>
      </c>
      <c r="I861" s="4">
        <f t="shared" ca="1" si="97"/>
        <v>10160773</v>
      </c>
    </row>
    <row r="862" spans="1:9">
      <c r="A862" s="1">
        <v>10000861</v>
      </c>
      <c r="B862" s="3" t="str">
        <f t="shared" ca="1" si="91"/>
        <v>South 24 Parganas</v>
      </c>
      <c r="C862" s="3" t="str">
        <f t="shared" ca="1" si="92"/>
        <v>High Risk</v>
      </c>
      <c r="D862" s="3" t="str">
        <f t="shared" ca="1" si="93"/>
        <v>Industrial</v>
      </c>
      <c r="E862" s="3" t="str" cm="1">
        <f t="array" aca="1" ref="E862" ca="1">_xlfn.IFS(D862="Industrial", "Reinforced Concrete", D862 = "Commercial", CHOOSE(RANDBETWEEN(1, 2), "Reinforced Concrete", "Unreinforced Masonry"), D862 = "Residential", CHOOSE(RANDBETWEEN(1, 3), "Reinforced Concrete", "Unreinforced Masonry", "Adobe / Light Timber"))</f>
        <v>Reinforced Concrete</v>
      </c>
      <c r="F862" s="3">
        <f t="shared" ca="1" si="94"/>
        <v>1986</v>
      </c>
      <c r="G862" s="3">
        <f t="shared" ca="1" si="95"/>
        <v>3</v>
      </c>
      <c r="H862" s="2">
        <f t="shared" ca="1" si="96"/>
        <v>3</v>
      </c>
      <c r="I862" s="4">
        <f t="shared" ca="1" si="97"/>
        <v>38240478</v>
      </c>
    </row>
    <row r="863" spans="1:9">
      <c r="A863" s="1">
        <v>10000862</v>
      </c>
      <c r="B863" s="3" t="str">
        <f t="shared" ca="1" si="91"/>
        <v>Paschim Medinipur</v>
      </c>
      <c r="C863" s="3" t="str">
        <f t="shared" ca="1" si="92"/>
        <v>Moderate Risk</v>
      </c>
      <c r="D863" s="3" t="str">
        <f t="shared" ca="1" si="93"/>
        <v>Industrial</v>
      </c>
      <c r="E863" s="3" t="str" cm="1">
        <f t="array" aca="1" ref="E863" ca="1">_xlfn.IFS(D863="Industrial", "Reinforced Concrete", D863 = "Commercial", CHOOSE(RANDBETWEEN(1, 2), "Reinforced Concrete", "Unreinforced Masonry"), D863 = "Residential", CHOOSE(RANDBETWEEN(1, 3), "Reinforced Concrete", "Unreinforced Masonry", "Adobe / Light Timber"))</f>
        <v>Reinforced Concrete</v>
      </c>
      <c r="F863" s="3">
        <f t="shared" ca="1" si="94"/>
        <v>1997</v>
      </c>
      <c r="G863" s="3">
        <f t="shared" ca="1" si="95"/>
        <v>2</v>
      </c>
      <c r="H863" s="2">
        <f t="shared" ca="1" si="96"/>
        <v>4</v>
      </c>
      <c r="I863" s="4">
        <f t="shared" ca="1" si="97"/>
        <v>65054294</v>
      </c>
    </row>
    <row r="864" spans="1:9">
      <c r="A864" s="1">
        <v>10000863</v>
      </c>
      <c r="B864" s="3" t="str">
        <f t="shared" ca="1" si="91"/>
        <v>Paschim Medinipur</v>
      </c>
      <c r="C864" s="3" t="str">
        <f t="shared" ca="1" si="92"/>
        <v>Moderate Risk</v>
      </c>
      <c r="D864" s="3" t="str">
        <f t="shared" ca="1" si="93"/>
        <v>Commercial</v>
      </c>
      <c r="E864" s="3" t="str" cm="1">
        <f t="array" aca="1" ref="E864" ca="1">_xlfn.IFS(D864="Industrial", "Reinforced Concrete", D864 = "Commercial", CHOOSE(RANDBETWEEN(1, 2), "Reinforced Concrete", "Unreinforced Masonry"), D864 = "Residential", CHOOSE(RANDBETWEEN(1, 3), "Reinforced Concrete", "Unreinforced Masonry", "Adobe / Light Timber"))</f>
        <v>Reinforced Concrete</v>
      </c>
      <c r="F864" s="3">
        <f t="shared" ca="1" si="94"/>
        <v>2020</v>
      </c>
      <c r="G864" s="3">
        <f t="shared" ca="1" si="95"/>
        <v>1</v>
      </c>
      <c r="H864" s="2">
        <f t="shared" ca="1" si="96"/>
        <v>5</v>
      </c>
      <c r="I864" s="4">
        <f t="shared" ca="1" si="97"/>
        <v>16852458</v>
      </c>
    </row>
    <row r="865" spans="1:9">
      <c r="A865" s="1">
        <v>10000864</v>
      </c>
      <c r="B865" s="3" t="str">
        <f t="shared" ca="1" si="91"/>
        <v>South 24 Parganas</v>
      </c>
      <c r="C865" s="3" t="str">
        <f t="shared" ca="1" si="92"/>
        <v>High Risk</v>
      </c>
      <c r="D865" s="3" t="str">
        <f t="shared" ca="1" si="93"/>
        <v>Industrial</v>
      </c>
      <c r="E865" s="3" t="str" cm="1">
        <f t="array" aca="1" ref="E865" ca="1">_xlfn.IFS(D865="Industrial", "Reinforced Concrete", D865 = "Commercial", CHOOSE(RANDBETWEEN(1, 2), "Reinforced Concrete", "Unreinforced Masonry"), D865 = "Residential", CHOOSE(RANDBETWEEN(1, 3), "Reinforced Concrete", "Unreinforced Masonry", "Adobe / Light Timber"))</f>
        <v>Reinforced Concrete</v>
      </c>
      <c r="F865" s="3">
        <f t="shared" ca="1" si="94"/>
        <v>2014</v>
      </c>
      <c r="G865" s="3">
        <f t="shared" ca="1" si="95"/>
        <v>1</v>
      </c>
      <c r="H865" s="2">
        <f t="shared" ca="1" si="96"/>
        <v>5</v>
      </c>
      <c r="I865" s="4">
        <f t="shared" ca="1" si="97"/>
        <v>48997642</v>
      </c>
    </row>
    <row r="866" spans="1:9">
      <c r="A866" s="1">
        <v>10000865</v>
      </c>
      <c r="B866" s="3" t="str">
        <f t="shared" ca="1" si="91"/>
        <v>Malda</v>
      </c>
      <c r="C866" s="3" t="str">
        <f t="shared" ca="1" si="92"/>
        <v>High Risk</v>
      </c>
      <c r="D866" s="3" t="str">
        <f t="shared" ca="1" si="93"/>
        <v>Residential</v>
      </c>
      <c r="E866" s="3" t="str" cm="1">
        <f t="array" aca="1" ref="E866" ca="1">_xlfn.IFS(D866="Industrial", "Reinforced Concrete", D866 = "Commercial", CHOOSE(RANDBETWEEN(1, 2), "Reinforced Concrete", "Unreinforced Masonry"), D866 = "Residential", CHOOSE(RANDBETWEEN(1, 3), "Reinforced Concrete", "Unreinforced Masonry", "Adobe / Light Timber"))</f>
        <v>Reinforced Concrete</v>
      </c>
      <c r="F866" s="3">
        <f t="shared" ca="1" si="94"/>
        <v>1987</v>
      </c>
      <c r="G866" s="3">
        <f t="shared" ca="1" si="95"/>
        <v>3</v>
      </c>
      <c r="H866" s="2">
        <f t="shared" ca="1" si="96"/>
        <v>4</v>
      </c>
      <c r="I866" s="4">
        <f t="shared" ca="1" si="97"/>
        <v>3016173</v>
      </c>
    </row>
    <row r="867" spans="1:9">
      <c r="A867" s="1">
        <v>10000866</v>
      </c>
      <c r="B867" s="3" t="str">
        <f t="shared" ca="1" si="91"/>
        <v>Paschim Medinipur</v>
      </c>
      <c r="C867" s="3" t="str">
        <f t="shared" ca="1" si="92"/>
        <v>Moderate Risk</v>
      </c>
      <c r="D867" s="3" t="str">
        <f t="shared" ca="1" si="93"/>
        <v>Residential</v>
      </c>
      <c r="E867" s="3" t="str" cm="1">
        <f t="array" aca="1" ref="E867" ca="1">_xlfn.IFS(D867="Industrial", "Reinforced Concrete", D867 = "Commercial", CHOOSE(RANDBETWEEN(1, 2), "Reinforced Concrete", "Unreinforced Masonry"), D867 = "Residential", CHOOSE(RANDBETWEEN(1, 3), "Reinforced Concrete", "Unreinforced Masonry", "Adobe / Light Timber"))</f>
        <v>Reinforced Concrete</v>
      </c>
      <c r="F867" s="3">
        <f t="shared" ca="1" si="94"/>
        <v>2017</v>
      </c>
      <c r="G867" s="3">
        <f t="shared" ca="1" si="95"/>
        <v>1</v>
      </c>
      <c r="H867" s="2">
        <f t="shared" ca="1" si="96"/>
        <v>5</v>
      </c>
      <c r="I867" s="4">
        <f t="shared" ca="1" si="97"/>
        <v>6155961</v>
      </c>
    </row>
    <row r="868" spans="1:9">
      <c r="A868" s="1">
        <v>10000867</v>
      </c>
      <c r="B868" s="3" t="str">
        <f t="shared" ca="1" si="91"/>
        <v>Paschim Medinipur</v>
      </c>
      <c r="C868" s="3" t="str">
        <f t="shared" ca="1" si="92"/>
        <v>Moderate Risk</v>
      </c>
      <c r="D868" s="3" t="str">
        <f t="shared" ca="1" si="93"/>
        <v>Industrial</v>
      </c>
      <c r="E868" s="3" t="str" cm="1">
        <f t="array" aca="1" ref="E868" ca="1">_xlfn.IFS(D868="Industrial", "Reinforced Concrete", D868 = "Commercial", CHOOSE(RANDBETWEEN(1, 2), "Reinforced Concrete", "Unreinforced Masonry"), D868 = "Residential", CHOOSE(RANDBETWEEN(1, 3), "Reinforced Concrete", "Unreinforced Masonry", "Adobe / Light Timber"))</f>
        <v>Reinforced Concrete</v>
      </c>
      <c r="F868" s="3">
        <f t="shared" ca="1" si="94"/>
        <v>2000</v>
      </c>
      <c r="G868" s="3">
        <f t="shared" ca="1" si="95"/>
        <v>5</v>
      </c>
      <c r="H868" s="2">
        <f t="shared" ca="1" si="96"/>
        <v>5</v>
      </c>
      <c r="I868" s="4">
        <f t="shared" ca="1" si="97"/>
        <v>78500169</v>
      </c>
    </row>
    <row r="869" spans="1:9">
      <c r="A869" s="1">
        <v>10000868</v>
      </c>
      <c r="B869" s="3" t="str">
        <f t="shared" ca="1" si="91"/>
        <v>Kolkata</v>
      </c>
      <c r="C869" s="3" t="str">
        <f t="shared" ca="1" si="92"/>
        <v>Moderate Risk</v>
      </c>
      <c r="D869" s="3" t="str">
        <f t="shared" ca="1" si="93"/>
        <v>Residential</v>
      </c>
      <c r="E869" s="3" t="str" cm="1">
        <f t="array" aca="1" ref="E869" ca="1">_xlfn.IFS(D869="Industrial", "Reinforced Concrete", D869 = "Commercial", CHOOSE(RANDBETWEEN(1, 2), "Reinforced Concrete", "Unreinforced Masonry"), D869 = "Residential", CHOOSE(RANDBETWEEN(1, 3), "Reinforced Concrete", "Unreinforced Masonry", "Adobe / Light Timber"))</f>
        <v>Unreinforced Masonry</v>
      </c>
      <c r="F869" s="3">
        <f t="shared" ca="1" si="94"/>
        <v>2013</v>
      </c>
      <c r="G869" s="3">
        <f t="shared" ca="1" si="95"/>
        <v>2</v>
      </c>
      <c r="H869" s="2">
        <f t="shared" ca="1" si="96"/>
        <v>2</v>
      </c>
      <c r="I869" s="4">
        <f t="shared" ca="1" si="97"/>
        <v>4529388</v>
      </c>
    </row>
    <row r="870" spans="1:9">
      <c r="A870" s="1">
        <v>10000869</v>
      </c>
      <c r="B870" s="3" t="str">
        <f t="shared" ca="1" si="91"/>
        <v>Kolkata</v>
      </c>
      <c r="C870" s="3" t="str">
        <f t="shared" ca="1" si="92"/>
        <v>Moderate Risk</v>
      </c>
      <c r="D870" s="3" t="str">
        <f t="shared" ca="1" si="93"/>
        <v>Commercial</v>
      </c>
      <c r="E870" s="3" t="str" cm="1">
        <f t="array" aca="1" ref="E870" ca="1">_xlfn.IFS(D870="Industrial", "Reinforced Concrete", D870 = "Commercial", CHOOSE(RANDBETWEEN(1, 2), "Reinforced Concrete", "Unreinforced Masonry"), D870 = "Residential", CHOOSE(RANDBETWEEN(1, 3), "Reinforced Concrete", "Unreinforced Masonry", "Adobe / Light Timber"))</f>
        <v>Unreinforced Masonry</v>
      </c>
      <c r="F870" s="3">
        <f t="shared" ca="1" si="94"/>
        <v>2012</v>
      </c>
      <c r="G870" s="3">
        <f t="shared" ca="1" si="95"/>
        <v>1</v>
      </c>
      <c r="H870" s="2">
        <f t="shared" ca="1" si="96"/>
        <v>2</v>
      </c>
      <c r="I870" s="4">
        <f t="shared" ca="1" si="97"/>
        <v>12362612</v>
      </c>
    </row>
    <row r="871" spans="1:9">
      <c r="A871" s="1">
        <v>10000870</v>
      </c>
      <c r="B871" s="3" t="str">
        <f t="shared" ca="1" si="91"/>
        <v>South 24 Parganas</v>
      </c>
      <c r="C871" s="3" t="str">
        <f t="shared" ca="1" si="92"/>
        <v>High Risk</v>
      </c>
      <c r="D871" s="3" t="str">
        <f t="shared" ca="1" si="93"/>
        <v>Residential</v>
      </c>
      <c r="E871" s="3" t="str" cm="1">
        <f t="array" aca="1" ref="E871" ca="1">_xlfn.IFS(D871="Industrial", "Reinforced Concrete", D871 = "Commercial", CHOOSE(RANDBETWEEN(1, 2), "Reinforced Concrete", "Unreinforced Masonry"), D871 = "Residential", CHOOSE(RANDBETWEEN(1, 3), "Reinforced Concrete", "Unreinforced Masonry", "Adobe / Light Timber"))</f>
        <v>Reinforced Concrete</v>
      </c>
      <c r="F871" s="3">
        <f t="shared" ca="1" si="94"/>
        <v>2000</v>
      </c>
      <c r="G871" s="3">
        <f t="shared" ca="1" si="95"/>
        <v>5</v>
      </c>
      <c r="H871" s="2">
        <f t="shared" ca="1" si="96"/>
        <v>4</v>
      </c>
      <c r="I871" s="4">
        <f t="shared" ca="1" si="97"/>
        <v>2698729</v>
      </c>
    </row>
    <row r="872" spans="1:9">
      <c r="A872" s="1">
        <v>10000871</v>
      </c>
      <c r="B872" s="3" t="str">
        <f t="shared" ca="1" si="91"/>
        <v>Malda</v>
      </c>
      <c r="C872" s="3" t="str">
        <f t="shared" ca="1" si="92"/>
        <v>High Risk</v>
      </c>
      <c r="D872" s="3" t="str">
        <f t="shared" ca="1" si="93"/>
        <v>Residential</v>
      </c>
      <c r="E872" s="3" t="str" cm="1">
        <f t="array" aca="1" ref="E872" ca="1">_xlfn.IFS(D872="Industrial", "Reinforced Concrete", D872 = "Commercial", CHOOSE(RANDBETWEEN(1, 2), "Reinforced Concrete", "Unreinforced Masonry"), D872 = "Residential", CHOOSE(RANDBETWEEN(1, 3), "Reinforced Concrete", "Unreinforced Masonry", "Adobe / Light Timber"))</f>
        <v>Reinforced Concrete</v>
      </c>
      <c r="F872" s="3">
        <f t="shared" ca="1" si="94"/>
        <v>2003</v>
      </c>
      <c r="G872" s="3">
        <f t="shared" ca="1" si="95"/>
        <v>1</v>
      </c>
      <c r="H872" s="2">
        <f t="shared" ca="1" si="96"/>
        <v>4</v>
      </c>
      <c r="I872" s="4">
        <f t="shared" ca="1" si="97"/>
        <v>4128955</v>
      </c>
    </row>
    <row r="873" spans="1:9">
      <c r="A873" s="1">
        <v>10000872</v>
      </c>
      <c r="B873" s="3" t="str">
        <f t="shared" ca="1" si="91"/>
        <v>Hooghly</v>
      </c>
      <c r="C873" s="3" t="str">
        <f t="shared" ca="1" si="92"/>
        <v>Moderate Risk</v>
      </c>
      <c r="D873" s="3" t="str">
        <f t="shared" ca="1" si="93"/>
        <v>Commercial</v>
      </c>
      <c r="E873" s="3" t="str" cm="1">
        <f t="array" aca="1" ref="E873" ca="1">_xlfn.IFS(D873="Industrial", "Reinforced Concrete", D873 = "Commercial", CHOOSE(RANDBETWEEN(1, 2), "Reinforced Concrete", "Unreinforced Masonry"), D873 = "Residential", CHOOSE(RANDBETWEEN(1, 3), "Reinforced Concrete", "Unreinforced Masonry", "Adobe / Light Timber"))</f>
        <v>Unreinforced Masonry</v>
      </c>
      <c r="F873" s="3">
        <f t="shared" ca="1" si="94"/>
        <v>2008</v>
      </c>
      <c r="G873" s="3">
        <f t="shared" ca="1" si="95"/>
        <v>4</v>
      </c>
      <c r="H873" s="2">
        <f t="shared" ca="1" si="96"/>
        <v>1</v>
      </c>
      <c r="I873" s="4">
        <f t="shared" ca="1" si="97"/>
        <v>8685391</v>
      </c>
    </row>
    <row r="874" spans="1:9">
      <c r="A874" s="1">
        <v>10000873</v>
      </c>
      <c r="B874" s="3" t="str">
        <f t="shared" ca="1" si="91"/>
        <v>Jalpaiguri</v>
      </c>
      <c r="C874" s="3" t="str">
        <f t="shared" ca="1" si="92"/>
        <v>High Risk</v>
      </c>
      <c r="D874" s="3" t="str">
        <f t="shared" ca="1" si="93"/>
        <v>Residential</v>
      </c>
      <c r="E874" s="3" t="str" cm="1">
        <f t="array" aca="1" ref="E874" ca="1">_xlfn.IFS(D874="Industrial", "Reinforced Concrete", D874 = "Commercial", CHOOSE(RANDBETWEEN(1, 2), "Reinforced Concrete", "Unreinforced Masonry"), D874 = "Residential", CHOOSE(RANDBETWEEN(1, 3), "Reinforced Concrete", "Unreinforced Masonry", "Adobe / Light Timber"))</f>
        <v>Reinforced Concrete</v>
      </c>
      <c r="F874" s="3">
        <f t="shared" ca="1" si="94"/>
        <v>2012</v>
      </c>
      <c r="G874" s="3">
        <f t="shared" ca="1" si="95"/>
        <v>3</v>
      </c>
      <c r="H874" s="2">
        <f t="shared" ca="1" si="96"/>
        <v>4</v>
      </c>
      <c r="I874" s="4">
        <f t="shared" ca="1" si="97"/>
        <v>4557580</v>
      </c>
    </row>
    <row r="875" spans="1:9">
      <c r="A875" s="1">
        <v>10000874</v>
      </c>
      <c r="B875" s="3" t="str">
        <f t="shared" ca="1" si="91"/>
        <v>Kolkata</v>
      </c>
      <c r="C875" s="3" t="str">
        <f t="shared" ca="1" si="92"/>
        <v>Moderate Risk</v>
      </c>
      <c r="D875" s="3" t="str">
        <f t="shared" ca="1" si="93"/>
        <v>Industrial</v>
      </c>
      <c r="E875" s="3" t="str" cm="1">
        <f t="array" aca="1" ref="E875" ca="1">_xlfn.IFS(D875="Industrial", "Reinforced Concrete", D875 = "Commercial", CHOOSE(RANDBETWEEN(1, 2), "Reinforced Concrete", "Unreinforced Masonry"), D875 = "Residential", CHOOSE(RANDBETWEEN(1, 3), "Reinforced Concrete", "Unreinforced Masonry", "Adobe / Light Timber"))</f>
        <v>Reinforced Concrete</v>
      </c>
      <c r="F875" s="3">
        <f t="shared" ca="1" si="94"/>
        <v>2007</v>
      </c>
      <c r="G875" s="3">
        <f t="shared" ca="1" si="95"/>
        <v>4</v>
      </c>
      <c r="H875" s="2">
        <f t="shared" ca="1" si="96"/>
        <v>4</v>
      </c>
      <c r="I875" s="4">
        <f t="shared" ca="1" si="97"/>
        <v>66035712</v>
      </c>
    </row>
    <row r="876" spans="1:9">
      <c r="A876" s="1">
        <v>10000875</v>
      </c>
      <c r="B876" s="3" t="str">
        <f t="shared" ca="1" si="91"/>
        <v>Paschim Medinipur</v>
      </c>
      <c r="C876" s="3" t="str">
        <f t="shared" ca="1" si="92"/>
        <v>Moderate Risk</v>
      </c>
      <c r="D876" s="3" t="str">
        <f t="shared" ca="1" si="93"/>
        <v>Industrial</v>
      </c>
      <c r="E876" s="3" t="str" cm="1">
        <f t="array" aca="1" ref="E876" ca="1">_xlfn.IFS(D876="Industrial", "Reinforced Concrete", D876 = "Commercial", CHOOSE(RANDBETWEEN(1, 2), "Reinforced Concrete", "Unreinforced Masonry"), D876 = "Residential", CHOOSE(RANDBETWEEN(1, 3), "Reinforced Concrete", "Unreinforced Masonry", "Adobe / Light Timber"))</f>
        <v>Reinforced Concrete</v>
      </c>
      <c r="F876" s="3">
        <f t="shared" ca="1" si="94"/>
        <v>1987</v>
      </c>
      <c r="G876" s="3">
        <f t="shared" ca="1" si="95"/>
        <v>2</v>
      </c>
      <c r="H876" s="2">
        <f t="shared" ca="1" si="96"/>
        <v>5</v>
      </c>
      <c r="I876" s="4">
        <f t="shared" ca="1" si="97"/>
        <v>39938195</v>
      </c>
    </row>
    <row r="877" spans="1:9">
      <c r="A877" s="1">
        <v>10000876</v>
      </c>
      <c r="B877" s="3" t="str">
        <f t="shared" ca="1" si="91"/>
        <v>Jalpaiguri</v>
      </c>
      <c r="C877" s="3" t="str">
        <f t="shared" ca="1" si="92"/>
        <v>High Risk</v>
      </c>
      <c r="D877" s="3" t="str">
        <f t="shared" ca="1" si="93"/>
        <v>Residential</v>
      </c>
      <c r="E877" s="3" t="str" cm="1">
        <f t="array" aca="1" ref="E877" ca="1">_xlfn.IFS(D877="Industrial", "Reinforced Concrete", D877 = "Commercial", CHOOSE(RANDBETWEEN(1, 2), "Reinforced Concrete", "Unreinforced Masonry"), D877 = "Residential", CHOOSE(RANDBETWEEN(1, 3), "Reinforced Concrete", "Unreinforced Masonry", "Adobe / Light Timber"))</f>
        <v>Reinforced Concrete</v>
      </c>
      <c r="F877" s="3">
        <f t="shared" ca="1" si="94"/>
        <v>2011</v>
      </c>
      <c r="G877" s="3">
        <f t="shared" ca="1" si="95"/>
        <v>5</v>
      </c>
      <c r="H877" s="2">
        <f t="shared" ca="1" si="96"/>
        <v>4</v>
      </c>
      <c r="I877" s="4">
        <f t="shared" ca="1" si="97"/>
        <v>1965152</v>
      </c>
    </row>
    <row r="878" spans="1:9">
      <c r="A878" s="1">
        <v>10000877</v>
      </c>
      <c r="B878" s="3" t="str">
        <f t="shared" ca="1" si="91"/>
        <v>Paschim Medinipur</v>
      </c>
      <c r="C878" s="3" t="str">
        <f t="shared" ca="1" si="92"/>
        <v>Moderate Risk</v>
      </c>
      <c r="D878" s="3" t="str">
        <f t="shared" ca="1" si="93"/>
        <v>Commercial</v>
      </c>
      <c r="E878" s="3" t="str" cm="1">
        <f t="array" aca="1" ref="E878" ca="1">_xlfn.IFS(D878="Industrial", "Reinforced Concrete", D878 = "Commercial", CHOOSE(RANDBETWEEN(1, 2), "Reinforced Concrete", "Unreinforced Masonry"), D878 = "Residential", CHOOSE(RANDBETWEEN(1, 3), "Reinforced Concrete", "Unreinforced Masonry", "Adobe / Light Timber"))</f>
        <v>Reinforced Concrete</v>
      </c>
      <c r="F878" s="3">
        <f t="shared" ca="1" si="94"/>
        <v>1998</v>
      </c>
      <c r="G878" s="3">
        <f t="shared" ca="1" si="95"/>
        <v>4</v>
      </c>
      <c r="H878" s="2">
        <f t="shared" ca="1" si="96"/>
        <v>3</v>
      </c>
      <c r="I878" s="4">
        <f t="shared" ca="1" si="97"/>
        <v>17335933</v>
      </c>
    </row>
    <row r="879" spans="1:9">
      <c r="A879" s="1">
        <v>10000878</v>
      </c>
      <c r="B879" s="3" t="str">
        <f t="shared" ca="1" si="91"/>
        <v>Kolkata</v>
      </c>
      <c r="C879" s="3" t="str">
        <f t="shared" ca="1" si="92"/>
        <v>Moderate Risk</v>
      </c>
      <c r="D879" s="3" t="str">
        <f t="shared" ca="1" si="93"/>
        <v>Commercial</v>
      </c>
      <c r="E879" s="3" t="str" cm="1">
        <f t="array" aca="1" ref="E879" ca="1">_xlfn.IFS(D879="Industrial", "Reinforced Concrete", D879 = "Commercial", CHOOSE(RANDBETWEEN(1, 2), "Reinforced Concrete", "Unreinforced Masonry"), D879 = "Residential", CHOOSE(RANDBETWEEN(1, 3), "Reinforced Concrete", "Unreinforced Masonry", "Adobe / Light Timber"))</f>
        <v>Unreinforced Masonry</v>
      </c>
      <c r="F879" s="3">
        <f t="shared" ca="1" si="94"/>
        <v>2003</v>
      </c>
      <c r="G879" s="3">
        <f t="shared" ca="1" si="95"/>
        <v>2</v>
      </c>
      <c r="H879" s="2">
        <f t="shared" ca="1" si="96"/>
        <v>2</v>
      </c>
      <c r="I879" s="4">
        <f t="shared" ca="1" si="97"/>
        <v>14514609</v>
      </c>
    </row>
    <row r="880" spans="1:9">
      <c r="A880" s="1">
        <v>10000879</v>
      </c>
      <c r="B880" s="3" t="str">
        <f t="shared" ca="1" si="91"/>
        <v>Paschim Medinipur</v>
      </c>
      <c r="C880" s="3" t="str">
        <f t="shared" ca="1" si="92"/>
        <v>Moderate Risk</v>
      </c>
      <c r="D880" s="3" t="str">
        <f t="shared" ca="1" si="93"/>
        <v>Industrial</v>
      </c>
      <c r="E880" s="3" t="str" cm="1">
        <f t="array" aca="1" ref="E880" ca="1">_xlfn.IFS(D880="Industrial", "Reinforced Concrete", D880 = "Commercial", CHOOSE(RANDBETWEEN(1, 2), "Reinforced Concrete", "Unreinforced Masonry"), D880 = "Residential", CHOOSE(RANDBETWEEN(1, 3), "Reinforced Concrete", "Unreinforced Masonry", "Adobe / Light Timber"))</f>
        <v>Reinforced Concrete</v>
      </c>
      <c r="F880" s="3">
        <f t="shared" ca="1" si="94"/>
        <v>1998</v>
      </c>
      <c r="G880" s="3">
        <f t="shared" ca="1" si="95"/>
        <v>3</v>
      </c>
      <c r="H880" s="2">
        <f t="shared" ca="1" si="96"/>
        <v>3</v>
      </c>
      <c r="I880" s="4">
        <f t="shared" ca="1" si="97"/>
        <v>45982374</v>
      </c>
    </row>
    <row r="881" spans="1:9">
      <c r="A881" s="1">
        <v>10000880</v>
      </c>
      <c r="B881" s="3" t="str">
        <f t="shared" ca="1" si="91"/>
        <v>Malda</v>
      </c>
      <c r="C881" s="3" t="str">
        <f t="shared" ca="1" si="92"/>
        <v>High Risk</v>
      </c>
      <c r="D881" s="3" t="str">
        <f t="shared" ca="1" si="93"/>
        <v>Residential</v>
      </c>
      <c r="E881" s="3" t="str" cm="1">
        <f t="array" aca="1" ref="E881" ca="1">_xlfn.IFS(D881="Industrial", "Reinforced Concrete", D881 = "Commercial", CHOOSE(RANDBETWEEN(1, 2), "Reinforced Concrete", "Unreinforced Masonry"), D881 = "Residential", CHOOSE(RANDBETWEEN(1, 3), "Reinforced Concrete", "Unreinforced Masonry", "Adobe / Light Timber"))</f>
        <v>Adobe / Light Timber</v>
      </c>
      <c r="F881" s="3">
        <f t="shared" ca="1" si="94"/>
        <v>2010</v>
      </c>
      <c r="G881" s="3">
        <f t="shared" ca="1" si="95"/>
        <v>1</v>
      </c>
      <c r="H881" s="2">
        <f t="shared" ca="1" si="96"/>
        <v>1</v>
      </c>
      <c r="I881" s="4">
        <f t="shared" ca="1" si="97"/>
        <v>466162</v>
      </c>
    </row>
    <row r="882" spans="1:9">
      <c r="A882" s="1">
        <v>10000881</v>
      </c>
      <c r="B882" s="3" t="str">
        <f t="shared" ca="1" si="91"/>
        <v>Kolkata</v>
      </c>
      <c r="C882" s="3" t="str">
        <f t="shared" ca="1" si="92"/>
        <v>Moderate Risk</v>
      </c>
      <c r="D882" s="3" t="str">
        <f t="shared" ca="1" si="93"/>
        <v>Industrial</v>
      </c>
      <c r="E882" s="3" t="str" cm="1">
        <f t="array" aca="1" ref="E882" ca="1">_xlfn.IFS(D882="Industrial", "Reinforced Concrete", D882 = "Commercial", CHOOSE(RANDBETWEEN(1, 2), "Reinforced Concrete", "Unreinforced Masonry"), D882 = "Residential", CHOOSE(RANDBETWEEN(1, 3), "Reinforced Concrete", "Unreinforced Masonry", "Adobe / Light Timber"))</f>
        <v>Reinforced Concrete</v>
      </c>
      <c r="F882" s="3">
        <f t="shared" ca="1" si="94"/>
        <v>2019</v>
      </c>
      <c r="G882" s="3">
        <f t="shared" ca="1" si="95"/>
        <v>4</v>
      </c>
      <c r="H882" s="2">
        <f t="shared" ca="1" si="96"/>
        <v>4</v>
      </c>
      <c r="I882" s="4">
        <f t="shared" ca="1" si="97"/>
        <v>42087501</v>
      </c>
    </row>
    <row r="883" spans="1:9">
      <c r="A883" s="1">
        <v>10000882</v>
      </c>
      <c r="B883" s="3" t="str">
        <f t="shared" ca="1" si="91"/>
        <v>Malda</v>
      </c>
      <c r="C883" s="3" t="str">
        <f t="shared" ca="1" si="92"/>
        <v>High Risk</v>
      </c>
      <c r="D883" s="3" t="str">
        <f t="shared" ca="1" si="93"/>
        <v>Residential</v>
      </c>
      <c r="E883" s="3" t="str" cm="1">
        <f t="array" aca="1" ref="E883" ca="1">_xlfn.IFS(D883="Industrial", "Reinforced Concrete", D883 = "Commercial", CHOOSE(RANDBETWEEN(1, 2), "Reinforced Concrete", "Unreinforced Masonry"), D883 = "Residential", CHOOSE(RANDBETWEEN(1, 3), "Reinforced Concrete", "Unreinforced Masonry", "Adobe / Light Timber"))</f>
        <v>Adobe / Light Timber</v>
      </c>
      <c r="F883" s="3">
        <f t="shared" ca="1" si="94"/>
        <v>1985</v>
      </c>
      <c r="G883" s="3">
        <f t="shared" ca="1" si="95"/>
        <v>1</v>
      </c>
      <c r="H883" s="2">
        <f t="shared" ca="1" si="96"/>
        <v>1</v>
      </c>
      <c r="I883" s="4">
        <f t="shared" ca="1" si="97"/>
        <v>601164</v>
      </c>
    </row>
    <row r="884" spans="1:9">
      <c r="A884" s="1">
        <v>10000883</v>
      </c>
      <c r="B884" s="3" t="str">
        <f t="shared" ca="1" si="91"/>
        <v>Hooghly</v>
      </c>
      <c r="C884" s="3" t="str">
        <f t="shared" ca="1" si="92"/>
        <v>Moderate Risk</v>
      </c>
      <c r="D884" s="3" t="str">
        <f t="shared" ca="1" si="93"/>
        <v>Industrial</v>
      </c>
      <c r="E884" s="3" t="str" cm="1">
        <f t="array" aca="1" ref="E884" ca="1">_xlfn.IFS(D884="Industrial", "Reinforced Concrete", D884 = "Commercial", CHOOSE(RANDBETWEEN(1, 2), "Reinforced Concrete", "Unreinforced Masonry"), D884 = "Residential", CHOOSE(RANDBETWEEN(1, 3), "Reinforced Concrete", "Unreinforced Masonry", "Adobe / Light Timber"))</f>
        <v>Reinforced Concrete</v>
      </c>
      <c r="F884" s="3">
        <f t="shared" ca="1" si="94"/>
        <v>2020</v>
      </c>
      <c r="G884" s="3">
        <f t="shared" ca="1" si="95"/>
        <v>3</v>
      </c>
      <c r="H884" s="2">
        <f t="shared" ca="1" si="96"/>
        <v>5</v>
      </c>
      <c r="I884" s="4">
        <f t="shared" ca="1" si="97"/>
        <v>49762352</v>
      </c>
    </row>
    <row r="885" spans="1:9">
      <c r="A885" s="1">
        <v>10000884</v>
      </c>
      <c r="B885" s="3" t="str">
        <f t="shared" ca="1" si="91"/>
        <v>Kolkata</v>
      </c>
      <c r="C885" s="3" t="str">
        <f t="shared" ca="1" si="92"/>
        <v>Moderate Risk</v>
      </c>
      <c r="D885" s="3" t="str">
        <f t="shared" ca="1" si="93"/>
        <v>Commercial</v>
      </c>
      <c r="E885" s="3" t="str" cm="1">
        <f t="array" aca="1" ref="E885" ca="1">_xlfn.IFS(D885="Industrial", "Reinforced Concrete", D885 = "Commercial", CHOOSE(RANDBETWEEN(1, 2), "Reinforced Concrete", "Unreinforced Masonry"), D885 = "Residential", CHOOSE(RANDBETWEEN(1, 3), "Reinforced Concrete", "Unreinforced Masonry", "Adobe / Light Timber"))</f>
        <v>Reinforced Concrete</v>
      </c>
      <c r="F885" s="3">
        <f t="shared" ca="1" si="94"/>
        <v>2021</v>
      </c>
      <c r="G885" s="3">
        <f t="shared" ca="1" si="95"/>
        <v>5</v>
      </c>
      <c r="H885" s="2">
        <f t="shared" ca="1" si="96"/>
        <v>3</v>
      </c>
      <c r="I885" s="4">
        <f t="shared" ca="1" si="97"/>
        <v>16152722</v>
      </c>
    </row>
    <row r="886" spans="1:9">
      <c r="A886" s="1">
        <v>10000885</v>
      </c>
      <c r="B886" s="3" t="str">
        <f t="shared" ca="1" si="91"/>
        <v>Malda</v>
      </c>
      <c r="C886" s="3" t="str">
        <f t="shared" ca="1" si="92"/>
        <v>High Risk</v>
      </c>
      <c r="D886" s="3" t="str">
        <f t="shared" ca="1" si="93"/>
        <v>Commercial</v>
      </c>
      <c r="E886" s="3" t="str" cm="1">
        <f t="array" aca="1" ref="E886" ca="1">_xlfn.IFS(D886="Industrial", "Reinforced Concrete", D886 = "Commercial", CHOOSE(RANDBETWEEN(1, 2), "Reinforced Concrete", "Unreinforced Masonry"), D886 = "Residential", CHOOSE(RANDBETWEEN(1, 3), "Reinforced Concrete", "Unreinforced Masonry", "Adobe / Light Timber"))</f>
        <v>Reinforced Concrete</v>
      </c>
      <c r="F886" s="3">
        <f t="shared" ca="1" si="94"/>
        <v>1991</v>
      </c>
      <c r="G886" s="3">
        <f t="shared" ca="1" si="95"/>
        <v>1</v>
      </c>
      <c r="H886" s="2">
        <f t="shared" ca="1" si="96"/>
        <v>5</v>
      </c>
      <c r="I886" s="4">
        <f t="shared" ca="1" si="97"/>
        <v>15330816</v>
      </c>
    </row>
    <row r="887" spans="1:9">
      <c r="A887" s="1">
        <v>10000886</v>
      </c>
      <c r="B887" s="3" t="str">
        <f t="shared" ca="1" si="91"/>
        <v>Kolkata</v>
      </c>
      <c r="C887" s="3" t="str">
        <f t="shared" ca="1" si="92"/>
        <v>Moderate Risk</v>
      </c>
      <c r="D887" s="3" t="str">
        <f t="shared" ca="1" si="93"/>
        <v>Industrial</v>
      </c>
      <c r="E887" s="3" t="str" cm="1">
        <f t="array" aca="1" ref="E887" ca="1">_xlfn.IFS(D887="Industrial", "Reinforced Concrete", D887 = "Commercial", CHOOSE(RANDBETWEEN(1, 2), "Reinforced Concrete", "Unreinforced Masonry"), D887 = "Residential", CHOOSE(RANDBETWEEN(1, 3), "Reinforced Concrete", "Unreinforced Masonry", "Adobe / Light Timber"))</f>
        <v>Reinforced Concrete</v>
      </c>
      <c r="F887" s="3">
        <f t="shared" ca="1" si="94"/>
        <v>1982</v>
      </c>
      <c r="G887" s="3">
        <f t="shared" ca="1" si="95"/>
        <v>5</v>
      </c>
      <c r="H887" s="2">
        <f t="shared" ca="1" si="96"/>
        <v>3</v>
      </c>
      <c r="I887" s="4">
        <f t="shared" ca="1" si="97"/>
        <v>73329287</v>
      </c>
    </row>
    <row r="888" spans="1:9">
      <c r="A888" s="1">
        <v>10000887</v>
      </c>
      <c r="B888" s="3" t="str">
        <f t="shared" ca="1" si="91"/>
        <v>Jalpaiguri</v>
      </c>
      <c r="C888" s="3" t="str">
        <f t="shared" ca="1" si="92"/>
        <v>High Risk</v>
      </c>
      <c r="D888" s="3" t="str">
        <f t="shared" ca="1" si="93"/>
        <v>Industrial</v>
      </c>
      <c r="E888" s="3" t="str" cm="1">
        <f t="array" aca="1" ref="E888" ca="1">_xlfn.IFS(D888="Industrial", "Reinforced Concrete", D888 = "Commercial", CHOOSE(RANDBETWEEN(1, 2), "Reinforced Concrete", "Unreinforced Masonry"), D888 = "Residential", CHOOSE(RANDBETWEEN(1, 3), "Reinforced Concrete", "Unreinforced Masonry", "Adobe / Light Timber"))</f>
        <v>Reinforced Concrete</v>
      </c>
      <c r="F888" s="3">
        <f t="shared" ca="1" si="94"/>
        <v>2014</v>
      </c>
      <c r="G888" s="3">
        <f t="shared" ca="1" si="95"/>
        <v>3</v>
      </c>
      <c r="H888" s="2">
        <f t="shared" ca="1" si="96"/>
        <v>3</v>
      </c>
      <c r="I888" s="4">
        <f t="shared" ca="1" si="97"/>
        <v>59311336</v>
      </c>
    </row>
    <row r="889" spans="1:9">
      <c r="A889" s="1">
        <v>10000888</v>
      </c>
      <c r="B889" s="3" t="str">
        <f t="shared" ca="1" si="91"/>
        <v>Hooghly</v>
      </c>
      <c r="C889" s="3" t="str">
        <f t="shared" ca="1" si="92"/>
        <v>Moderate Risk</v>
      </c>
      <c r="D889" s="3" t="str">
        <f t="shared" ca="1" si="93"/>
        <v>Industrial</v>
      </c>
      <c r="E889" s="3" t="str" cm="1">
        <f t="array" aca="1" ref="E889" ca="1">_xlfn.IFS(D889="Industrial", "Reinforced Concrete", D889 = "Commercial", CHOOSE(RANDBETWEEN(1, 2), "Reinforced Concrete", "Unreinforced Masonry"), D889 = "Residential", CHOOSE(RANDBETWEEN(1, 3), "Reinforced Concrete", "Unreinforced Masonry", "Adobe / Light Timber"))</f>
        <v>Reinforced Concrete</v>
      </c>
      <c r="F889" s="3">
        <f t="shared" ca="1" si="94"/>
        <v>2006</v>
      </c>
      <c r="G889" s="3">
        <f t="shared" ca="1" si="95"/>
        <v>4</v>
      </c>
      <c r="H889" s="2">
        <f t="shared" ca="1" si="96"/>
        <v>3</v>
      </c>
      <c r="I889" s="4">
        <f t="shared" ca="1" si="97"/>
        <v>39141310</v>
      </c>
    </row>
    <row r="890" spans="1:9">
      <c r="A890" s="1">
        <v>10000889</v>
      </c>
      <c r="B890" s="3" t="str">
        <f t="shared" ca="1" si="91"/>
        <v>South 24 Parganas</v>
      </c>
      <c r="C890" s="3" t="str">
        <f t="shared" ca="1" si="92"/>
        <v>High Risk</v>
      </c>
      <c r="D890" s="3" t="str">
        <f t="shared" ca="1" si="93"/>
        <v>Industrial</v>
      </c>
      <c r="E890" s="3" t="str" cm="1">
        <f t="array" aca="1" ref="E890" ca="1">_xlfn.IFS(D890="Industrial", "Reinforced Concrete", D890 = "Commercial", CHOOSE(RANDBETWEEN(1, 2), "Reinforced Concrete", "Unreinforced Masonry"), D890 = "Residential", CHOOSE(RANDBETWEEN(1, 3), "Reinforced Concrete", "Unreinforced Masonry", "Adobe / Light Timber"))</f>
        <v>Reinforced Concrete</v>
      </c>
      <c r="F890" s="3">
        <f t="shared" ca="1" si="94"/>
        <v>2003</v>
      </c>
      <c r="G890" s="3">
        <f t="shared" ca="1" si="95"/>
        <v>2</v>
      </c>
      <c r="H890" s="2">
        <f t="shared" ca="1" si="96"/>
        <v>3</v>
      </c>
      <c r="I890" s="4">
        <f t="shared" ca="1" si="97"/>
        <v>51815933</v>
      </c>
    </row>
    <row r="891" spans="1:9">
      <c r="A891" s="1">
        <v>10000890</v>
      </c>
      <c r="B891" s="3" t="str">
        <f t="shared" ca="1" si="91"/>
        <v>Jalpaiguri</v>
      </c>
      <c r="C891" s="3" t="str">
        <f t="shared" ca="1" si="92"/>
        <v>High Risk</v>
      </c>
      <c r="D891" s="3" t="str">
        <f t="shared" ca="1" si="93"/>
        <v>Commercial</v>
      </c>
      <c r="E891" s="3" t="str" cm="1">
        <f t="array" aca="1" ref="E891" ca="1">_xlfn.IFS(D891="Industrial", "Reinforced Concrete", D891 = "Commercial", CHOOSE(RANDBETWEEN(1, 2), "Reinforced Concrete", "Unreinforced Masonry"), D891 = "Residential", CHOOSE(RANDBETWEEN(1, 3), "Reinforced Concrete", "Unreinforced Masonry", "Adobe / Light Timber"))</f>
        <v>Unreinforced Masonry</v>
      </c>
      <c r="F891" s="3">
        <f t="shared" ca="1" si="94"/>
        <v>1989</v>
      </c>
      <c r="G891" s="3">
        <f t="shared" ca="1" si="95"/>
        <v>3</v>
      </c>
      <c r="H891" s="2">
        <f t="shared" ca="1" si="96"/>
        <v>0</v>
      </c>
      <c r="I891" s="4">
        <f t="shared" ca="1" si="97"/>
        <v>9677179</v>
      </c>
    </row>
    <row r="892" spans="1:9">
      <c r="A892" s="1">
        <v>10000891</v>
      </c>
      <c r="B892" s="3" t="str">
        <f t="shared" ca="1" si="91"/>
        <v>Hooghly</v>
      </c>
      <c r="C892" s="3" t="str">
        <f t="shared" ca="1" si="92"/>
        <v>Moderate Risk</v>
      </c>
      <c r="D892" s="3" t="str">
        <f t="shared" ca="1" si="93"/>
        <v>Industrial</v>
      </c>
      <c r="E892" s="3" t="str" cm="1">
        <f t="array" aca="1" ref="E892" ca="1">_xlfn.IFS(D892="Industrial", "Reinforced Concrete", D892 = "Commercial", CHOOSE(RANDBETWEEN(1, 2), "Reinforced Concrete", "Unreinforced Masonry"), D892 = "Residential", CHOOSE(RANDBETWEEN(1, 3), "Reinforced Concrete", "Unreinforced Masonry", "Adobe / Light Timber"))</f>
        <v>Reinforced Concrete</v>
      </c>
      <c r="F892" s="3">
        <f t="shared" ca="1" si="94"/>
        <v>1993</v>
      </c>
      <c r="G892" s="3">
        <f t="shared" ca="1" si="95"/>
        <v>4</v>
      </c>
      <c r="H892" s="2">
        <f t="shared" ca="1" si="96"/>
        <v>5</v>
      </c>
      <c r="I892" s="4">
        <f t="shared" ca="1" si="97"/>
        <v>44281731</v>
      </c>
    </row>
    <row r="893" spans="1:9">
      <c r="A893" s="1">
        <v>10000892</v>
      </c>
      <c r="B893" s="3" t="str">
        <f t="shared" ca="1" si="91"/>
        <v>South 24 Parganas</v>
      </c>
      <c r="C893" s="3" t="str">
        <f t="shared" ca="1" si="92"/>
        <v>High Risk</v>
      </c>
      <c r="D893" s="3" t="str">
        <f t="shared" ca="1" si="93"/>
        <v>Residential</v>
      </c>
      <c r="E893" s="3" t="str" cm="1">
        <f t="array" aca="1" ref="E893" ca="1">_xlfn.IFS(D893="Industrial", "Reinforced Concrete", D893 = "Commercial", CHOOSE(RANDBETWEEN(1, 2), "Reinforced Concrete", "Unreinforced Masonry"), D893 = "Residential", CHOOSE(RANDBETWEEN(1, 3), "Reinforced Concrete", "Unreinforced Masonry", "Adobe / Light Timber"))</f>
        <v>Adobe / Light Timber</v>
      </c>
      <c r="F893" s="3">
        <f t="shared" ca="1" si="94"/>
        <v>2020</v>
      </c>
      <c r="G893" s="3">
        <f t="shared" ca="1" si="95"/>
        <v>1</v>
      </c>
      <c r="H893" s="2">
        <f t="shared" ca="1" si="96"/>
        <v>2</v>
      </c>
      <c r="I893" s="4">
        <f t="shared" ca="1" si="97"/>
        <v>374663</v>
      </c>
    </row>
    <row r="894" spans="1:9">
      <c r="A894" s="1">
        <v>10000893</v>
      </c>
      <c r="B894" s="3" t="str">
        <f t="shared" ca="1" si="91"/>
        <v>Malda</v>
      </c>
      <c r="C894" s="3" t="str">
        <f t="shared" ca="1" si="92"/>
        <v>High Risk</v>
      </c>
      <c r="D894" s="3" t="str">
        <f t="shared" ca="1" si="93"/>
        <v>Residential</v>
      </c>
      <c r="E894" s="3" t="str" cm="1">
        <f t="array" aca="1" ref="E894" ca="1">_xlfn.IFS(D894="Industrial", "Reinforced Concrete", D894 = "Commercial", CHOOSE(RANDBETWEEN(1, 2), "Reinforced Concrete", "Unreinforced Masonry"), D894 = "Residential", CHOOSE(RANDBETWEEN(1, 3), "Reinforced Concrete", "Unreinforced Masonry", "Adobe / Light Timber"))</f>
        <v>Unreinforced Masonry</v>
      </c>
      <c r="F894" s="3">
        <f t="shared" ca="1" si="94"/>
        <v>1989</v>
      </c>
      <c r="G894" s="3">
        <f t="shared" ca="1" si="95"/>
        <v>3</v>
      </c>
      <c r="H894" s="2">
        <f t="shared" ca="1" si="96"/>
        <v>0</v>
      </c>
      <c r="I894" s="4">
        <f t="shared" ca="1" si="97"/>
        <v>5566749</v>
      </c>
    </row>
    <row r="895" spans="1:9">
      <c r="A895" s="1">
        <v>10000894</v>
      </c>
      <c r="B895" s="3" t="str">
        <f t="shared" ca="1" si="91"/>
        <v>Jalpaiguri</v>
      </c>
      <c r="C895" s="3" t="str">
        <f t="shared" ca="1" si="92"/>
        <v>High Risk</v>
      </c>
      <c r="D895" s="3" t="str">
        <f t="shared" ca="1" si="93"/>
        <v>Residential</v>
      </c>
      <c r="E895" s="3" t="str" cm="1">
        <f t="array" aca="1" ref="E895" ca="1">_xlfn.IFS(D895="Industrial", "Reinforced Concrete", D895 = "Commercial", CHOOSE(RANDBETWEEN(1, 2), "Reinforced Concrete", "Unreinforced Masonry"), D895 = "Residential", CHOOSE(RANDBETWEEN(1, 3), "Reinforced Concrete", "Unreinforced Masonry", "Adobe / Light Timber"))</f>
        <v>Reinforced Concrete</v>
      </c>
      <c r="F895" s="3">
        <f t="shared" ca="1" si="94"/>
        <v>2006</v>
      </c>
      <c r="G895" s="3">
        <f t="shared" ca="1" si="95"/>
        <v>3</v>
      </c>
      <c r="H895" s="2">
        <f t="shared" ca="1" si="96"/>
        <v>3</v>
      </c>
      <c r="I895" s="4">
        <f t="shared" ca="1" si="97"/>
        <v>585152</v>
      </c>
    </row>
    <row r="896" spans="1:9">
      <c r="A896" s="1">
        <v>10000895</v>
      </c>
      <c r="B896" s="3" t="str">
        <f t="shared" ca="1" si="91"/>
        <v>Paschim Medinipur</v>
      </c>
      <c r="C896" s="3" t="str">
        <f t="shared" ca="1" si="92"/>
        <v>Moderate Risk</v>
      </c>
      <c r="D896" s="3" t="str">
        <f t="shared" ca="1" si="93"/>
        <v>Residential</v>
      </c>
      <c r="E896" s="3" t="str" cm="1">
        <f t="array" aca="1" ref="E896" ca="1">_xlfn.IFS(D896="Industrial", "Reinforced Concrete", D896 = "Commercial", CHOOSE(RANDBETWEEN(1, 2), "Reinforced Concrete", "Unreinforced Masonry"), D896 = "Residential", CHOOSE(RANDBETWEEN(1, 3), "Reinforced Concrete", "Unreinforced Masonry", "Adobe / Light Timber"))</f>
        <v>Unreinforced Masonry</v>
      </c>
      <c r="F896" s="3">
        <f t="shared" ca="1" si="94"/>
        <v>2022</v>
      </c>
      <c r="G896" s="3">
        <f t="shared" ca="1" si="95"/>
        <v>2</v>
      </c>
      <c r="H896" s="2">
        <f t="shared" ca="1" si="96"/>
        <v>1</v>
      </c>
      <c r="I896" s="4">
        <f t="shared" ca="1" si="97"/>
        <v>4379246</v>
      </c>
    </row>
    <row r="897" spans="1:9">
      <c r="A897" s="1">
        <v>10000896</v>
      </c>
      <c r="B897" s="3" t="str">
        <f t="shared" ca="1" si="91"/>
        <v>Paschim Medinipur</v>
      </c>
      <c r="C897" s="3" t="str">
        <f t="shared" ca="1" si="92"/>
        <v>Moderate Risk</v>
      </c>
      <c r="D897" s="3" t="str">
        <f t="shared" ca="1" si="93"/>
        <v>Industrial</v>
      </c>
      <c r="E897" s="3" t="str" cm="1">
        <f t="array" aca="1" ref="E897" ca="1">_xlfn.IFS(D897="Industrial", "Reinforced Concrete", D897 = "Commercial", CHOOSE(RANDBETWEEN(1, 2), "Reinforced Concrete", "Unreinforced Masonry"), D897 = "Residential", CHOOSE(RANDBETWEEN(1, 3), "Reinforced Concrete", "Unreinforced Masonry", "Adobe / Light Timber"))</f>
        <v>Reinforced Concrete</v>
      </c>
      <c r="F897" s="3">
        <f t="shared" ca="1" si="94"/>
        <v>1999</v>
      </c>
      <c r="G897" s="3">
        <f t="shared" ca="1" si="95"/>
        <v>3</v>
      </c>
      <c r="H897" s="2">
        <f t="shared" ca="1" si="96"/>
        <v>5</v>
      </c>
      <c r="I897" s="4">
        <f t="shared" ca="1" si="97"/>
        <v>64882083</v>
      </c>
    </row>
    <row r="898" spans="1:9">
      <c r="A898" s="1">
        <v>10000897</v>
      </c>
      <c r="B898" s="3" t="str">
        <f t="shared" ca="1" si="91"/>
        <v>Jalpaiguri</v>
      </c>
      <c r="C898" s="3" t="str">
        <f t="shared" ca="1" si="92"/>
        <v>High Risk</v>
      </c>
      <c r="D898" s="3" t="str">
        <f t="shared" ca="1" si="93"/>
        <v>Industrial</v>
      </c>
      <c r="E898" s="3" t="str" cm="1">
        <f t="array" aca="1" ref="E898" ca="1">_xlfn.IFS(D898="Industrial", "Reinforced Concrete", D898 = "Commercial", CHOOSE(RANDBETWEEN(1, 2), "Reinforced Concrete", "Unreinforced Masonry"), D898 = "Residential", CHOOSE(RANDBETWEEN(1, 3), "Reinforced Concrete", "Unreinforced Masonry", "Adobe / Light Timber"))</f>
        <v>Reinforced Concrete</v>
      </c>
      <c r="F898" s="3">
        <f t="shared" ca="1" si="94"/>
        <v>1998</v>
      </c>
      <c r="G898" s="3">
        <f t="shared" ca="1" si="95"/>
        <v>5</v>
      </c>
      <c r="H898" s="2">
        <f t="shared" ca="1" si="96"/>
        <v>4</v>
      </c>
      <c r="I898" s="4">
        <f t="shared" ca="1" si="97"/>
        <v>49670964</v>
      </c>
    </row>
    <row r="899" spans="1:9">
      <c r="A899" s="1">
        <v>10000898</v>
      </c>
      <c r="B899" s="3" t="str">
        <f t="shared" ref="B899:B962" ca="1" si="98">CHOOSE(RANDBETWEEN(1, 6),"South 24 Parganas", "Malda", "Jalpaiguri","Kolkata","Hooghly","Paschim Medinipur")</f>
        <v>Jalpaiguri</v>
      </c>
      <c r="C899" s="3" t="str">
        <f t="shared" ref="C899:C962" ca="1" si="99">IF(OR(B899 = "South 24 Parganas", B899 = "Malda", B899 = "Jalpaiguri"), "High Risk", "Moderate Risk")</f>
        <v>High Risk</v>
      </c>
      <c r="D899" s="3" t="str">
        <f t="shared" ref="D899:D962" ca="1" si="100">CHOOSE(RANDBETWEEN(1, 3), "Residential","Commercial","Industrial")</f>
        <v>Residential</v>
      </c>
      <c r="E899" s="3" t="str" cm="1">
        <f t="array" aca="1" ref="E899" ca="1">_xlfn.IFS(D899="Industrial", "Reinforced Concrete", D899 = "Commercial", CHOOSE(RANDBETWEEN(1, 2), "Reinforced Concrete", "Unreinforced Masonry"), D899 = "Residential", CHOOSE(RANDBETWEEN(1, 3), "Reinforced Concrete", "Unreinforced Masonry", "Adobe / Light Timber"))</f>
        <v>Unreinforced Masonry</v>
      </c>
      <c r="F899" s="3">
        <f t="shared" ref="F899:F962" ca="1" si="101">RANDBETWEEN(1980, 2024)</f>
        <v>1997</v>
      </c>
      <c r="G899" s="3">
        <f t="shared" ref="G899:G962" ca="1" si="102">IF(E899 = "Adobe / Light Timber", 1, RANDBETWEEN(1, 5))</f>
        <v>5</v>
      </c>
      <c r="H899" s="2">
        <f t="shared" ref="H899:H962" ca="1" si="103">IF(E899="Reinforced Concrete",RANDBETWEEN(3, 5),RANDBETWEEN(0,2))</f>
        <v>0</v>
      </c>
      <c r="I899" s="4">
        <f t="shared" ref="I899:I962" ca="1" si="104">MAX(200000, _xlfn.IFS(D899 = "Industrial", ROUND(_xlfn.NORM.INV(RAND(), 50000000, 10000000), 0), D899 = "Commercial",ROUND(_xlfn.NORM.INV(RAND(), 15000000, 5000000), 0),E899 = "Adobe / Light Timber", ROUND(_xlfn.NORM.INV(RAND(), 500000, 100000), 0),TRUE, ROUND(_xlfn.NORM.INV(RAND(), 4000000, 1500000), 0)))</f>
        <v>5197346</v>
      </c>
    </row>
    <row r="900" spans="1:9">
      <c r="A900" s="1">
        <v>10000899</v>
      </c>
      <c r="B900" s="3" t="str">
        <f t="shared" ca="1" si="98"/>
        <v>Malda</v>
      </c>
      <c r="C900" s="3" t="str">
        <f t="shared" ca="1" si="99"/>
        <v>High Risk</v>
      </c>
      <c r="D900" s="3" t="str">
        <f t="shared" ca="1" si="100"/>
        <v>Industrial</v>
      </c>
      <c r="E900" s="3" t="str" cm="1">
        <f t="array" aca="1" ref="E900" ca="1">_xlfn.IFS(D900="Industrial", "Reinforced Concrete", D900 = "Commercial", CHOOSE(RANDBETWEEN(1, 2), "Reinforced Concrete", "Unreinforced Masonry"), D900 = "Residential", CHOOSE(RANDBETWEEN(1, 3), "Reinforced Concrete", "Unreinforced Masonry", "Adobe / Light Timber"))</f>
        <v>Reinforced Concrete</v>
      </c>
      <c r="F900" s="3">
        <f t="shared" ca="1" si="101"/>
        <v>1989</v>
      </c>
      <c r="G900" s="3">
        <f t="shared" ca="1" si="102"/>
        <v>5</v>
      </c>
      <c r="H900" s="2">
        <f t="shared" ca="1" si="103"/>
        <v>5</v>
      </c>
      <c r="I900" s="4">
        <f t="shared" ca="1" si="104"/>
        <v>38064609</v>
      </c>
    </row>
    <row r="901" spans="1:9">
      <c r="A901" s="1">
        <v>10000900</v>
      </c>
      <c r="B901" s="3" t="str">
        <f t="shared" ca="1" si="98"/>
        <v>Paschim Medinipur</v>
      </c>
      <c r="C901" s="3" t="str">
        <f t="shared" ca="1" si="99"/>
        <v>Moderate Risk</v>
      </c>
      <c r="D901" s="3" t="str">
        <f t="shared" ca="1" si="100"/>
        <v>Commercial</v>
      </c>
      <c r="E901" s="3" t="str" cm="1">
        <f t="array" aca="1" ref="E901" ca="1">_xlfn.IFS(D901="Industrial", "Reinforced Concrete", D901 = "Commercial", CHOOSE(RANDBETWEEN(1, 2), "Reinforced Concrete", "Unreinforced Masonry"), D901 = "Residential", CHOOSE(RANDBETWEEN(1, 3), "Reinforced Concrete", "Unreinforced Masonry", "Adobe / Light Timber"))</f>
        <v>Reinforced Concrete</v>
      </c>
      <c r="F901" s="3">
        <f t="shared" ca="1" si="101"/>
        <v>2004</v>
      </c>
      <c r="G901" s="3">
        <f t="shared" ca="1" si="102"/>
        <v>3</v>
      </c>
      <c r="H901" s="2">
        <f t="shared" ca="1" si="103"/>
        <v>4</v>
      </c>
      <c r="I901" s="4">
        <f t="shared" ca="1" si="104"/>
        <v>9859440</v>
      </c>
    </row>
    <row r="902" spans="1:9">
      <c r="A902" s="1">
        <v>10000901</v>
      </c>
      <c r="B902" s="3" t="str">
        <f t="shared" ca="1" si="98"/>
        <v>Malda</v>
      </c>
      <c r="C902" s="3" t="str">
        <f t="shared" ca="1" si="99"/>
        <v>High Risk</v>
      </c>
      <c r="D902" s="3" t="str">
        <f t="shared" ca="1" si="100"/>
        <v>Commercial</v>
      </c>
      <c r="E902" s="3" t="str" cm="1">
        <f t="array" aca="1" ref="E902" ca="1">_xlfn.IFS(D902="Industrial", "Reinforced Concrete", D902 = "Commercial", CHOOSE(RANDBETWEEN(1, 2), "Reinforced Concrete", "Unreinforced Masonry"), D902 = "Residential", CHOOSE(RANDBETWEEN(1, 3), "Reinforced Concrete", "Unreinforced Masonry", "Adobe / Light Timber"))</f>
        <v>Unreinforced Masonry</v>
      </c>
      <c r="F902" s="3">
        <f t="shared" ca="1" si="101"/>
        <v>2007</v>
      </c>
      <c r="G902" s="3">
        <f t="shared" ca="1" si="102"/>
        <v>2</v>
      </c>
      <c r="H902" s="2">
        <f t="shared" ca="1" si="103"/>
        <v>2</v>
      </c>
      <c r="I902" s="4">
        <f t="shared" ca="1" si="104"/>
        <v>22995274</v>
      </c>
    </row>
    <row r="903" spans="1:9">
      <c r="A903" s="1">
        <v>10000902</v>
      </c>
      <c r="B903" s="3" t="str">
        <f t="shared" ca="1" si="98"/>
        <v>South 24 Parganas</v>
      </c>
      <c r="C903" s="3" t="str">
        <f t="shared" ca="1" si="99"/>
        <v>High Risk</v>
      </c>
      <c r="D903" s="3" t="str">
        <f t="shared" ca="1" si="100"/>
        <v>Industrial</v>
      </c>
      <c r="E903" s="3" t="str" cm="1">
        <f t="array" aca="1" ref="E903" ca="1">_xlfn.IFS(D903="Industrial", "Reinforced Concrete", D903 = "Commercial", CHOOSE(RANDBETWEEN(1, 2), "Reinforced Concrete", "Unreinforced Masonry"), D903 = "Residential", CHOOSE(RANDBETWEEN(1, 3), "Reinforced Concrete", "Unreinforced Masonry", "Adobe / Light Timber"))</f>
        <v>Reinforced Concrete</v>
      </c>
      <c r="F903" s="3">
        <f t="shared" ca="1" si="101"/>
        <v>2010</v>
      </c>
      <c r="G903" s="3">
        <f t="shared" ca="1" si="102"/>
        <v>5</v>
      </c>
      <c r="H903" s="2">
        <f t="shared" ca="1" si="103"/>
        <v>5</v>
      </c>
      <c r="I903" s="4">
        <f t="shared" ca="1" si="104"/>
        <v>37957576</v>
      </c>
    </row>
    <row r="904" spans="1:9">
      <c r="A904" s="1">
        <v>10000903</v>
      </c>
      <c r="B904" s="3" t="str">
        <f t="shared" ca="1" si="98"/>
        <v>Jalpaiguri</v>
      </c>
      <c r="C904" s="3" t="str">
        <f t="shared" ca="1" si="99"/>
        <v>High Risk</v>
      </c>
      <c r="D904" s="3" t="str">
        <f t="shared" ca="1" si="100"/>
        <v>Residential</v>
      </c>
      <c r="E904" s="3" t="str" cm="1">
        <f t="array" aca="1" ref="E904" ca="1">_xlfn.IFS(D904="Industrial", "Reinforced Concrete", D904 = "Commercial", CHOOSE(RANDBETWEEN(1, 2), "Reinforced Concrete", "Unreinforced Masonry"), D904 = "Residential", CHOOSE(RANDBETWEEN(1, 3), "Reinforced Concrete", "Unreinforced Masonry", "Adobe / Light Timber"))</f>
        <v>Adobe / Light Timber</v>
      </c>
      <c r="F904" s="3">
        <f t="shared" ca="1" si="101"/>
        <v>1988</v>
      </c>
      <c r="G904" s="3">
        <f t="shared" ca="1" si="102"/>
        <v>1</v>
      </c>
      <c r="H904" s="2">
        <f t="shared" ca="1" si="103"/>
        <v>1</v>
      </c>
      <c r="I904" s="4">
        <f t="shared" ca="1" si="104"/>
        <v>442585</v>
      </c>
    </row>
    <row r="905" spans="1:9">
      <c r="A905" s="1">
        <v>10000904</v>
      </c>
      <c r="B905" s="3" t="str">
        <f t="shared" ca="1" si="98"/>
        <v>Paschim Medinipur</v>
      </c>
      <c r="C905" s="3" t="str">
        <f t="shared" ca="1" si="99"/>
        <v>Moderate Risk</v>
      </c>
      <c r="D905" s="3" t="str">
        <f t="shared" ca="1" si="100"/>
        <v>Industrial</v>
      </c>
      <c r="E905" s="3" t="str" cm="1">
        <f t="array" aca="1" ref="E905" ca="1">_xlfn.IFS(D905="Industrial", "Reinforced Concrete", D905 = "Commercial", CHOOSE(RANDBETWEEN(1, 2), "Reinforced Concrete", "Unreinforced Masonry"), D905 = "Residential", CHOOSE(RANDBETWEEN(1, 3), "Reinforced Concrete", "Unreinforced Masonry", "Adobe / Light Timber"))</f>
        <v>Reinforced Concrete</v>
      </c>
      <c r="F905" s="3">
        <f t="shared" ca="1" si="101"/>
        <v>1997</v>
      </c>
      <c r="G905" s="3">
        <f t="shared" ca="1" si="102"/>
        <v>5</v>
      </c>
      <c r="H905" s="2">
        <f t="shared" ca="1" si="103"/>
        <v>4</v>
      </c>
      <c r="I905" s="4">
        <f t="shared" ca="1" si="104"/>
        <v>37599764</v>
      </c>
    </row>
    <row r="906" spans="1:9">
      <c r="A906" s="1">
        <v>10000905</v>
      </c>
      <c r="B906" s="3" t="str">
        <f t="shared" ca="1" si="98"/>
        <v>Paschim Medinipur</v>
      </c>
      <c r="C906" s="3" t="str">
        <f t="shared" ca="1" si="99"/>
        <v>Moderate Risk</v>
      </c>
      <c r="D906" s="3" t="str">
        <f t="shared" ca="1" si="100"/>
        <v>Commercial</v>
      </c>
      <c r="E906" s="3" t="str" cm="1">
        <f t="array" aca="1" ref="E906" ca="1">_xlfn.IFS(D906="Industrial", "Reinforced Concrete", D906 = "Commercial", CHOOSE(RANDBETWEEN(1, 2), "Reinforced Concrete", "Unreinforced Masonry"), D906 = "Residential", CHOOSE(RANDBETWEEN(1, 3), "Reinforced Concrete", "Unreinforced Masonry", "Adobe / Light Timber"))</f>
        <v>Reinforced Concrete</v>
      </c>
      <c r="F906" s="3">
        <f t="shared" ca="1" si="101"/>
        <v>2020</v>
      </c>
      <c r="G906" s="3">
        <f t="shared" ca="1" si="102"/>
        <v>1</v>
      </c>
      <c r="H906" s="2">
        <f t="shared" ca="1" si="103"/>
        <v>4</v>
      </c>
      <c r="I906" s="4">
        <f t="shared" ca="1" si="104"/>
        <v>18707735</v>
      </c>
    </row>
    <row r="907" spans="1:9">
      <c r="A907" s="1">
        <v>10000906</v>
      </c>
      <c r="B907" s="3" t="str">
        <f t="shared" ca="1" si="98"/>
        <v>Kolkata</v>
      </c>
      <c r="C907" s="3" t="str">
        <f t="shared" ca="1" si="99"/>
        <v>Moderate Risk</v>
      </c>
      <c r="D907" s="3" t="str">
        <f t="shared" ca="1" si="100"/>
        <v>Industrial</v>
      </c>
      <c r="E907" s="3" t="str" cm="1">
        <f t="array" aca="1" ref="E907" ca="1">_xlfn.IFS(D907="Industrial", "Reinforced Concrete", D907 = "Commercial", CHOOSE(RANDBETWEEN(1, 2), "Reinforced Concrete", "Unreinforced Masonry"), D907 = "Residential", CHOOSE(RANDBETWEEN(1, 3), "Reinforced Concrete", "Unreinforced Masonry", "Adobe / Light Timber"))</f>
        <v>Reinforced Concrete</v>
      </c>
      <c r="F907" s="3">
        <f t="shared" ca="1" si="101"/>
        <v>1998</v>
      </c>
      <c r="G907" s="3">
        <f t="shared" ca="1" si="102"/>
        <v>3</v>
      </c>
      <c r="H907" s="2">
        <f t="shared" ca="1" si="103"/>
        <v>4</v>
      </c>
      <c r="I907" s="4">
        <f t="shared" ca="1" si="104"/>
        <v>53177058</v>
      </c>
    </row>
    <row r="908" spans="1:9">
      <c r="A908" s="1">
        <v>10000907</v>
      </c>
      <c r="B908" s="3" t="str">
        <f t="shared" ca="1" si="98"/>
        <v>Hooghly</v>
      </c>
      <c r="C908" s="3" t="str">
        <f t="shared" ca="1" si="99"/>
        <v>Moderate Risk</v>
      </c>
      <c r="D908" s="3" t="str">
        <f t="shared" ca="1" si="100"/>
        <v>Industrial</v>
      </c>
      <c r="E908" s="3" t="str" cm="1">
        <f t="array" aca="1" ref="E908" ca="1">_xlfn.IFS(D908="Industrial", "Reinforced Concrete", D908 = "Commercial", CHOOSE(RANDBETWEEN(1, 2), "Reinforced Concrete", "Unreinforced Masonry"), D908 = "Residential", CHOOSE(RANDBETWEEN(1, 3), "Reinforced Concrete", "Unreinforced Masonry", "Adobe / Light Timber"))</f>
        <v>Reinforced Concrete</v>
      </c>
      <c r="F908" s="3">
        <f t="shared" ca="1" si="101"/>
        <v>2022</v>
      </c>
      <c r="G908" s="3">
        <f t="shared" ca="1" si="102"/>
        <v>4</v>
      </c>
      <c r="H908" s="2">
        <f t="shared" ca="1" si="103"/>
        <v>3</v>
      </c>
      <c r="I908" s="4">
        <f t="shared" ca="1" si="104"/>
        <v>47630343</v>
      </c>
    </row>
    <row r="909" spans="1:9">
      <c r="A909" s="1">
        <v>10000908</v>
      </c>
      <c r="B909" s="3" t="str">
        <f t="shared" ca="1" si="98"/>
        <v>Hooghly</v>
      </c>
      <c r="C909" s="3" t="str">
        <f t="shared" ca="1" si="99"/>
        <v>Moderate Risk</v>
      </c>
      <c r="D909" s="3" t="str">
        <f t="shared" ca="1" si="100"/>
        <v>Commercial</v>
      </c>
      <c r="E909" s="3" t="str" cm="1">
        <f t="array" aca="1" ref="E909" ca="1">_xlfn.IFS(D909="Industrial", "Reinforced Concrete", D909 = "Commercial", CHOOSE(RANDBETWEEN(1, 2), "Reinforced Concrete", "Unreinforced Masonry"), D909 = "Residential", CHOOSE(RANDBETWEEN(1, 3), "Reinforced Concrete", "Unreinforced Masonry", "Adobe / Light Timber"))</f>
        <v>Unreinforced Masonry</v>
      </c>
      <c r="F909" s="3">
        <f t="shared" ca="1" si="101"/>
        <v>2019</v>
      </c>
      <c r="G909" s="3">
        <f t="shared" ca="1" si="102"/>
        <v>1</v>
      </c>
      <c r="H909" s="2">
        <f t="shared" ca="1" si="103"/>
        <v>0</v>
      </c>
      <c r="I909" s="4">
        <f t="shared" ca="1" si="104"/>
        <v>22523080</v>
      </c>
    </row>
    <row r="910" spans="1:9">
      <c r="A910" s="1">
        <v>10000909</v>
      </c>
      <c r="B910" s="3" t="str">
        <f t="shared" ca="1" si="98"/>
        <v>Hooghly</v>
      </c>
      <c r="C910" s="3" t="str">
        <f t="shared" ca="1" si="99"/>
        <v>Moderate Risk</v>
      </c>
      <c r="D910" s="3" t="str">
        <f t="shared" ca="1" si="100"/>
        <v>Residential</v>
      </c>
      <c r="E910" s="3" t="str" cm="1">
        <f t="array" aca="1" ref="E910" ca="1">_xlfn.IFS(D910="Industrial", "Reinforced Concrete", D910 = "Commercial", CHOOSE(RANDBETWEEN(1, 2), "Reinforced Concrete", "Unreinforced Masonry"), D910 = "Residential", CHOOSE(RANDBETWEEN(1, 3), "Reinforced Concrete", "Unreinforced Masonry", "Adobe / Light Timber"))</f>
        <v>Reinforced Concrete</v>
      </c>
      <c r="F910" s="3">
        <f t="shared" ca="1" si="101"/>
        <v>2009</v>
      </c>
      <c r="G910" s="3">
        <f t="shared" ca="1" si="102"/>
        <v>5</v>
      </c>
      <c r="H910" s="2">
        <f t="shared" ca="1" si="103"/>
        <v>5</v>
      </c>
      <c r="I910" s="4">
        <f t="shared" ca="1" si="104"/>
        <v>2951607</v>
      </c>
    </row>
    <row r="911" spans="1:9">
      <c r="A911" s="1">
        <v>10000910</v>
      </c>
      <c r="B911" s="3" t="str">
        <f t="shared" ca="1" si="98"/>
        <v>Jalpaiguri</v>
      </c>
      <c r="C911" s="3" t="str">
        <f t="shared" ca="1" si="99"/>
        <v>High Risk</v>
      </c>
      <c r="D911" s="3" t="str">
        <f t="shared" ca="1" si="100"/>
        <v>Commercial</v>
      </c>
      <c r="E911" s="3" t="str" cm="1">
        <f t="array" aca="1" ref="E911" ca="1">_xlfn.IFS(D911="Industrial", "Reinforced Concrete", D911 = "Commercial", CHOOSE(RANDBETWEEN(1, 2), "Reinforced Concrete", "Unreinforced Masonry"), D911 = "Residential", CHOOSE(RANDBETWEEN(1, 3), "Reinforced Concrete", "Unreinforced Masonry", "Adobe / Light Timber"))</f>
        <v>Reinforced Concrete</v>
      </c>
      <c r="F911" s="3">
        <f t="shared" ca="1" si="101"/>
        <v>1999</v>
      </c>
      <c r="G911" s="3">
        <f t="shared" ca="1" si="102"/>
        <v>5</v>
      </c>
      <c r="H911" s="2">
        <f t="shared" ca="1" si="103"/>
        <v>3</v>
      </c>
      <c r="I911" s="4">
        <f t="shared" ca="1" si="104"/>
        <v>6373140</v>
      </c>
    </row>
    <row r="912" spans="1:9">
      <c r="A912" s="1">
        <v>10000911</v>
      </c>
      <c r="B912" s="3" t="str">
        <f t="shared" ca="1" si="98"/>
        <v>South 24 Parganas</v>
      </c>
      <c r="C912" s="3" t="str">
        <f t="shared" ca="1" si="99"/>
        <v>High Risk</v>
      </c>
      <c r="D912" s="3" t="str">
        <f t="shared" ca="1" si="100"/>
        <v>Residential</v>
      </c>
      <c r="E912" s="3" t="str" cm="1">
        <f t="array" aca="1" ref="E912" ca="1">_xlfn.IFS(D912="Industrial", "Reinforced Concrete", D912 = "Commercial", CHOOSE(RANDBETWEEN(1, 2), "Reinforced Concrete", "Unreinforced Masonry"), D912 = "Residential", CHOOSE(RANDBETWEEN(1, 3), "Reinforced Concrete", "Unreinforced Masonry", "Adobe / Light Timber"))</f>
        <v>Adobe / Light Timber</v>
      </c>
      <c r="F912" s="3">
        <f t="shared" ca="1" si="101"/>
        <v>2011</v>
      </c>
      <c r="G912" s="3">
        <f t="shared" ca="1" si="102"/>
        <v>1</v>
      </c>
      <c r="H912" s="2">
        <f t="shared" ca="1" si="103"/>
        <v>2</v>
      </c>
      <c r="I912" s="4">
        <f t="shared" ca="1" si="104"/>
        <v>413001</v>
      </c>
    </row>
    <row r="913" spans="1:9">
      <c r="A913" s="1">
        <v>10000912</v>
      </c>
      <c r="B913" s="3" t="str">
        <f t="shared" ca="1" si="98"/>
        <v>Malda</v>
      </c>
      <c r="C913" s="3" t="str">
        <f t="shared" ca="1" si="99"/>
        <v>High Risk</v>
      </c>
      <c r="D913" s="3" t="str">
        <f t="shared" ca="1" si="100"/>
        <v>Residential</v>
      </c>
      <c r="E913" s="3" t="str" cm="1">
        <f t="array" aca="1" ref="E913" ca="1">_xlfn.IFS(D913="Industrial", "Reinforced Concrete", D913 = "Commercial", CHOOSE(RANDBETWEEN(1, 2), "Reinforced Concrete", "Unreinforced Masonry"), D913 = "Residential", CHOOSE(RANDBETWEEN(1, 3), "Reinforced Concrete", "Unreinforced Masonry", "Adobe / Light Timber"))</f>
        <v>Unreinforced Masonry</v>
      </c>
      <c r="F913" s="3">
        <f t="shared" ca="1" si="101"/>
        <v>1990</v>
      </c>
      <c r="G913" s="3">
        <f t="shared" ca="1" si="102"/>
        <v>1</v>
      </c>
      <c r="H913" s="2">
        <f t="shared" ca="1" si="103"/>
        <v>0</v>
      </c>
      <c r="I913" s="4">
        <f t="shared" ca="1" si="104"/>
        <v>2070369</v>
      </c>
    </row>
    <row r="914" spans="1:9">
      <c r="A914" s="1">
        <v>10000913</v>
      </c>
      <c r="B914" s="3" t="str">
        <f t="shared" ca="1" si="98"/>
        <v>Kolkata</v>
      </c>
      <c r="C914" s="3" t="str">
        <f t="shared" ca="1" si="99"/>
        <v>Moderate Risk</v>
      </c>
      <c r="D914" s="3" t="str">
        <f t="shared" ca="1" si="100"/>
        <v>Industrial</v>
      </c>
      <c r="E914" s="3" t="str" cm="1">
        <f t="array" aca="1" ref="E914" ca="1">_xlfn.IFS(D914="Industrial", "Reinforced Concrete", D914 = "Commercial", CHOOSE(RANDBETWEEN(1, 2), "Reinforced Concrete", "Unreinforced Masonry"), D914 = "Residential", CHOOSE(RANDBETWEEN(1, 3), "Reinforced Concrete", "Unreinforced Masonry", "Adobe / Light Timber"))</f>
        <v>Reinforced Concrete</v>
      </c>
      <c r="F914" s="3">
        <f t="shared" ca="1" si="101"/>
        <v>1990</v>
      </c>
      <c r="G914" s="3">
        <f t="shared" ca="1" si="102"/>
        <v>4</v>
      </c>
      <c r="H914" s="2">
        <f t="shared" ca="1" si="103"/>
        <v>5</v>
      </c>
      <c r="I914" s="4">
        <f t="shared" ca="1" si="104"/>
        <v>63396328</v>
      </c>
    </row>
    <row r="915" spans="1:9">
      <c r="A915" s="1">
        <v>10000914</v>
      </c>
      <c r="B915" s="3" t="str">
        <f t="shared" ca="1" si="98"/>
        <v>Jalpaiguri</v>
      </c>
      <c r="C915" s="3" t="str">
        <f t="shared" ca="1" si="99"/>
        <v>High Risk</v>
      </c>
      <c r="D915" s="3" t="str">
        <f t="shared" ca="1" si="100"/>
        <v>Industrial</v>
      </c>
      <c r="E915" s="3" t="str" cm="1">
        <f t="array" aca="1" ref="E915" ca="1">_xlfn.IFS(D915="Industrial", "Reinforced Concrete", D915 = "Commercial", CHOOSE(RANDBETWEEN(1, 2), "Reinforced Concrete", "Unreinforced Masonry"), D915 = "Residential", CHOOSE(RANDBETWEEN(1, 3), "Reinforced Concrete", "Unreinforced Masonry", "Adobe / Light Timber"))</f>
        <v>Reinforced Concrete</v>
      </c>
      <c r="F915" s="3">
        <f t="shared" ca="1" si="101"/>
        <v>1991</v>
      </c>
      <c r="G915" s="3">
        <f t="shared" ca="1" si="102"/>
        <v>1</v>
      </c>
      <c r="H915" s="2">
        <f t="shared" ca="1" si="103"/>
        <v>4</v>
      </c>
      <c r="I915" s="4">
        <f t="shared" ca="1" si="104"/>
        <v>51429565</v>
      </c>
    </row>
    <row r="916" spans="1:9">
      <c r="A916" s="1">
        <v>10000915</v>
      </c>
      <c r="B916" s="3" t="str">
        <f t="shared" ca="1" si="98"/>
        <v>South 24 Parganas</v>
      </c>
      <c r="C916" s="3" t="str">
        <f t="shared" ca="1" si="99"/>
        <v>High Risk</v>
      </c>
      <c r="D916" s="3" t="str">
        <f t="shared" ca="1" si="100"/>
        <v>Industrial</v>
      </c>
      <c r="E916" s="3" t="str" cm="1">
        <f t="array" aca="1" ref="E916" ca="1">_xlfn.IFS(D916="Industrial", "Reinforced Concrete", D916 = "Commercial", CHOOSE(RANDBETWEEN(1, 2), "Reinforced Concrete", "Unreinforced Masonry"), D916 = "Residential", CHOOSE(RANDBETWEEN(1, 3), "Reinforced Concrete", "Unreinforced Masonry", "Adobe / Light Timber"))</f>
        <v>Reinforced Concrete</v>
      </c>
      <c r="F916" s="3">
        <f t="shared" ca="1" si="101"/>
        <v>2008</v>
      </c>
      <c r="G916" s="3">
        <f t="shared" ca="1" si="102"/>
        <v>1</v>
      </c>
      <c r="H916" s="2">
        <f t="shared" ca="1" si="103"/>
        <v>5</v>
      </c>
      <c r="I916" s="4">
        <f t="shared" ca="1" si="104"/>
        <v>64946452</v>
      </c>
    </row>
    <row r="917" spans="1:9">
      <c r="A917" s="1">
        <v>10000916</v>
      </c>
      <c r="B917" s="3" t="str">
        <f t="shared" ca="1" si="98"/>
        <v>Hooghly</v>
      </c>
      <c r="C917" s="3" t="str">
        <f t="shared" ca="1" si="99"/>
        <v>Moderate Risk</v>
      </c>
      <c r="D917" s="3" t="str">
        <f t="shared" ca="1" si="100"/>
        <v>Industrial</v>
      </c>
      <c r="E917" s="3" t="str" cm="1">
        <f t="array" aca="1" ref="E917" ca="1">_xlfn.IFS(D917="Industrial", "Reinforced Concrete", D917 = "Commercial", CHOOSE(RANDBETWEEN(1, 2), "Reinforced Concrete", "Unreinforced Masonry"), D917 = "Residential", CHOOSE(RANDBETWEEN(1, 3), "Reinforced Concrete", "Unreinforced Masonry", "Adobe / Light Timber"))</f>
        <v>Reinforced Concrete</v>
      </c>
      <c r="F917" s="3">
        <f t="shared" ca="1" si="101"/>
        <v>2014</v>
      </c>
      <c r="G917" s="3">
        <f t="shared" ca="1" si="102"/>
        <v>3</v>
      </c>
      <c r="H917" s="2">
        <f t="shared" ca="1" si="103"/>
        <v>5</v>
      </c>
      <c r="I917" s="4">
        <f t="shared" ca="1" si="104"/>
        <v>62738993</v>
      </c>
    </row>
    <row r="918" spans="1:9">
      <c r="A918" s="1">
        <v>10000917</v>
      </c>
      <c r="B918" s="3" t="str">
        <f t="shared" ca="1" si="98"/>
        <v>Paschim Medinipur</v>
      </c>
      <c r="C918" s="3" t="str">
        <f t="shared" ca="1" si="99"/>
        <v>Moderate Risk</v>
      </c>
      <c r="D918" s="3" t="str">
        <f t="shared" ca="1" si="100"/>
        <v>Industrial</v>
      </c>
      <c r="E918" s="3" t="str" cm="1">
        <f t="array" aca="1" ref="E918" ca="1">_xlfn.IFS(D918="Industrial", "Reinforced Concrete", D918 = "Commercial", CHOOSE(RANDBETWEEN(1, 2), "Reinforced Concrete", "Unreinforced Masonry"), D918 = "Residential", CHOOSE(RANDBETWEEN(1, 3), "Reinforced Concrete", "Unreinforced Masonry", "Adobe / Light Timber"))</f>
        <v>Reinforced Concrete</v>
      </c>
      <c r="F918" s="3">
        <f t="shared" ca="1" si="101"/>
        <v>2014</v>
      </c>
      <c r="G918" s="3">
        <f t="shared" ca="1" si="102"/>
        <v>1</v>
      </c>
      <c r="H918" s="2">
        <f t="shared" ca="1" si="103"/>
        <v>5</v>
      </c>
      <c r="I918" s="4">
        <f t="shared" ca="1" si="104"/>
        <v>57444298</v>
      </c>
    </row>
    <row r="919" spans="1:9">
      <c r="A919" s="1">
        <v>10000918</v>
      </c>
      <c r="B919" s="3" t="str">
        <f t="shared" ca="1" si="98"/>
        <v>Hooghly</v>
      </c>
      <c r="C919" s="3" t="str">
        <f t="shared" ca="1" si="99"/>
        <v>Moderate Risk</v>
      </c>
      <c r="D919" s="3" t="str">
        <f t="shared" ca="1" si="100"/>
        <v>Industrial</v>
      </c>
      <c r="E919" s="3" t="str" cm="1">
        <f t="array" aca="1" ref="E919" ca="1">_xlfn.IFS(D919="Industrial", "Reinforced Concrete", D919 = "Commercial", CHOOSE(RANDBETWEEN(1, 2), "Reinforced Concrete", "Unreinforced Masonry"), D919 = "Residential", CHOOSE(RANDBETWEEN(1, 3), "Reinforced Concrete", "Unreinforced Masonry", "Adobe / Light Timber"))</f>
        <v>Reinforced Concrete</v>
      </c>
      <c r="F919" s="3">
        <f t="shared" ca="1" si="101"/>
        <v>1985</v>
      </c>
      <c r="G919" s="3">
        <f t="shared" ca="1" si="102"/>
        <v>2</v>
      </c>
      <c r="H919" s="2">
        <f t="shared" ca="1" si="103"/>
        <v>3</v>
      </c>
      <c r="I919" s="4">
        <f t="shared" ca="1" si="104"/>
        <v>50476635</v>
      </c>
    </row>
    <row r="920" spans="1:9">
      <c r="A920" s="1">
        <v>10000919</v>
      </c>
      <c r="B920" s="3" t="str">
        <f t="shared" ca="1" si="98"/>
        <v>Malda</v>
      </c>
      <c r="C920" s="3" t="str">
        <f t="shared" ca="1" si="99"/>
        <v>High Risk</v>
      </c>
      <c r="D920" s="3" t="str">
        <f t="shared" ca="1" si="100"/>
        <v>Residential</v>
      </c>
      <c r="E920" s="3" t="str" cm="1">
        <f t="array" aca="1" ref="E920" ca="1">_xlfn.IFS(D920="Industrial", "Reinforced Concrete", D920 = "Commercial", CHOOSE(RANDBETWEEN(1, 2), "Reinforced Concrete", "Unreinforced Masonry"), D920 = "Residential", CHOOSE(RANDBETWEEN(1, 3), "Reinforced Concrete", "Unreinforced Masonry", "Adobe / Light Timber"))</f>
        <v>Adobe / Light Timber</v>
      </c>
      <c r="F920" s="3">
        <f t="shared" ca="1" si="101"/>
        <v>2005</v>
      </c>
      <c r="G920" s="3">
        <f t="shared" ca="1" si="102"/>
        <v>1</v>
      </c>
      <c r="H920" s="2">
        <f t="shared" ca="1" si="103"/>
        <v>0</v>
      </c>
      <c r="I920" s="4">
        <f t="shared" ca="1" si="104"/>
        <v>355080</v>
      </c>
    </row>
    <row r="921" spans="1:9">
      <c r="A921" s="1">
        <v>10000920</v>
      </c>
      <c r="B921" s="3" t="str">
        <f t="shared" ca="1" si="98"/>
        <v>South 24 Parganas</v>
      </c>
      <c r="C921" s="3" t="str">
        <f t="shared" ca="1" si="99"/>
        <v>High Risk</v>
      </c>
      <c r="D921" s="3" t="str">
        <f t="shared" ca="1" si="100"/>
        <v>Industrial</v>
      </c>
      <c r="E921" s="3" t="str" cm="1">
        <f t="array" aca="1" ref="E921" ca="1">_xlfn.IFS(D921="Industrial", "Reinforced Concrete", D921 = "Commercial", CHOOSE(RANDBETWEEN(1, 2), "Reinforced Concrete", "Unreinforced Masonry"), D921 = "Residential", CHOOSE(RANDBETWEEN(1, 3), "Reinforced Concrete", "Unreinforced Masonry", "Adobe / Light Timber"))</f>
        <v>Reinforced Concrete</v>
      </c>
      <c r="F921" s="3">
        <f t="shared" ca="1" si="101"/>
        <v>2000</v>
      </c>
      <c r="G921" s="3">
        <f t="shared" ca="1" si="102"/>
        <v>5</v>
      </c>
      <c r="H921" s="2">
        <f t="shared" ca="1" si="103"/>
        <v>5</v>
      </c>
      <c r="I921" s="4">
        <f t="shared" ca="1" si="104"/>
        <v>53457001</v>
      </c>
    </row>
    <row r="922" spans="1:9">
      <c r="A922" s="1">
        <v>10000921</v>
      </c>
      <c r="B922" s="3" t="str">
        <f t="shared" ca="1" si="98"/>
        <v>South 24 Parganas</v>
      </c>
      <c r="C922" s="3" t="str">
        <f t="shared" ca="1" si="99"/>
        <v>High Risk</v>
      </c>
      <c r="D922" s="3" t="str">
        <f t="shared" ca="1" si="100"/>
        <v>Residential</v>
      </c>
      <c r="E922" s="3" t="str" cm="1">
        <f t="array" aca="1" ref="E922" ca="1">_xlfn.IFS(D922="Industrial", "Reinforced Concrete", D922 = "Commercial", CHOOSE(RANDBETWEEN(1, 2), "Reinforced Concrete", "Unreinforced Masonry"), D922 = "Residential", CHOOSE(RANDBETWEEN(1, 3), "Reinforced Concrete", "Unreinforced Masonry", "Adobe / Light Timber"))</f>
        <v>Reinforced Concrete</v>
      </c>
      <c r="F922" s="3">
        <f t="shared" ca="1" si="101"/>
        <v>2016</v>
      </c>
      <c r="G922" s="3">
        <f t="shared" ca="1" si="102"/>
        <v>1</v>
      </c>
      <c r="H922" s="2">
        <f t="shared" ca="1" si="103"/>
        <v>4</v>
      </c>
      <c r="I922" s="4">
        <f t="shared" ca="1" si="104"/>
        <v>8003715</v>
      </c>
    </row>
    <row r="923" spans="1:9">
      <c r="A923" s="1">
        <v>10000922</v>
      </c>
      <c r="B923" s="3" t="str">
        <f t="shared" ca="1" si="98"/>
        <v>Jalpaiguri</v>
      </c>
      <c r="C923" s="3" t="str">
        <f t="shared" ca="1" si="99"/>
        <v>High Risk</v>
      </c>
      <c r="D923" s="3" t="str">
        <f t="shared" ca="1" si="100"/>
        <v>Residential</v>
      </c>
      <c r="E923" s="3" t="str" cm="1">
        <f t="array" aca="1" ref="E923" ca="1">_xlfn.IFS(D923="Industrial", "Reinforced Concrete", D923 = "Commercial", CHOOSE(RANDBETWEEN(1, 2), "Reinforced Concrete", "Unreinforced Masonry"), D923 = "Residential", CHOOSE(RANDBETWEEN(1, 3), "Reinforced Concrete", "Unreinforced Masonry", "Adobe / Light Timber"))</f>
        <v>Reinforced Concrete</v>
      </c>
      <c r="F923" s="3">
        <f t="shared" ca="1" si="101"/>
        <v>2012</v>
      </c>
      <c r="G923" s="3">
        <f t="shared" ca="1" si="102"/>
        <v>5</v>
      </c>
      <c r="H923" s="2">
        <f t="shared" ca="1" si="103"/>
        <v>3</v>
      </c>
      <c r="I923" s="4">
        <f t="shared" ca="1" si="104"/>
        <v>2513931</v>
      </c>
    </row>
    <row r="924" spans="1:9">
      <c r="A924" s="1">
        <v>10000923</v>
      </c>
      <c r="B924" s="3" t="str">
        <f t="shared" ca="1" si="98"/>
        <v>Jalpaiguri</v>
      </c>
      <c r="C924" s="3" t="str">
        <f t="shared" ca="1" si="99"/>
        <v>High Risk</v>
      </c>
      <c r="D924" s="3" t="str">
        <f t="shared" ca="1" si="100"/>
        <v>Residential</v>
      </c>
      <c r="E924" s="3" t="str" cm="1">
        <f t="array" aca="1" ref="E924" ca="1">_xlfn.IFS(D924="Industrial", "Reinforced Concrete", D924 = "Commercial", CHOOSE(RANDBETWEEN(1, 2), "Reinforced Concrete", "Unreinforced Masonry"), D924 = "Residential", CHOOSE(RANDBETWEEN(1, 3), "Reinforced Concrete", "Unreinforced Masonry", "Adobe / Light Timber"))</f>
        <v>Unreinforced Masonry</v>
      </c>
      <c r="F924" s="3">
        <f t="shared" ca="1" si="101"/>
        <v>1999</v>
      </c>
      <c r="G924" s="3">
        <f t="shared" ca="1" si="102"/>
        <v>4</v>
      </c>
      <c r="H924" s="2">
        <f t="shared" ca="1" si="103"/>
        <v>2</v>
      </c>
      <c r="I924" s="4">
        <f t="shared" ca="1" si="104"/>
        <v>6568019</v>
      </c>
    </row>
    <row r="925" spans="1:9">
      <c r="A925" s="1">
        <v>10000924</v>
      </c>
      <c r="B925" s="3" t="str">
        <f t="shared" ca="1" si="98"/>
        <v>Paschim Medinipur</v>
      </c>
      <c r="C925" s="3" t="str">
        <f t="shared" ca="1" si="99"/>
        <v>Moderate Risk</v>
      </c>
      <c r="D925" s="3" t="str">
        <f t="shared" ca="1" si="100"/>
        <v>Commercial</v>
      </c>
      <c r="E925" s="3" t="str" cm="1">
        <f t="array" aca="1" ref="E925" ca="1">_xlfn.IFS(D925="Industrial", "Reinforced Concrete", D925 = "Commercial", CHOOSE(RANDBETWEEN(1, 2), "Reinforced Concrete", "Unreinforced Masonry"), D925 = "Residential", CHOOSE(RANDBETWEEN(1, 3), "Reinforced Concrete", "Unreinforced Masonry", "Adobe / Light Timber"))</f>
        <v>Unreinforced Masonry</v>
      </c>
      <c r="F925" s="3">
        <f t="shared" ca="1" si="101"/>
        <v>2008</v>
      </c>
      <c r="G925" s="3">
        <f t="shared" ca="1" si="102"/>
        <v>1</v>
      </c>
      <c r="H925" s="2">
        <f t="shared" ca="1" si="103"/>
        <v>1</v>
      </c>
      <c r="I925" s="4">
        <f t="shared" ca="1" si="104"/>
        <v>24280100</v>
      </c>
    </row>
    <row r="926" spans="1:9">
      <c r="A926" s="1">
        <v>10000925</v>
      </c>
      <c r="B926" s="3" t="str">
        <f t="shared" ca="1" si="98"/>
        <v>Paschim Medinipur</v>
      </c>
      <c r="C926" s="3" t="str">
        <f t="shared" ca="1" si="99"/>
        <v>Moderate Risk</v>
      </c>
      <c r="D926" s="3" t="str">
        <f t="shared" ca="1" si="100"/>
        <v>Residential</v>
      </c>
      <c r="E926" s="3" t="str" cm="1">
        <f t="array" aca="1" ref="E926" ca="1">_xlfn.IFS(D926="Industrial", "Reinforced Concrete", D926 = "Commercial", CHOOSE(RANDBETWEEN(1, 2), "Reinforced Concrete", "Unreinforced Masonry"), D926 = "Residential", CHOOSE(RANDBETWEEN(1, 3), "Reinforced Concrete", "Unreinforced Masonry", "Adobe / Light Timber"))</f>
        <v>Unreinforced Masonry</v>
      </c>
      <c r="F926" s="3">
        <f t="shared" ca="1" si="101"/>
        <v>2008</v>
      </c>
      <c r="G926" s="3">
        <f t="shared" ca="1" si="102"/>
        <v>3</v>
      </c>
      <c r="H926" s="2">
        <f t="shared" ca="1" si="103"/>
        <v>1</v>
      </c>
      <c r="I926" s="4">
        <f t="shared" ca="1" si="104"/>
        <v>3671733</v>
      </c>
    </row>
    <row r="927" spans="1:9">
      <c r="A927" s="1">
        <v>10000926</v>
      </c>
      <c r="B927" s="3" t="str">
        <f t="shared" ca="1" si="98"/>
        <v>Kolkata</v>
      </c>
      <c r="C927" s="3" t="str">
        <f t="shared" ca="1" si="99"/>
        <v>Moderate Risk</v>
      </c>
      <c r="D927" s="3" t="str">
        <f t="shared" ca="1" si="100"/>
        <v>Residential</v>
      </c>
      <c r="E927" s="3" t="str" cm="1">
        <f t="array" aca="1" ref="E927" ca="1">_xlfn.IFS(D927="Industrial", "Reinforced Concrete", D927 = "Commercial", CHOOSE(RANDBETWEEN(1, 2), "Reinforced Concrete", "Unreinforced Masonry"), D927 = "Residential", CHOOSE(RANDBETWEEN(1, 3), "Reinforced Concrete", "Unreinforced Masonry", "Adobe / Light Timber"))</f>
        <v>Unreinforced Masonry</v>
      </c>
      <c r="F927" s="3">
        <f t="shared" ca="1" si="101"/>
        <v>1980</v>
      </c>
      <c r="G927" s="3">
        <f t="shared" ca="1" si="102"/>
        <v>3</v>
      </c>
      <c r="H927" s="2">
        <f t="shared" ca="1" si="103"/>
        <v>0</v>
      </c>
      <c r="I927" s="4">
        <f t="shared" ca="1" si="104"/>
        <v>5793544</v>
      </c>
    </row>
    <row r="928" spans="1:9">
      <c r="A928" s="1">
        <v>10000927</v>
      </c>
      <c r="B928" s="3" t="str">
        <f t="shared" ca="1" si="98"/>
        <v>Paschim Medinipur</v>
      </c>
      <c r="C928" s="3" t="str">
        <f t="shared" ca="1" si="99"/>
        <v>Moderate Risk</v>
      </c>
      <c r="D928" s="3" t="str">
        <f t="shared" ca="1" si="100"/>
        <v>Commercial</v>
      </c>
      <c r="E928" s="3" t="str" cm="1">
        <f t="array" aca="1" ref="E928" ca="1">_xlfn.IFS(D928="Industrial", "Reinforced Concrete", D928 = "Commercial", CHOOSE(RANDBETWEEN(1, 2), "Reinforced Concrete", "Unreinforced Masonry"), D928 = "Residential", CHOOSE(RANDBETWEEN(1, 3), "Reinforced Concrete", "Unreinforced Masonry", "Adobe / Light Timber"))</f>
        <v>Unreinforced Masonry</v>
      </c>
      <c r="F928" s="3">
        <f t="shared" ca="1" si="101"/>
        <v>2008</v>
      </c>
      <c r="G928" s="3">
        <f t="shared" ca="1" si="102"/>
        <v>5</v>
      </c>
      <c r="H928" s="2">
        <f t="shared" ca="1" si="103"/>
        <v>0</v>
      </c>
      <c r="I928" s="4">
        <f t="shared" ca="1" si="104"/>
        <v>22963323</v>
      </c>
    </row>
    <row r="929" spans="1:9">
      <c r="A929" s="1">
        <v>10000928</v>
      </c>
      <c r="B929" s="3" t="str">
        <f t="shared" ca="1" si="98"/>
        <v>Malda</v>
      </c>
      <c r="C929" s="3" t="str">
        <f t="shared" ca="1" si="99"/>
        <v>High Risk</v>
      </c>
      <c r="D929" s="3" t="str">
        <f t="shared" ca="1" si="100"/>
        <v>Commercial</v>
      </c>
      <c r="E929" s="3" t="str" cm="1">
        <f t="array" aca="1" ref="E929" ca="1">_xlfn.IFS(D929="Industrial", "Reinforced Concrete", D929 = "Commercial", CHOOSE(RANDBETWEEN(1, 2), "Reinforced Concrete", "Unreinforced Masonry"), D929 = "Residential", CHOOSE(RANDBETWEEN(1, 3), "Reinforced Concrete", "Unreinforced Masonry", "Adobe / Light Timber"))</f>
        <v>Reinforced Concrete</v>
      </c>
      <c r="F929" s="3">
        <f t="shared" ca="1" si="101"/>
        <v>2008</v>
      </c>
      <c r="G929" s="3">
        <f t="shared" ca="1" si="102"/>
        <v>2</v>
      </c>
      <c r="H929" s="2">
        <f t="shared" ca="1" si="103"/>
        <v>5</v>
      </c>
      <c r="I929" s="4">
        <f t="shared" ca="1" si="104"/>
        <v>19171769</v>
      </c>
    </row>
    <row r="930" spans="1:9">
      <c r="A930" s="1">
        <v>10000929</v>
      </c>
      <c r="B930" s="3" t="str">
        <f t="shared" ca="1" si="98"/>
        <v>Hooghly</v>
      </c>
      <c r="C930" s="3" t="str">
        <f t="shared" ca="1" si="99"/>
        <v>Moderate Risk</v>
      </c>
      <c r="D930" s="3" t="str">
        <f t="shared" ca="1" si="100"/>
        <v>Residential</v>
      </c>
      <c r="E930" s="3" t="str" cm="1">
        <f t="array" aca="1" ref="E930" ca="1">_xlfn.IFS(D930="Industrial", "Reinforced Concrete", D930 = "Commercial", CHOOSE(RANDBETWEEN(1, 2), "Reinforced Concrete", "Unreinforced Masonry"), D930 = "Residential", CHOOSE(RANDBETWEEN(1, 3), "Reinforced Concrete", "Unreinforced Masonry", "Adobe / Light Timber"))</f>
        <v>Unreinforced Masonry</v>
      </c>
      <c r="F930" s="3">
        <f t="shared" ca="1" si="101"/>
        <v>2002</v>
      </c>
      <c r="G930" s="3">
        <f t="shared" ca="1" si="102"/>
        <v>3</v>
      </c>
      <c r="H930" s="2">
        <f t="shared" ca="1" si="103"/>
        <v>0</v>
      </c>
      <c r="I930" s="4">
        <f t="shared" ca="1" si="104"/>
        <v>4214206</v>
      </c>
    </row>
    <row r="931" spans="1:9">
      <c r="A931" s="1">
        <v>10000930</v>
      </c>
      <c r="B931" s="3" t="str">
        <f t="shared" ca="1" si="98"/>
        <v>Hooghly</v>
      </c>
      <c r="C931" s="3" t="str">
        <f t="shared" ca="1" si="99"/>
        <v>Moderate Risk</v>
      </c>
      <c r="D931" s="3" t="str">
        <f t="shared" ca="1" si="100"/>
        <v>Residential</v>
      </c>
      <c r="E931" s="3" t="str" cm="1">
        <f t="array" aca="1" ref="E931" ca="1">_xlfn.IFS(D931="Industrial", "Reinforced Concrete", D931 = "Commercial", CHOOSE(RANDBETWEEN(1, 2), "Reinforced Concrete", "Unreinforced Masonry"), D931 = "Residential", CHOOSE(RANDBETWEEN(1, 3), "Reinforced Concrete", "Unreinforced Masonry", "Adobe / Light Timber"))</f>
        <v>Reinforced Concrete</v>
      </c>
      <c r="F931" s="3">
        <f t="shared" ca="1" si="101"/>
        <v>2019</v>
      </c>
      <c r="G931" s="3">
        <f t="shared" ca="1" si="102"/>
        <v>1</v>
      </c>
      <c r="H931" s="2">
        <f t="shared" ca="1" si="103"/>
        <v>4</v>
      </c>
      <c r="I931" s="4">
        <f t="shared" ca="1" si="104"/>
        <v>3286138</v>
      </c>
    </row>
    <row r="932" spans="1:9">
      <c r="A932" s="1">
        <v>10000931</v>
      </c>
      <c r="B932" s="3" t="str">
        <f t="shared" ca="1" si="98"/>
        <v>Malda</v>
      </c>
      <c r="C932" s="3" t="str">
        <f t="shared" ca="1" si="99"/>
        <v>High Risk</v>
      </c>
      <c r="D932" s="3" t="str">
        <f t="shared" ca="1" si="100"/>
        <v>Residential</v>
      </c>
      <c r="E932" s="3" t="str" cm="1">
        <f t="array" aca="1" ref="E932" ca="1">_xlfn.IFS(D932="Industrial", "Reinforced Concrete", D932 = "Commercial", CHOOSE(RANDBETWEEN(1, 2), "Reinforced Concrete", "Unreinforced Masonry"), D932 = "Residential", CHOOSE(RANDBETWEEN(1, 3), "Reinforced Concrete", "Unreinforced Masonry", "Adobe / Light Timber"))</f>
        <v>Reinforced Concrete</v>
      </c>
      <c r="F932" s="3">
        <f t="shared" ca="1" si="101"/>
        <v>2015</v>
      </c>
      <c r="G932" s="3">
        <f t="shared" ca="1" si="102"/>
        <v>5</v>
      </c>
      <c r="H932" s="2">
        <f t="shared" ca="1" si="103"/>
        <v>4</v>
      </c>
      <c r="I932" s="4">
        <f t="shared" ca="1" si="104"/>
        <v>3184763</v>
      </c>
    </row>
    <row r="933" spans="1:9">
      <c r="A933" s="1">
        <v>10000932</v>
      </c>
      <c r="B933" s="3" t="str">
        <f t="shared" ca="1" si="98"/>
        <v>Kolkata</v>
      </c>
      <c r="C933" s="3" t="str">
        <f t="shared" ca="1" si="99"/>
        <v>Moderate Risk</v>
      </c>
      <c r="D933" s="3" t="str">
        <f t="shared" ca="1" si="100"/>
        <v>Commercial</v>
      </c>
      <c r="E933" s="3" t="str" cm="1">
        <f t="array" aca="1" ref="E933" ca="1">_xlfn.IFS(D933="Industrial", "Reinforced Concrete", D933 = "Commercial", CHOOSE(RANDBETWEEN(1, 2), "Reinforced Concrete", "Unreinforced Masonry"), D933 = "Residential", CHOOSE(RANDBETWEEN(1, 3), "Reinforced Concrete", "Unreinforced Masonry", "Adobe / Light Timber"))</f>
        <v>Unreinforced Masonry</v>
      </c>
      <c r="F933" s="3">
        <f t="shared" ca="1" si="101"/>
        <v>1997</v>
      </c>
      <c r="G933" s="3">
        <f t="shared" ca="1" si="102"/>
        <v>1</v>
      </c>
      <c r="H933" s="2">
        <f t="shared" ca="1" si="103"/>
        <v>0</v>
      </c>
      <c r="I933" s="4">
        <f t="shared" ca="1" si="104"/>
        <v>12938545</v>
      </c>
    </row>
    <row r="934" spans="1:9">
      <c r="A934" s="1">
        <v>10000933</v>
      </c>
      <c r="B934" s="3" t="str">
        <f t="shared" ca="1" si="98"/>
        <v>Paschim Medinipur</v>
      </c>
      <c r="C934" s="3" t="str">
        <f t="shared" ca="1" si="99"/>
        <v>Moderate Risk</v>
      </c>
      <c r="D934" s="3" t="str">
        <f t="shared" ca="1" si="100"/>
        <v>Industrial</v>
      </c>
      <c r="E934" s="3" t="str" cm="1">
        <f t="array" aca="1" ref="E934" ca="1">_xlfn.IFS(D934="Industrial", "Reinforced Concrete", D934 = "Commercial", CHOOSE(RANDBETWEEN(1, 2), "Reinforced Concrete", "Unreinforced Masonry"), D934 = "Residential", CHOOSE(RANDBETWEEN(1, 3), "Reinforced Concrete", "Unreinforced Masonry", "Adobe / Light Timber"))</f>
        <v>Reinforced Concrete</v>
      </c>
      <c r="F934" s="3">
        <f t="shared" ca="1" si="101"/>
        <v>2019</v>
      </c>
      <c r="G934" s="3">
        <f t="shared" ca="1" si="102"/>
        <v>5</v>
      </c>
      <c r="H934" s="2">
        <f t="shared" ca="1" si="103"/>
        <v>3</v>
      </c>
      <c r="I934" s="4">
        <f t="shared" ca="1" si="104"/>
        <v>54179110</v>
      </c>
    </row>
    <row r="935" spans="1:9">
      <c r="A935" s="1">
        <v>10000934</v>
      </c>
      <c r="B935" s="3" t="str">
        <f t="shared" ca="1" si="98"/>
        <v>Kolkata</v>
      </c>
      <c r="C935" s="3" t="str">
        <f t="shared" ca="1" si="99"/>
        <v>Moderate Risk</v>
      </c>
      <c r="D935" s="3" t="str">
        <f t="shared" ca="1" si="100"/>
        <v>Commercial</v>
      </c>
      <c r="E935" s="3" t="str" cm="1">
        <f t="array" aca="1" ref="E935" ca="1">_xlfn.IFS(D935="Industrial", "Reinforced Concrete", D935 = "Commercial", CHOOSE(RANDBETWEEN(1, 2), "Reinforced Concrete", "Unreinforced Masonry"), D935 = "Residential", CHOOSE(RANDBETWEEN(1, 3), "Reinforced Concrete", "Unreinforced Masonry", "Adobe / Light Timber"))</f>
        <v>Unreinforced Masonry</v>
      </c>
      <c r="F935" s="3">
        <f t="shared" ca="1" si="101"/>
        <v>1986</v>
      </c>
      <c r="G935" s="3">
        <f t="shared" ca="1" si="102"/>
        <v>4</v>
      </c>
      <c r="H935" s="2">
        <f t="shared" ca="1" si="103"/>
        <v>0</v>
      </c>
      <c r="I935" s="4">
        <f t="shared" ca="1" si="104"/>
        <v>3856239</v>
      </c>
    </row>
    <row r="936" spans="1:9">
      <c r="A936" s="1">
        <v>10000935</v>
      </c>
      <c r="B936" s="3" t="str">
        <f t="shared" ca="1" si="98"/>
        <v>Jalpaiguri</v>
      </c>
      <c r="C936" s="3" t="str">
        <f t="shared" ca="1" si="99"/>
        <v>High Risk</v>
      </c>
      <c r="D936" s="3" t="str">
        <f t="shared" ca="1" si="100"/>
        <v>Industrial</v>
      </c>
      <c r="E936" s="3" t="str" cm="1">
        <f t="array" aca="1" ref="E936" ca="1">_xlfn.IFS(D936="Industrial", "Reinforced Concrete", D936 = "Commercial", CHOOSE(RANDBETWEEN(1, 2), "Reinforced Concrete", "Unreinforced Masonry"), D936 = "Residential", CHOOSE(RANDBETWEEN(1, 3), "Reinforced Concrete", "Unreinforced Masonry", "Adobe / Light Timber"))</f>
        <v>Reinforced Concrete</v>
      </c>
      <c r="F936" s="3">
        <f t="shared" ca="1" si="101"/>
        <v>1989</v>
      </c>
      <c r="G936" s="3">
        <f t="shared" ca="1" si="102"/>
        <v>5</v>
      </c>
      <c r="H936" s="2">
        <f t="shared" ca="1" si="103"/>
        <v>3</v>
      </c>
      <c r="I936" s="4">
        <f t="shared" ca="1" si="104"/>
        <v>70043816</v>
      </c>
    </row>
    <row r="937" spans="1:9">
      <c r="A937" s="1">
        <v>10000936</v>
      </c>
      <c r="B937" s="3" t="str">
        <f t="shared" ca="1" si="98"/>
        <v>Hooghly</v>
      </c>
      <c r="C937" s="3" t="str">
        <f t="shared" ca="1" si="99"/>
        <v>Moderate Risk</v>
      </c>
      <c r="D937" s="3" t="str">
        <f t="shared" ca="1" si="100"/>
        <v>Commercial</v>
      </c>
      <c r="E937" s="3" t="str" cm="1">
        <f t="array" aca="1" ref="E937" ca="1">_xlfn.IFS(D937="Industrial", "Reinforced Concrete", D937 = "Commercial", CHOOSE(RANDBETWEEN(1, 2), "Reinforced Concrete", "Unreinforced Masonry"), D937 = "Residential", CHOOSE(RANDBETWEEN(1, 3), "Reinforced Concrete", "Unreinforced Masonry", "Adobe / Light Timber"))</f>
        <v>Reinforced Concrete</v>
      </c>
      <c r="F937" s="3">
        <f t="shared" ca="1" si="101"/>
        <v>2016</v>
      </c>
      <c r="G937" s="3">
        <f t="shared" ca="1" si="102"/>
        <v>4</v>
      </c>
      <c r="H937" s="2">
        <f t="shared" ca="1" si="103"/>
        <v>4</v>
      </c>
      <c r="I937" s="4">
        <f t="shared" ca="1" si="104"/>
        <v>11981030</v>
      </c>
    </row>
    <row r="938" spans="1:9">
      <c r="A938" s="1">
        <v>10000937</v>
      </c>
      <c r="B938" s="3" t="str">
        <f t="shared" ca="1" si="98"/>
        <v>Jalpaiguri</v>
      </c>
      <c r="C938" s="3" t="str">
        <f t="shared" ca="1" si="99"/>
        <v>High Risk</v>
      </c>
      <c r="D938" s="3" t="str">
        <f t="shared" ca="1" si="100"/>
        <v>Residential</v>
      </c>
      <c r="E938" s="3" t="str" cm="1">
        <f t="array" aca="1" ref="E938" ca="1">_xlfn.IFS(D938="Industrial", "Reinforced Concrete", D938 = "Commercial", CHOOSE(RANDBETWEEN(1, 2), "Reinforced Concrete", "Unreinforced Masonry"), D938 = "Residential", CHOOSE(RANDBETWEEN(1, 3), "Reinforced Concrete", "Unreinforced Masonry", "Adobe / Light Timber"))</f>
        <v>Reinforced Concrete</v>
      </c>
      <c r="F938" s="3">
        <f t="shared" ca="1" si="101"/>
        <v>1995</v>
      </c>
      <c r="G938" s="3">
        <f t="shared" ca="1" si="102"/>
        <v>4</v>
      </c>
      <c r="H938" s="2">
        <f t="shared" ca="1" si="103"/>
        <v>3</v>
      </c>
      <c r="I938" s="4">
        <f t="shared" ca="1" si="104"/>
        <v>4278610</v>
      </c>
    </row>
    <row r="939" spans="1:9">
      <c r="A939" s="1">
        <v>10000938</v>
      </c>
      <c r="B939" s="3" t="str">
        <f t="shared" ca="1" si="98"/>
        <v>Hooghly</v>
      </c>
      <c r="C939" s="3" t="str">
        <f t="shared" ca="1" si="99"/>
        <v>Moderate Risk</v>
      </c>
      <c r="D939" s="3" t="str">
        <f t="shared" ca="1" si="100"/>
        <v>Commercial</v>
      </c>
      <c r="E939" s="3" t="str" cm="1">
        <f t="array" aca="1" ref="E939" ca="1">_xlfn.IFS(D939="Industrial", "Reinforced Concrete", D939 = "Commercial", CHOOSE(RANDBETWEEN(1, 2), "Reinforced Concrete", "Unreinforced Masonry"), D939 = "Residential", CHOOSE(RANDBETWEEN(1, 3), "Reinforced Concrete", "Unreinforced Masonry", "Adobe / Light Timber"))</f>
        <v>Unreinforced Masonry</v>
      </c>
      <c r="F939" s="3">
        <f t="shared" ca="1" si="101"/>
        <v>2024</v>
      </c>
      <c r="G939" s="3">
        <f t="shared" ca="1" si="102"/>
        <v>1</v>
      </c>
      <c r="H939" s="2">
        <f t="shared" ca="1" si="103"/>
        <v>0</v>
      </c>
      <c r="I939" s="4">
        <f t="shared" ca="1" si="104"/>
        <v>20988765</v>
      </c>
    </row>
    <row r="940" spans="1:9">
      <c r="A940" s="1">
        <v>10000939</v>
      </c>
      <c r="B940" s="3" t="str">
        <f t="shared" ca="1" si="98"/>
        <v>Hooghly</v>
      </c>
      <c r="C940" s="3" t="str">
        <f t="shared" ca="1" si="99"/>
        <v>Moderate Risk</v>
      </c>
      <c r="D940" s="3" t="str">
        <f t="shared" ca="1" si="100"/>
        <v>Industrial</v>
      </c>
      <c r="E940" s="3" t="str" cm="1">
        <f t="array" aca="1" ref="E940" ca="1">_xlfn.IFS(D940="Industrial", "Reinforced Concrete", D940 = "Commercial", CHOOSE(RANDBETWEEN(1, 2), "Reinforced Concrete", "Unreinforced Masonry"), D940 = "Residential", CHOOSE(RANDBETWEEN(1, 3), "Reinforced Concrete", "Unreinforced Masonry", "Adobe / Light Timber"))</f>
        <v>Reinforced Concrete</v>
      </c>
      <c r="F940" s="3">
        <f t="shared" ca="1" si="101"/>
        <v>1985</v>
      </c>
      <c r="G940" s="3">
        <f t="shared" ca="1" si="102"/>
        <v>3</v>
      </c>
      <c r="H940" s="2">
        <f t="shared" ca="1" si="103"/>
        <v>5</v>
      </c>
      <c r="I940" s="4">
        <f t="shared" ca="1" si="104"/>
        <v>76254186</v>
      </c>
    </row>
    <row r="941" spans="1:9">
      <c r="A941" s="1">
        <v>10000940</v>
      </c>
      <c r="B941" s="3" t="str">
        <f t="shared" ca="1" si="98"/>
        <v>Jalpaiguri</v>
      </c>
      <c r="C941" s="3" t="str">
        <f t="shared" ca="1" si="99"/>
        <v>High Risk</v>
      </c>
      <c r="D941" s="3" t="str">
        <f t="shared" ca="1" si="100"/>
        <v>Commercial</v>
      </c>
      <c r="E941" s="3" t="str" cm="1">
        <f t="array" aca="1" ref="E941" ca="1">_xlfn.IFS(D941="Industrial", "Reinforced Concrete", D941 = "Commercial", CHOOSE(RANDBETWEEN(1, 2), "Reinforced Concrete", "Unreinforced Masonry"), D941 = "Residential", CHOOSE(RANDBETWEEN(1, 3), "Reinforced Concrete", "Unreinforced Masonry", "Adobe / Light Timber"))</f>
        <v>Unreinforced Masonry</v>
      </c>
      <c r="F941" s="3">
        <f t="shared" ca="1" si="101"/>
        <v>2016</v>
      </c>
      <c r="G941" s="3">
        <f t="shared" ca="1" si="102"/>
        <v>5</v>
      </c>
      <c r="H941" s="2">
        <f t="shared" ca="1" si="103"/>
        <v>1</v>
      </c>
      <c r="I941" s="4">
        <f t="shared" ca="1" si="104"/>
        <v>16780192</v>
      </c>
    </row>
    <row r="942" spans="1:9">
      <c r="A942" s="1">
        <v>10000941</v>
      </c>
      <c r="B942" s="3" t="str">
        <f t="shared" ca="1" si="98"/>
        <v>Malda</v>
      </c>
      <c r="C942" s="3" t="str">
        <f t="shared" ca="1" si="99"/>
        <v>High Risk</v>
      </c>
      <c r="D942" s="3" t="str">
        <f t="shared" ca="1" si="100"/>
        <v>Residential</v>
      </c>
      <c r="E942" s="3" t="str" cm="1">
        <f t="array" aca="1" ref="E942" ca="1">_xlfn.IFS(D942="Industrial", "Reinforced Concrete", D942 = "Commercial", CHOOSE(RANDBETWEEN(1, 2), "Reinforced Concrete", "Unreinforced Masonry"), D942 = "Residential", CHOOSE(RANDBETWEEN(1, 3), "Reinforced Concrete", "Unreinforced Masonry", "Adobe / Light Timber"))</f>
        <v>Reinforced Concrete</v>
      </c>
      <c r="F942" s="3">
        <f t="shared" ca="1" si="101"/>
        <v>1996</v>
      </c>
      <c r="G942" s="3">
        <f t="shared" ca="1" si="102"/>
        <v>4</v>
      </c>
      <c r="H942" s="2">
        <f t="shared" ca="1" si="103"/>
        <v>3</v>
      </c>
      <c r="I942" s="4">
        <f t="shared" ca="1" si="104"/>
        <v>1241043</v>
      </c>
    </row>
    <row r="943" spans="1:9">
      <c r="A943" s="1">
        <v>10000942</v>
      </c>
      <c r="B943" s="3" t="str">
        <f t="shared" ca="1" si="98"/>
        <v>Hooghly</v>
      </c>
      <c r="C943" s="3" t="str">
        <f t="shared" ca="1" si="99"/>
        <v>Moderate Risk</v>
      </c>
      <c r="D943" s="3" t="str">
        <f t="shared" ca="1" si="100"/>
        <v>Residential</v>
      </c>
      <c r="E943" s="3" t="str" cm="1">
        <f t="array" aca="1" ref="E943" ca="1">_xlfn.IFS(D943="Industrial", "Reinforced Concrete", D943 = "Commercial", CHOOSE(RANDBETWEEN(1, 2), "Reinforced Concrete", "Unreinforced Masonry"), D943 = "Residential", CHOOSE(RANDBETWEEN(1, 3), "Reinforced Concrete", "Unreinforced Masonry", "Adobe / Light Timber"))</f>
        <v>Adobe / Light Timber</v>
      </c>
      <c r="F943" s="3">
        <f t="shared" ca="1" si="101"/>
        <v>2023</v>
      </c>
      <c r="G943" s="3">
        <f t="shared" ca="1" si="102"/>
        <v>1</v>
      </c>
      <c r="H943" s="2">
        <f t="shared" ca="1" si="103"/>
        <v>0</v>
      </c>
      <c r="I943" s="4">
        <f t="shared" ca="1" si="104"/>
        <v>319855</v>
      </c>
    </row>
    <row r="944" spans="1:9">
      <c r="A944" s="1">
        <v>10000943</v>
      </c>
      <c r="B944" s="3" t="str">
        <f t="shared" ca="1" si="98"/>
        <v>Kolkata</v>
      </c>
      <c r="C944" s="3" t="str">
        <f t="shared" ca="1" si="99"/>
        <v>Moderate Risk</v>
      </c>
      <c r="D944" s="3" t="str">
        <f t="shared" ca="1" si="100"/>
        <v>Commercial</v>
      </c>
      <c r="E944" s="3" t="str" cm="1">
        <f t="array" aca="1" ref="E944" ca="1">_xlfn.IFS(D944="Industrial", "Reinforced Concrete", D944 = "Commercial", CHOOSE(RANDBETWEEN(1, 2), "Reinforced Concrete", "Unreinforced Masonry"), D944 = "Residential", CHOOSE(RANDBETWEEN(1, 3), "Reinforced Concrete", "Unreinforced Masonry", "Adobe / Light Timber"))</f>
        <v>Reinforced Concrete</v>
      </c>
      <c r="F944" s="3">
        <f t="shared" ca="1" si="101"/>
        <v>2006</v>
      </c>
      <c r="G944" s="3">
        <f t="shared" ca="1" si="102"/>
        <v>1</v>
      </c>
      <c r="H944" s="2">
        <f t="shared" ca="1" si="103"/>
        <v>3</v>
      </c>
      <c r="I944" s="4">
        <f t="shared" ca="1" si="104"/>
        <v>19030102</v>
      </c>
    </row>
    <row r="945" spans="1:9">
      <c r="A945" s="1">
        <v>10000944</v>
      </c>
      <c r="B945" s="3" t="str">
        <f t="shared" ca="1" si="98"/>
        <v>Malda</v>
      </c>
      <c r="C945" s="3" t="str">
        <f t="shared" ca="1" si="99"/>
        <v>High Risk</v>
      </c>
      <c r="D945" s="3" t="str">
        <f t="shared" ca="1" si="100"/>
        <v>Commercial</v>
      </c>
      <c r="E945" s="3" t="str" cm="1">
        <f t="array" aca="1" ref="E945" ca="1">_xlfn.IFS(D945="Industrial", "Reinforced Concrete", D945 = "Commercial", CHOOSE(RANDBETWEEN(1, 2), "Reinforced Concrete", "Unreinforced Masonry"), D945 = "Residential", CHOOSE(RANDBETWEEN(1, 3), "Reinforced Concrete", "Unreinforced Masonry", "Adobe / Light Timber"))</f>
        <v>Reinforced Concrete</v>
      </c>
      <c r="F945" s="3">
        <f t="shared" ca="1" si="101"/>
        <v>1987</v>
      </c>
      <c r="G945" s="3">
        <f t="shared" ca="1" si="102"/>
        <v>3</v>
      </c>
      <c r="H945" s="2">
        <f t="shared" ca="1" si="103"/>
        <v>3</v>
      </c>
      <c r="I945" s="4">
        <f t="shared" ca="1" si="104"/>
        <v>19941103</v>
      </c>
    </row>
    <row r="946" spans="1:9">
      <c r="A946" s="1">
        <v>10000945</v>
      </c>
      <c r="B946" s="3" t="str">
        <f t="shared" ca="1" si="98"/>
        <v>Paschim Medinipur</v>
      </c>
      <c r="C946" s="3" t="str">
        <f t="shared" ca="1" si="99"/>
        <v>Moderate Risk</v>
      </c>
      <c r="D946" s="3" t="str">
        <f t="shared" ca="1" si="100"/>
        <v>Commercial</v>
      </c>
      <c r="E946" s="3" t="str" cm="1">
        <f t="array" aca="1" ref="E946" ca="1">_xlfn.IFS(D946="Industrial", "Reinforced Concrete", D946 = "Commercial", CHOOSE(RANDBETWEEN(1, 2), "Reinforced Concrete", "Unreinforced Masonry"), D946 = "Residential", CHOOSE(RANDBETWEEN(1, 3), "Reinforced Concrete", "Unreinforced Masonry", "Adobe / Light Timber"))</f>
        <v>Reinforced Concrete</v>
      </c>
      <c r="F946" s="3">
        <f t="shared" ca="1" si="101"/>
        <v>1993</v>
      </c>
      <c r="G946" s="3">
        <f t="shared" ca="1" si="102"/>
        <v>5</v>
      </c>
      <c r="H946" s="2">
        <f t="shared" ca="1" si="103"/>
        <v>3</v>
      </c>
      <c r="I946" s="4">
        <f t="shared" ca="1" si="104"/>
        <v>11752862</v>
      </c>
    </row>
    <row r="947" spans="1:9">
      <c r="A947" s="1">
        <v>10000946</v>
      </c>
      <c r="B947" s="3" t="str">
        <f t="shared" ca="1" si="98"/>
        <v>Jalpaiguri</v>
      </c>
      <c r="C947" s="3" t="str">
        <f t="shared" ca="1" si="99"/>
        <v>High Risk</v>
      </c>
      <c r="D947" s="3" t="str">
        <f t="shared" ca="1" si="100"/>
        <v>Commercial</v>
      </c>
      <c r="E947" s="3" t="str" cm="1">
        <f t="array" aca="1" ref="E947" ca="1">_xlfn.IFS(D947="Industrial", "Reinforced Concrete", D947 = "Commercial", CHOOSE(RANDBETWEEN(1, 2), "Reinforced Concrete", "Unreinforced Masonry"), D947 = "Residential", CHOOSE(RANDBETWEEN(1, 3), "Reinforced Concrete", "Unreinforced Masonry", "Adobe / Light Timber"))</f>
        <v>Unreinforced Masonry</v>
      </c>
      <c r="F947" s="3">
        <f t="shared" ca="1" si="101"/>
        <v>2017</v>
      </c>
      <c r="G947" s="3">
        <f t="shared" ca="1" si="102"/>
        <v>2</v>
      </c>
      <c r="H947" s="2">
        <f t="shared" ca="1" si="103"/>
        <v>0</v>
      </c>
      <c r="I947" s="4">
        <f t="shared" ca="1" si="104"/>
        <v>11052829</v>
      </c>
    </row>
    <row r="948" spans="1:9">
      <c r="A948" s="1">
        <v>10000947</v>
      </c>
      <c r="B948" s="3" t="str">
        <f t="shared" ca="1" si="98"/>
        <v>Malda</v>
      </c>
      <c r="C948" s="3" t="str">
        <f t="shared" ca="1" si="99"/>
        <v>High Risk</v>
      </c>
      <c r="D948" s="3" t="str">
        <f t="shared" ca="1" si="100"/>
        <v>Industrial</v>
      </c>
      <c r="E948" s="3" t="str" cm="1">
        <f t="array" aca="1" ref="E948" ca="1">_xlfn.IFS(D948="Industrial", "Reinforced Concrete", D948 = "Commercial", CHOOSE(RANDBETWEEN(1, 2), "Reinforced Concrete", "Unreinforced Masonry"), D948 = "Residential", CHOOSE(RANDBETWEEN(1, 3), "Reinforced Concrete", "Unreinforced Masonry", "Adobe / Light Timber"))</f>
        <v>Reinforced Concrete</v>
      </c>
      <c r="F948" s="3">
        <f t="shared" ca="1" si="101"/>
        <v>2004</v>
      </c>
      <c r="G948" s="3">
        <f t="shared" ca="1" si="102"/>
        <v>4</v>
      </c>
      <c r="H948" s="2">
        <f t="shared" ca="1" si="103"/>
        <v>3</v>
      </c>
      <c r="I948" s="4">
        <f t="shared" ca="1" si="104"/>
        <v>63005813</v>
      </c>
    </row>
    <row r="949" spans="1:9">
      <c r="A949" s="1">
        <v>10000948</v>
      </c>
      <c r="B949" s="3" t="str">
        <f t="shared" ca="1" si="98"/>
        <v>Hooghly</v>
      </c>
      <c r="C949" s="3" t="str">
        <f t="shared" ca="1" si="99"/>
        <v>Moderate Risk</v>
      </c>
      <c r="D949" s="3" t="str">
        <f t="shared" ca="1" si="100"/>
        <v>Commercial</v>
      </c>
      <c r="E949" s="3" t="str" cm="1">
        <f t="array" aca="1" ref="E949" ca="1">_xlfn.IFS(D949="Industrial", "Reinforced Concrete", D949 = "Commercial", CHOOSE(RANDBETWEEN(1, 2), "Reinforced Concrete", "Unreinforced Masonry"), D949 = "Residential", CHOOSE(RANDBETWEEN(1, 3), "Reinforced Concrete", "Unreinforced Masonry", "Adobe / Light Timber"))</f>
        <v>Reinforced Concrete</v>
      </c>
      <c r="F949" s="3">
        <f t="shared" ca="1" si="101"/>
        <v>2004</v>
      </c>
      <c r="G949" s="3">
        <f t="shared" ca="1" si="102"/>
        <v>5</v>
      </c>
      <c r="H949" s="2">
        <f t="shared" ca="1" si="103"/>
        <v>3</v>
      </c>
      <c r="I949" s="4">
        <f t="shared" ca="1" si="104"/>
        <v>15120828</v>
      </c>
    </row>
    <row r="950" spans="1:9">
      <c r="A950" s="1">
        <v>10000949</v>
      </c>
      <c r="B950" s="3" t="str">
        <f t="shared" ca="1" si="98"/>
        <v>Kolkata</v>
      </c>
      <c r="C950" s="3" t="str">
        <f t="shared" ca="1" si="99"/>
        <v>Moderate Risk</v>
      </c>
      <c r="D950" s="3" t="str">
        <f t="shared" ca="1" si="100"/>
        <v>Commercial</v>
      </c>
      <c r="E950" s="3" t="str" cm="1">
        <f t="array" aca="1" ref="E950" ca="1">_xlfn.IFS(D950="Industrial", "Reinforced Concrete", D950 = "Commercial", CHOOSE(RANDBETWEEN(1, 2), "Reinforced Concrete", "Unreinforced Masonry"), D950 = "Residential", CHOOSE(RANDBETWEEN(1, 3), "Reinforced Concrete", "Unreinforced Masonry", "Adobe / Light Timber"))</f>
        <v>Reinforced Concrete</v>
      </c>
      <c r="F950" s="3">
        <f t="shared" ca="1" si="101"/>
        <v>1997</v>
      </c>
      <c r="G950" s="3">
        <f t="shared" ca="1" si="102"/>
        <v>5</v>
      </c>
      <c r="H950" s="2">
        <f t="shared" ca="1" si="103"/>
        <v>5</v>
      </c>
      <c r="I950" s="4">
        <f t="shared" ca="1" si="104"/>
        <v>19629174</v>
      </c>
    </row>
    <row r="951" spans="1:9">
      <c r="A951" s="1">
        <v>10000950</v>
      </c>
      <c r="B951" s="3" t="str">
        <f t="shared" ca="1" si="98"/>
        <v>Paschim Medinipur</v>
      </c>
      <c r="C951" s="3" t="str">
        <f t="shared" ca="1" si="99"/>
        <v>Moderate Risk</v>
      </c>
      <c r="D951" s="3" t="str">
        <f t="shared" ca="1" si="100"/>
        <v>Commercial</v>
      </c>
      <c r="E951" s="3" t="str" cm="1">
        <f t="array" aca="1" ref="E951" ca="1">_xlfn.IFS(D951="Industrial", "Reinforced Concrete", D951 = "Commercial", CHOOSE(RANDBETWEEN(1, 2), "Reinforced Concrete", "Unreinforced Masonry"), D951 = "Residential", CHOOSE(RANDBETWEEN(1, 3), "Reinforced Concrete", "Unreinforced Masonry", "Adobe / Light Timber"))</f>
        <v>Unreinforced Masonry</v>
      </c>
      <c r="F951" s="3">
        <f t="shared" ca="1" si="101"/>
        <v>1996</v>
      </c>
      <c r="G951" s="3">
        <f t="shared" ca="1" si="102"/>
        <v>4</v>
      </c>
      <c r="H951" s="2">
        <f t="shared" ca="1" si="103"/>
        <v>2</v>
      </c>
      <c r="I951" s="4">
        <f t="shared" ca="1" si="104"/>
        <v>18200677</v>
      </c>
    </row>
    <row r="952" spans="1:9">
      <c r="A952" s="1">
        <v>10000951</v>
      </c>
      <c r="B952" s="3" t="str">
        <f t="shared" ca="1" si="98"/>
        <v>Malda</v>
      </c>
      <c r="C952" s="3" t="str">
        <f t="shared" ca="1" si="99"/>
        <v>High Risk</v>
      </c>
      <c r="D952" s="3" t="str">
        <f t="shared" ca="1" si="100"/>
        <v>Industrial</v>
      </c>
      <c r="E952" s="3" t="str" cm="1">
        <f t="array" aca="1" ref="E952" ca="1">_xlfn.IFS(D952="Industrial", "Reinforced Concrete", D952 = "Commercial", CHOOSE(RANDBETWEEN(1, 2), "Reinforced Concrete", "Unreinforced Masonry"), D952 = "Residential", CHOOSE(RANDBETWEEN(1, 3), "Reinforced Concrete", "Unreinforced Masonry", "Adobe / Light Timber"))</f>
        <v>Reinforced Concrete</v>
      </c>
      <c r="F952" s="3">
        <f t="shared" ca="1" si="101"/>
        <v>1986</v>
      </c>
      <c r="G952" s="3">
        <f t="shared" ca="1" si="102"/>
        <v>4</v>
      </c>
      <c r="H952" s="2">
        <f t="shared" ca="1" si="103"/>
        <v>4</v>
      </c>
      <c r="I952" s="4">
        <f t="shared" ca="1" si="104"/>
        <v>44848299</v>
      </c>
    </row>
    <row r="953" spans="1:9">
      <c r="A953" s="1">
        <v>10000952</v>
      </c>
      <c r="B953" s="3" t="str">
        <f t="shared" ca="1" si="98"/>
        <v>Hooghly</v>
      </c>
      <c r="C953" s="3" t="str">
        <f t="shared" ca="1" si="99"/>
        <v>Moderate Risk</v>
      </c>
      <c r="D953" s="3" t="str">
        <f t="shared" ca="1" si="100"/>
        <v>Industrial</v>
      </c>
      <c r="E953" s="3" t="str" cm="1">
        <f t="array" aca="1" ref="E953" ca="1">_xlfn.IFS(D953="Industrial", "Reinforced Concrete", D953 = "Commercial", CHOOSE(RANDBETWEEN(1, 2), "Reinforced Concrete", "Unreinforced Masonry"), D953 = "Residential", CHOOSE(RANDBETWEEN(1, 3), "Reinforced Concrete", "Unreinforced Masonry", "Adobe / Light Timber"))</f>
        <v>Reinforced Concrete</v>
      </c>
      <c r="F953" s="3">
        <f t="shared" ca="1" si="101"/>
        <v>1984</v>
      </c>
      <c r="G953" s="3">
        <f t="shared" ca="1" si="102"/>
        <v>5</v>
      </c>
      <c r="H953" s="2">
        <f t="shared" ca="1" si="103"/>
        <v>3</v>
      </c>
      <c r="I953" s="4">
        <f t="shared" ca="1" si="104"/>
        <v>56591788</v>
      </c>
    </row>
    <row r="954" spans="1:9">
      <c r="A954" s="1">
        <v>10000953</v>
      </c>
      <c r="B954" s="3" t="str">
        <f t="shared" ca="1" si="98"/>
        <v>Kolkata</v>
      </c>
      <c r="C954" s="3" t="str">
        <f t="shared" ca="1" si="99"/>
        <v>Moderate Risk</v>
      </c>
      <c r="D954" s="3" t="str">
        <f t="shared" ca="1" si="100"/>
        <v>Commercial</v>
      </c>
      <c r="E954" s="3" t="str" cm="1">
        <f t="array" aca="1" ref="E954" ca="1">_xlfn.IFS(D954="Industrial", "Reinforced Concrete", D954 = "Commercial", CHOOSE(RANDBETWEEN(1, 2), "Reinforced Concrete", "Unreinforced Masonry"), D954 = "Residential", CHOOSE(RANDBETWEEN(1, 3), "Reinforced Concrete", "Unreinforced Masonry", "Adobe / Light Timber"))</f>
        <v>Unreinforced Masonry</v>
      </c>
      <c r="F954" s="3">
        <f t="shared" ca="1" si="101"/>
        <v>2014</v>
      </c>
      <c r="G954" s="3">
        <f t="shared" ca="1" si="102"/>
        <v>5</v>
      </c>
      <c r="H954" s="2">
        <f t="shared" ca="1" si="103"/>
        <v>2</v>
      </c>
      <c r="I954" s="4">
        <f t="shared" ca="1" si="104"/>
        <v>10218019</v>
      </c>
    </row>
    <row r="955" spans="1:9">
      <c r="A955" s="1">
        <v>10000954</v>
      </c>
      <c r="B955" s="3" t="str">
        <f t="shared" ca="1" si="98"/>
        <v>Jalpaiguri</v>
      </c>
      <c r="C955" s="3" t="str">
        <f t="shared" ca="1" si="99"/>
        <v>High Risk</v>
      </c>
      <c r="D955" s="3" t="str">
        <f t="shared" ca="1" si="100"/>
        <v>Industrial</v>
      </c>
      <c r="E955" s="3" t="str" cm="1">
        <f t="array" aca="1" ref="E955" ca="1">_xlfn.IFS(D955="Industrial", "Reinforced Concrete", D955 = "Commercial", CHOOSE(RANDBETWEEN(1, 2), "Reinforced Concrete", "Unreinforced Masonry"), D955 = "Residential", CHOOSE(RANDBETWEEN(1, 3), "Reinforced Concrete", "Unreinforced Masonry", "Adobe / Light Timber"))</f>
        <v>Reinforced Concrete</v>
      </c>
      <c r="F955" s="3">
        <f t="shared" ca="1" si="101"/>
        <v>2004</v>
      </c>
      <c r="G955" s="3">
        <f t="shared" ca="1" si="102"/>
        <v>5</v>
      </c>
      <c r="H955" s="2">
        <f t="shared" ca="1" si="103"/>
        <v>3</v>
      </c>
      <c r="I955" s="4">
        <f t="shared" ca="1" si="104"/>
        <v>57291454</v>
      </c>
    </row>
    <row r="956" spans="1:9">
      <c r="A956" s="1">
        <v>10000955</v>
      </c>
      <c r="B956" s="3" t="str">
        <f t="shared" ca="1" si="98"/>
        <v>Malda</v>
      </c>
      <c r="C956" s="3" t="str">
        <f t="shared" ca="1" si="99"/>
        <v>High Risk</v>
      </c>
      <c r="D956" s="3" t="str">
        <f t="shared" ca="1" si="100"/>
        <v>Commercial</v>
      </c>
      <c r="E956" s="3" t="str" cm="1">
        <f t="array" aca="1" ref="E956" ca="1">_xlfn.IFS(D956="Industrial", "Reinforced Concrete", D956 = "Commercial", CHOOSE(RANDBETWEEN(1, 2), "Reinforced Concrete", "Unreinforced Masonry"), D956 = "Residential", CHOOSE(RANDBETWEEN(1, 3), "Reinforced Concrete", "Unreinforced Masonry", "Adobe / Light Timber"))</f>
        <v>Unreinforced Masonry</v>
      </c>
      <c r="F956" s="3">
        <f t="shared" ca="1" si="101"/>
        <v>1988</v>
      </c>
      <c r="G956" s="3">
        <f t="shared" ca="1" si="102"/>
        <v>2</v>
      </c>
      <c r="H956" s="2">
        <f t="shared" ca="1" si="103"/>
        <v>2</v>
      </c>
      <c r="I956" s="4">
        <f t="shared" ca="1" si="104"/>
        <v>22658878</v>
      </c>
    </row>
    <row r="957" spans="1:9">
      <c r="A957" s="1">
        <v>10000956</v>
      </c>
      <c r="B957" s="3" t="str">
        <f t="shared" ca="1" si="98"/>
        <v>Hooghly</v>
      </c>
      <c r="C957" s="3" t="str">
        <f t="shared" ca="1" si="99"/>
        <v>Moderate Risk</v>
      </c>
      <c r="D957" s="3" t="str">
        <f t="shared" ca="1" si="100"/>
        <v>Residential</v>
      </c>
      <c r="E957" s="3" t="str" cm="1">
        <f t="array" aca="1" ref="E957" ca="1">_xlfn.IFS(D957="Industrial", "Reinforced Concrete", D957 = "Commercial", CHOOSE(RANDBETWEEN(1, 2), "Reinforced Concrete", "Unreinforced Masonry"), D957 = "Residential", CHOOSE(RANDBETWEEN(1, 3), "Reinforced Concrete", "Unreinforced Masonry", "Adobe / Light Timber"))</f>
        <v>Reinforced Concrete</v>
      </c>
      <c r="F957" s="3">
        <f t="shared" ca="1" si="101"/>
        <v>2021</v>
      </c>
      <c r="G957" s="3">
        <f t="shared" ca="1" si="102"/>
        <v>3</v>
      </c>
      <c r="H957" s="2">
        <f t="shared" ca="1" si="103"/>
        <v>3</v>
      </c>
      <c r="I957" s="4">
        <f t="shared" ca="1" si="104"/>
        <v>3549509</v>
      </c>
    </row>
    <row r="958" spans="1:9">
      <c r="A958" s="1">
        <v>10000957</v>
      </c>
      <c r="B958" s="3" t="str">
        <f t="shared" ca="1" si="98"/>
        <v>South 24 Parganas</v>
      </c>
      <c r="C958" s="3" t="str">
        <f t="shared" ca="1" si="99"/>
        <v>High Risk</v>
      </c>
      <c r="D958" s="3" t="str">
        <f t="shared" ca="1" si="100"/>
        <v>Residential</v>
      </c>
      <c r="E958" s="3" t="str" cm="1">
        <f t="array" aca="1" ref="E958" ca="1">_xlfn.IFS(D958="Industrial", "Reinforced Concrete", D958 = "Commercial", CHOOSE(RANDBETWEEN(1, 2), "Reinforced Concrete", "Unreinforced Masonry"), D958 = "Residential", CHOOSE(RANDBETWEEN(1, 3), "Reinforced Concrete", "Unreinforced Masonry", "Adobe / Light Timber"))</f>
        <v>Adobe / Light Timber</v>
      </c>
      <c r="F958" s="3">
        <f t="shared" ca="1" si="101"/>
        <v>2003</v>
      </c>
      <c r="G958" s="3">
        <f t="shared" ca="1" si="102"/>
        <v>1</v>
      </c>
      <c r="H958" s="2">
        <f t="shared" ca="1" si="103"/>
        <v>2</v>
      </c>
      <c r="I958" s="4">
        <f t="shared" ca="1" si="104"/>
        <v>578937</v>
      </c>
    </row>
    <row r="959" spans="1:9">
      <c r="A959" s="1">
        <v>10000958</v>
      </c>
      <c r="B959" s="3" t="str">
        <f t="shared" ca="1" si="98"/>
        <v>South 24 Parganas</v>
      </c>
      <c r="C959" s="3" t="str">
        <f t="shared" ca="1" si="99"/>
        <v>High Risk</v>
      </c>
      <c r="D959" s="3" t="str">
        <f t="shared" ca="1" si="100"/>
        <v>Residential</v>
      </c>
      <c r="E959" s="3" t="str" cm="1">
        <f t="array" aca="1" ref="E959" ca="1">_xlfn.IFS(D959="Industrial", "Reinforced Concrete", D959 = "Commercial", CHOOSE(RANDBETWEEN(1, 2), "Reinforced Concrete", "Unreinforced Masonry"), D959 = "Residential", CHOOSE(RANDBETWEEN(1, 3), "Reinforced Concrete", "Unreinforced Masonry", "Adobe / Light Timber"))</f>
        <v>Adobe / Light Timber</v>
      </c>
      <c r="F959" s="3">
        <f t="shared" ca="1" si="101"/>
        <v>2004</v>
      </c>
      <c r="G959" s="3">
        <f t="shared" ca="1" si="102"/>
        <v>1</v>
      </c>
      <c r="H959" s="2">
        <f t="shared" ca="1" si="103"/>
        <v>1</v>
      </c>
      <c r="I959" s="4">
        <f t="shared" ca="1" si="104"/>
        <v>586558</v>
      </c>
    </row>
    <row r="960" spans="1:9">
      <c r="A960" s="1">
        <v>10000959</v>
      </c>
      <c r="B960" s="3" t="str">
        <f t="shared" ca="1" si="98"/>
        <v>Paschim Medinipur</v>
      </c>
      <c r="C960" s="3" t="str">
        <f t="shared" ca="1" si="99"/>
        <v>Moderate Risk</v>
      </c>
      <c r="D960" s="3" t="str">
        <f t="shared" ca="1" si="100"/>
        <v>Residential</v>
      </c>
      <c r="E960" s="3" t="str" cm="1">
        <f t="array" aca="1" ref="E960" ca="1">_xlfn.IFS(D960="Industrial", "Reinforced Concrete", D960 = "Commercial", CHOOSE(RANDBETWEEN(1, 2), "Reinforced Concrete", "Unreinforced Masonry"), D960 = "Residential", CHOOSE(RANDBETWEEN(1, 3), "Reinforced Concrete", "Unreinforced Masonry", "Adobe / Light Timber"))</f>
        <v>Unreinforced Masonry</v>
      </c>
      <c r="F960" s="3">
        <f t="shared" ca="1" si="101"/>
        <v>2010</v>
      </c>
      <c r="G960" s="3">
        <f t="shared" ca="1" si="102"/>
        <v>2</v>
      </c>
      <c r="H960" s="2">
        <f t="shared" ca="1" si="103"/>
        <v>1</v>
      </c>
      <c r="I960" s="4">
        <f t="shared" ca="1" si="104"/>
        <v>3759728</v>
      </c>
    </row>
    <row r="961" spans="1:9">
      <c r="A961" s="1">
        <v>10000960</v>
      </c>
      <c r="B961" s="3" t="str">
        <f t="shared" ca="1" si="98"/>
        <v>Malda</v>
      </c>
      <c r="C961" s="3" t="str">
        <f t="shared" ca="1" si="99"/>
        <v>High Risk</v>
      </c>
      <c r="D961" s="3" t="str">
        <f t="shared" ca="1" si="100"/>
        <v>Residential</v>
      </c>
      <c r="E961" s="3" t="str" cm="1">
        <f t="array" aca="1" ref="E961" ca="1">_xlfn.IFS(D961="Industrial", "Reinforced Concrete", D961 = "Commercial", CHOOSE(RANDBETWEEN(1, 2), "Reinforced Concrete", "Unreinforced Masonry"), D961 = "Residential", CHOOSE(RANDBETWEEN(1, 3), "Reinforced Concrete", "Unreinforced Masonry", "Adobe / Light Timber"))</f>
        <v>Unreinforced Masonry</v>
      </c>
      <c r="F961" s="3">
        <f t="shared" ca="1" si="101"/>
        <v>1994</v>
      </c>
      <c r="G961" s="3">
        <f t="shared" ca="1" si="102"/>
        <v>1</v>
      </c>
      <c r="H961" s="2">
        <f t="shared" ca="1" si="103"/>
        <v>1</v>
      </c>
      <c r="I961" s="4">
        <f t="shared" ca="1" si="104"/>
        <v>1766542</v>
      </c>
    </row>
    <row r="962" spans="1:9">
      <c r="A962" s="1">
        <v>10000961</v>
      </c>
      <c r="B962" s="3" t="str">
        <f t="shared" ca="1" si="98"/>
        <v>Malda</v>
      </c>
      <c r="C962" s="3" t="str">
        <f t="shared" ca="1" si="99"/>
        <v>High Risk</v>
      </c>
      <c r="D962" s="3" t="str">
        <f t="shared" ca="1" si="100"/>
        <v>Industrial</v>
      </c>
      <c r="E962" s="3" t="str" cm="1">
        <f t="array" aca="1" ref="E962" ca="1">_xlfn.IFS(D962="Industrial", "Reinforced Concrete", D962 = "Commercial", CHOOSE(RANDBETWEEN(1, 2), "Reinforced Concrete", "Unreinforced Masonry"), D962 = "Residential", CHOOSE(RANDBETWEEN(1, 3), "Reinforced Concrete", "Unreinforced Masonry", "Adobe / Light Timber"))</f>
        <v>Reinforced Concrete</v>
      </c>
      <c r="F962" s="3">
        <f t="shared" ca="1" si="101"/>
        <v>1982</v>
      </c>
      <c r="G962" s="3">
        <f t="shared" ca="1" si="102"/>
        <v>1</v>
      </c>
      <c r="H962" s="2">
        <f t="shared" ca="1" si="103"/>
        <v>5</v>
      </c>
      <c r="I962" s="4">
        <f t="shared" ca="1" si="104"/>
        <v>50817199</v>
      </c>
    </row>
    <row r="963" spans="1:9">
      <c r="A963" s="1">
        <v>10000962</v>
      </c>
      <c r="B963" s="3" t="str">
        <f t="shared" ref="B963:B1001" ca="1" si="105">CHOOSE(RANDBETWEEN(1, 6),"South 24 Parganas", "Malda", "Jalpaiguri","Kolkata","Hooghly","Paschim Medinipur")</f>
        <v>South 24 Parganas</v>
      </c>
      <c r="C963" s="3" t="str">
        <f t="shared" ref="C963:C1001" ca="1" si="106">IF(OR(B963 = "South 24 Parganas", B963 = "Malda", B963 = "Jalpaiguri"), "High Risk", "Moderate Risk")</f>
        <v>High Risk</v>
      </c>
      <c r="D963" s="3" t="str">
        <f t="shared" ref="D963:D1001" ca="1" si="107">CHOOSE(RANDBETWEEN(1, 3), "Residential","Commercial","Industrial")</f>
        <v>Industrial</v>
      </c>
      <c r="E963" s="3" t="str" cm="1">
        <f t="array" aca="1" ref="E963" ca="1">_xlfn.IFS(D963="Industrial", "Reinforced Concrete", D963 = "Commercial", CHOOSE(RANDBETWEEN(1, 2), "Reinforced Concrete", "Unreinforced Masonry"), D963 = "Residential", CHOOSE(RANDBETWEEN(1, 3), "Reinforced Concrete", "Unreinforced Masonry", "Adobe / Light Timber"))</f>
        <v>Reinforced Concrete</v>
      </c>
      <c r="F963" s="3">
        <f t="shared" ref="F963:F1001" ca="1" si="108">RANDBETWEEN(1980, 2024)</f>
        <v>2010</v>
      </c>
      <c r="G963" s="3">
        <f t="shared" ref="G963:G1001" ca="1" si="109">IF(E963 = "Adobe / Light Timber", 1, RANDBETWEEN(1, 5))</f>
        <v>5</v>
      </c>
      <c r="H963" s="2">
        <f t="shared" ref="H963:H1001" ca="1" si="110">IF(E963="Reinforced Concrete",RANDBETWEEN(3, 5),RANDBETWEEN(0,2))</f>
        <v>3</v>
      </c>
      <c r="I963" s="4">
        <f t="shared" ref="I963:I1001" ca="1" si="111">MAX(200000, _xlfn.IFS(D963 = "Industrial", ROUND(_xlfn.NORM.INV(RAND(), 50000000, 10000000), 0), D963 = "Commercial",ROUND(_xlfn.NORM.INV(RAND(), 15000000, 5000000), 0),E963 = "Adobe / Light Timber", ROUND(_xlfn.NORM.INV(RAND(), 500000, 100000), 0),TRUE, ROUND(_xlfn.NORM.INV(RAND(), 4000000, 1500000), 0)))</f>
        <v>67014936</v>
      </c>
    </row>
    <row r="964" spans="1:9">
      <c r="A964" s="1">
        <v>10000963</v>
      </c>
      <c r="B964" s="3" t="str">
        <f t="shared" ca="1" si="105"/>
        <v>Hooghly</v>
      </c>
      <c r="C964" s="3" t="str">
        <f t="shared" ca="1" si="106"/>
        <v>Moderate Risk</v>
      </c>
      <c r="D964" s="3" t="str">
        <f t="shared" ca="1" si="107"/>
        <v>Residential</v>
      </c>
      <c r="E964" s="3" t="str" cm="1">
        <f t="array" aca="1" ref="E964" ca="1">_xlfn.IFS(D964="Industrial", "Reinforced Concrete", D964 = "Commercial", CHOOSE(RANDBETWEEN(1, 2), "Reinforced Concrete", "Unreinforced Masonry"), D964 = "Residential", CHOOSE(RANDBETWEEN(1, 3), "Reinforced Concrete", "Unreinforced Masonry", "Adobe / Light Timber"))</f>
        <v>Adobe / Light Timber</v>
      </c>
      <c r="F964" s="3">
        <f t="shared" ca="1" si="108"/>
        <v>2024</v>
      </c>
      <c r="G964" s="3">
        <f t="shared" ca="1" si="109"/>
        <v>1</v>
      </c>
      <c r="H964" s="2">
        <f t="shared" ca="1" si="110"/>
        <v>1</v>
      </c>
      <c r="I964" s="4">
        <f t="shared" ca="1" si="111"/>
        <v>490908</v>
      </c>
    </row>
    <row r="965" spans="1:9">
      <c r="A965" s="1">
        <v>10000964</v>
      </c>
      <c r="B965" s="3" t="str">
        <f t="shared" ca="1" si="105"/>
        <v>Paschim Medinipur</v>
      </c>
      <c r="C965" s="3" t="str">
        <f t="shared" ca="1" si="106"/>
        <v>Moderate Risk</v>
      </c>
      <c r="D965" s="3" t="str">
        <f t="shared" ca="1" si="107"/>
        <v>Industrial</v>
      </c>
      <c r="E965" s="3" t="str" cm="1">
        <f t="array" aca="1" ref="E965" ca="1">_xlfn.IFS(D965="Industrial", "Reinforced Concrete", D965 = "Commercial", CHOOSE(RANDBETWEEN(1, 2), "Reinforced Concrete", "Unreinforced Masonry"), D965 = "Residential", CHOOSE(RANDBETWEEN(1, 3), "Reinforced Concrete", "Unreinforced Masonry", "Adobe / Light Timber"))</f>
        <v>Reinforced Concrete</v>
      </c>
      <c r="F965" s="3">
        <f t="shared" ca="1" si="108"/>
        <v>2002</v>
      </c>
      <c r="G965" s="3">
        <f t="shared" ca="1" si="109"/>
        <v>5</v>
      </c>
      <c r="H965" s="2">
        <f t="shared" ca="1" si="110"/>
        <v>4</v>
      </c>
      <c r="I965" s="4">
        <f t="shared" ca="1" si="111"/>
        <v>37744411</v>
      </c>
    </row>
    <row r="966" spans="1:9">
      <c r="A966" s="1">
        <v>10000965</v>
      </c>
      <c r="B966" s="3" t="str">
        <f t="shared" ca="1" si="105"/>
        <v>Kolkata</v>
      </c>
      <c r="C966" s="3" t="str">
        <f t="shared" ca="1" si="106"/>
        <v>Moderate Risk</v>
      </c>
      <c r="D966" s="3" t="str">
        <f t="shared" ca="1" si="107"/>
        <v>Residential</v>
      </c>
      <c r="E966" s="3" t="str" cm="1">
        <f t="array" aca="1" ref="E966" ca="1">_xlfn.IFS(D966="Industrial", "Reinforced Concrete", D966 = "Commercial", CHOOSE(RANDBETWEEN(1, 2), "Reinforced Concrete", "Unreinforced Masonry"), D966 = "Residential", CHOOSE(RANDBETWEEN(1, 3), "Reinforced Concrete", "Unreinforced Masonry", "Adobe / Light Timber"))</f>
        <v>Unreinforced Masonry</v>
      </c>
      <c r="F966" s="3">
        <f t="shared" ca="1" si="108"/>
        <v>1999</v>
      </c>
      <c r="G966" s="3">
        <f t="shared" ca="1" si="109"/>
        <v>5</v>
      </c>
      <c r="H966" s="2">
        <f t="shared" ca="1" si="110"/>
        <v>2</v>
      </c>
      <c r="I966" s="4">
        <f t="shared" ca="1" si="111"/>
        <v>4165428</v>
      </c>
    </row>
    <row r="967" spans="1:9">
      <c r="A967" s="1">
        <v>10000966</v>
      </c>
      <c r="B967" s="3" t="str">
        <f t="shared" ca="1" si="105"/>
        <v>Hooghly</v>
      </c>
      <c r="C967" s="3" t="str">
        <f t="shared" ca="1" si="106"/>
        <v>Moderate Risk</v>
      </c>
      <c r="D967" s="3" t="str">
        <f t="shared" ca="1" si="107"/>
        <v>Residential</v>
      </c>
      <c r="E967" s="3" t="str" cm="1">
        <f t="array" aca="1" ref="E967" ca="1">_xlfn.IFS(D967="Industrial", "Reinforced Concrete", D967 = "Commercial", CHOOSE(RANDBETWEEN(1, 2), "Reinforced Concrete", "Unreinforced Masonry"), D967 = "Residential", CHOOSE(RANDBETWEEN(1, 3), "Reinforced Concrete", "Unreinforced Masonry", "Adobe / Light Timber"))</f>
        <v>Adobe / Light Timber</v>
      </c>
      <c r="F967" s="3">
        <f t="shared" ca="1" si="108"/>
        <v>2012</v>
      </c>
      <c r="G967" s="3">
        <f t="shared" ca="1" si="109"/>
        <v>1</v>
      </c>
      <c r="H967" s="2">
        <f t="shared" ca="1" si="110"/>
        <v>0</v>
      </c>
      <c r="I967" s="4">
        <f t="shared" ca="1" si="111"/>
        <v>520789</v>
      </c>
    </row>
    <row r="968" spans="1:9">
      <c r="A968" s="1">
        <v>10000967</v>
      </c>
      <c r="B968" s="3" t="str">
        <f t="shared" ca="1" si="105"/>
        <v>Malda</v>
      </c>
      <c r="C968" s="3" t="str">
        <f t="shared" ca="1" si="106"/>
        <v>High Risk</v>
      </c>
      <c r="D968" s="3" t="str">
        <f t="shared" ca="1" si="107"/>
        <v>Residential</v>
      </c>
      <c r="E968" s="3" t="str" cm="1">
        <f t="array" aca="1" ref="E968" ca="1">_xlfn.IFS(D968="Industrial", "Reinforced Concrete", D968 = "Commercial", CHOOSE(RANDBETWEEN(1, 2), "Reinforced Concrete", "Unreinforced Masonry"), D968 = "Residential", CHOOSE(RANDBETWEEN(1, 3), "Reinforced Concrete", "Unreinforced Masonry", "Adobe / Light Timber"))</f>
        <v>Unreinforced Masonry</v>
      </c>
      <c r="F968" s="3">
        <f t="shared" ca="1" si="108"/>
        <v>1997</v>
      </c>
      <c r="G968" s="3">
        <f t="shared" ca="1" si="109"/>
        <v>3</v>
      </c>
      <c r="H968" s="2">
        <f t="shared" ca="1" si="110"/>
        <v>0</v>
      </c>
      <c r="I968" s="4">
        <f t="shared" ca="1" si="111"/>
        <v>4238396</v>
      </c>
    </row>
    <row r="969" spans="1:9">
      <c r="A969" s="1">
        <v>10000968</v>
      </c>
      <c r="B969" s="3" t="str">
        <f t="shared" ca="1" si="105"/>
        <v>Jalpaiguri</v>
      </c>
      <c r="C969" s="3" t="str">
        <f t="shared" ca="1" si="106"/>
        <v>High Risk</v>
      </c>
      <c r="D969" s="3" t="str">
        <f t="shared" ca="1" si="107"/>
        <v>Commercial</v>
      </c>
      <c r="E969" s="3" t="str" cm="1">
        <f t="array" aca="1" ref="E969" ca="1">_xlfn.IFS(D969="Industrial", "Reinforced Concrete", D969 = "Commercial", CHOOSE(RANDBETWEEN(1, 2), "Reinforced Concrete", "Unreinforced Masonry"), D969 = "Residential", CHOOSE(RANDBETWEEN(1, 3), "Reinforced Concrete", "Unreinforced Masonry", "Adobe / Light Timber"))</f>
        <v>Unreinforced Masonry</v>
      </c>
      <c r="F969" s="3">
        <f t="shared" ca="1" si="108"/>
        <v>2000</v>
      </c>
      <c r="G969" s="3">
        <f t="shared" ca="1" si="109"/>
        <v>3</v>
      </c>
      <c r="H969" s="2">
        <f t="shared" ca="1" si="110"/>
        <v>1</v>
      </c>
      <c r="I969" s="4">
        <f t="shared" ca="1" si="111"/>
        <v>16695148</v>
      </c>
    </row>
    <row r="970" spans="1:9">
      <c r="A970" s="1">
        <v>10000969</v>
      </c>
      <c r="B970" s="3" t="str">
        <f t="shared" ca="1" si="105"/>
        <v>Hooghly</v>
      </c>
      <c r="C970" s="3" t="str">
        <f t="shared" ca="1" si="106"/>
        <v>Moderate Risk</v>
      </c>
      <c r="D970" s="3" t="str">
        <f t="shared" ca="1" si="107"/>
        <v>Commercial</v>
      </c>
      <c r="E970" s="3" t="str" cm="1">
        <f t="array" aca="1" ref="E970" ca="1">_xlfn.IFS(D970="Industrial", "Reinforced Concrete", D970 = "Commercial", CHOOSE(RANDBETWEEN(1, 2), "Reinforced Concrete", "Unreinforced Masonry"), D970 = "Residential", CHOOSE(RANDBETWEEN(1, 3), "Reinforced Concrete", "Unreinforced Masonry", "Adobe / Light Timber"))</f>
        <v>Reinforced Concrete</v>
      </c>
      <c r="F970" s="3">
        <f t="shared" ca="1" si="108"/>
        <v>1999</v>
      </c>
      <c r="G970" s="3">
        <f t="shared" ca="1" si="109"/>
        <v>5</v>
      </c>
      <c r="H970" s="2">
        <f t="shared" ca="1" si="110"/>
        <v>3</v>
      </c>
      <c r="I970" s="4">
        <f t="shared" ca="1" si="111"/>
        <v>6409775</v>
      </c>
    </row>
    <row r="971" spans="1:9">
      <c r="A971" s="1">
        <v>10000970</v>
      </c>
      <c r="B971" s="3" t="str">
        <f t="shared" ca="1" si="105"/>
        <v>Kolkata</v>
      </c>
      <c r="C971" s="3" t="str">
        <f t="shared" ca="1" si="106"/>
        <v>Moderate Risk</v>
      </c>
      <c r="D971" s="3" t="str">
        <f t="shared" ca="1" si="107"/>
        <v>Commercial</v>
      </c>
      <c r="E971" s="3" t="str" cm="1">
        <f t="array" aca="1" ref="E971" ca="1">_xlfn.IFS(D971="Industrial", "Reinforced Concrete", D971 = "Commercial", CHOOSE(RANDBETWEEN(1, 2), "Reinforced Concrete", "Unreinforced Masonry"), D971 = "Residential", CHOOSE(RANDBETWEEN(1, 3), "Reinforced Concrete", "Unreinforced Masonry", "Adobe / Light Timber"))</f>
        <v>Reinforced Concrete</v>
      </c>
      <c r="F971" s="3">
        <f t="shared" ca="1" si="108"/>
        <v>2010</v>
      </c>
      <c r="G971" s="3">
        <f t="shared" ca="1" si="109"/>
        <v>1</v>
      </c>
      <c r="H971" s="2">
        <f t="shared" ca="1" si="110"/>
        <v>4</v>
      </c>
      <c r="I971" s="4">
        <f t="shared" ca="1" si="111"/>
        <v>2965857</v>
      </c>
    </row>
    <row r="972" spans="1:9">
      <c r="A972" s="1">
        <v>10000971</v>
      </c>
      <c r="B972" s="3" t="str">
        <f t="shared" ca="1" si="105"/>
        <v>Malda</v>
      </c>
      <c r="C972" s="3" t="str">
        <f t="shared" ca="1" si="106"/>
        <v>High Risk</v>
      </c>
      <c r="D972" s="3" t="str">
        <f t="shared" ca="1" si="107"/>
        <v>Commercial</v>
      </c>
      <c r="E972" s="3" t="str" cm="1">
        <f t="array" aca="1" ref="E972" ca="1">_xlfn.IFS(D972="Industrial", "Reinforced Concrete", D972 = "Commercial", CHOOSE(RANDBETWEEN(1, 2), "Reinforced Concrete", "Unreinforced Masonry"), D972 = "Residential", CHOOSE(RANDBETWEEN(1, 3), "Reinforced Concrete", "Unreinforced Masonry", "Adobe / Light Timber"))</f>
        <v>Reinforced Concrete</v>
      </c>
      <c r="F972" s="3">
        <f t="shared" ca="1" si="108"/>
        <v>2017</v>
      </c>
      <c r="G972" s="3">
        <f t="shared" ca="1" si="109"/>
        <v>2</v>
      </c>
      <c r="H972" s="2">
        <f t="shared" ca="1" si="110"/>
        <v>4</v>
      </c>
      <c r="I972" s="4">
        <f t="shared" ca="1" si="111"/>
        <v>17097429</v>
      </c>
    </row>
    <row r="973" spans="1:9">
      <c r="A973" s="1">
        <v>10000972</v>
      </c>
      <c r="B973" s="3" t="str">
        <f t="shared" ca="1" si="105"/>
        <v>Paschim Medinipur</v>
      </c>
      <c r="C973" s="3" t="str">
        <f t="shared" ca="1" si="106"/>
        <v>Moderate Risk</v>
      </c>
      <c r="D973" s="3" t="str">
        <f t="shared" ca="1" si="107"/>
        <v>Industrial</v>
      </c>
      <c r="E973" s="3" t="str" cm="1">
        <f t="array" aca="1" ref="E973" ca="1">_xlfn.IFS(D973="Industrial", "Reinforced Concrete", D973 = "Commercial", CHOOSE(RANDBETWEEN(1, 2), "Reinforced Concrete", "Unreinforced Masonry"), D973 = "Residential", CHOOSE(RANDBETWEEN(1, 3), "Reinforced Concrete", "Unreinforced Masonry", "Adobe / Light Timber"))</f>
        <v>Reinforced Concrete</v>
      </c>
      <c r="F973" s="3">
        <f t="shared" ca="1" si="108"/>
        <v>1996</v>
      </c>
      <c r="G973" s="3">
        <f t="shared" ca="1" si="109"/>
        <v>1</v>
      </c>
      <c r="H973" s="2">
        <f t="shared" ca="1" si="110"/>
        <v>4</v>
      </c>
      <c r="I973" s="4">
        <f t="shared" ca="1" si="111"/>
        <v>52077568</v>
      </c>
    </row>
    <row r="974" spans="1:9">
      <c r="A974" s="1">
        <v>10000973</v>
      </c>
      <c r="B974" s="3" t="str">
        <f t="shared" ca="1" si="105"/>
        <v>Hooghly</v>
      </c>
      <c r="C974" s="3" t="str">
        <f t="shared" ca="1" si="106"/>
        <v>Moderate Risk</v>
      </c>
      <c r="D974" s="3" t="str">
        <f t="shared" ca="1" si="107"/>
        <v>Residential</v>
      </c>
      <c r="E974" s="3" t="str" cm="1">
        <f t="array" aca="1" ref="E974" ca="1">_xlfn.IFS(D974="Industrial", "Reinforced Concrete", D974 = "Commercial", CHOOSE(RANDBETWEEN(1, 2), "Reinforced Concrete", "Unreinforced Masonry"), D974 = "Residential", CHOOSE(RANDBETWEEN(1, 3), "Reinforced Concrete", "Unreinforced Masonry", "Adobe / Light Timber"))</f>
        <v>Adobe / Light Timber</v>
      </c>
      <c r="F974" s="3">
        <f t="shared" ca="1" si="108"/>
        <v>1990</v>
      </c>
      <c r="G974" s="3">
        <f t="shared" ca="1" si="109"/>
        <v>1</v>
      </c>
      <c r="H974" s="2">
        <f t="shared" ca="1" si="110"/>
        <v>1</v>
      </c>
      <c r="I974" s="4">
        <f t="shared" ca="1" si="111"/>
        <v>614876</v>
      </c>
    </row>
    <row r="975" spans="1:9">
      <c r="A975" s="1">
        <v>10000974</v>
      </c>
      <c r="B975" s="3" t="str">
        <f t="shared" ca="1" si="105"/>
        <v>Paschim Medinipur</v>
      </c>
      <c r="C975" s="3" t="str">
        <f t="shared" ca="1" si="106"/>
        <v>Moderate Risk</v>
      </c>
      <c r="D975" s="3" t="str">
        <f t="shared" ca="1" si="107"/>
        <v>Industrial</v>
      </c>
      <c r="E975" s="3" t="str" cm="1">
        <f t="array" aca="1" ref="E975" ca="1">_xlfn.IFS(D975="Industrial", "Reinforced Concrete", D975 = "Commercial", CHOOSE(RANDBETWEEN(1, 2), "Reinforced Concrete", "Unreinforced Masonry"), D975 = "Residential", CHOOSE(RANDBETWEEN(1, 3), "Reinforced Concrete", "Unreinforced Masonry", "Adobe / Light Timber"))</f>
        <v>Reinforced Concrete</v>
      </c>
      <c r="F975" s="3">
        <f t="shared" ca="1" si="108"/>
        <v>1990</v>
      </c>
      <c r="G975" s="3">
        <f t="shared" ca="1" si="109"/>
        <v>4</v>
      </c>
      <c r="H975" s="2">
        <f t="shared" ca="1" si="110"/>
        <v>5</v>
      </c>
      <c r="I975" s="4">
        <f t="shared" ca="1" si="111"/>
        <v>49508017</v>
      </c>
    </row>
    <row r="976" spans="1:9">
      <c r="A976" s="1">
        <v>10000975</v>
      </c>
      <c r="B976" s="3" t="str">
        <f t="shared" ca="1" si="105"/>
        <v>Malda</v>
      </c>
      <c r="C976" s="3" t="str">
        <f t="shared" ca="1" si="106"/>
        <v>High Risk</v>
      </c>
      <c r="D976" s="3" t="str">
        <f t="shared" ca="1" si="107"/>
        <v>Industrial</v>
      </c>
      <c r="E976" s="3" t="str" cm="1">
        <f t="array" aca="1" ref="E976" ca="1">_xlfn.IFS(D976="Industrial", "Reinforced Concrete", D976 = "Commercial", CHOOSE(RANDBETWEEN(1, 2), "Reinforced Concrete", "Unreinforced Masonry"), D976 = "Residential", CHOOSE(RANDBETWEEN(1, 3), "Reinforced Concrete", "Unreinforced Masonry", "Adobe / Light Timber"))</f>
        <v>Reinforced Concrete</v>
      </c>
      <c r="F976" s="3">
        <f t="shared" ca="1" si="108"/>
        <v>1988</v>
      </c>
      <c r="G976" s="3">
        <f t="shared" ca="1" si="109"/>
        <v>4</v>
      </c>
      <c r="H976" s="2">
        <f t="shared" ca="1" si="110"/>
        <v>5</v>
      </c>
      <c r="I976" s="4">
        <f t="shared" ca="1" si="111"/>
        <v>54733001</v>
      </c>
    </row>
    <row r="977" spans="1:9">
      <c r="A977" s="1">
        <v>10000976</v>
      </c>
      <c r="B977" s="3" t="str">
        <f t="shared" ca="1" si="105"/>
        <v>Jalpaiguri</v>
      </c>
      <c r="C977" s="3" t="str">
        <f t="shared" ca="1" si="106"/>
        <v>High Risk</v>
      </c>
      <c r="D977" s="3" t="str">
        <f t="shared" ca="1" si="107"/>
        <v>Residential</v>
      </c>
      <c r="E977" s="3" t="str" cm="1">
        <f t="array" aca="1" ref="E977" ca="1">_xlfn.IFS(D977="Industrial", "Reinforced Concrete", D977 = "Commercial", CHOOSE(RANDBETWEEN(1, 2), "Reinforced Concrete", "Unreinforced Masonry"), D977 = "Residential", CHOOSE(RANDBETWEEN(1, 3), "Reinforced Concrete", "Unreinforced Masonry", "Adobe / Light Timber"))</f>
        <v>Unreinforced Masonry</v>
      </c>
      <c r="F977" s="3">
        <f t="shared" ca="1" si="108"/>
        <v>1994</v>
      </c>
      <c r="G977" s="3">
        <f t="shared" ca="1" si="109"/>
        <v>3</v>
      </c>
      <c r="H977" s="2">
        <f t="shared" ca="1" si="110"/>
        <v>0</v>
      </c>
      <c r="I977" s="4">
        <f t="shared" ca="1" si="111"/>
        <v>4090290</v>
      </c>
    </row>
    <row r="978" spans="1:9">
      <c r="A978" s="1">
        <v>10000977</v>
      </c>
      <c r="B978" s="3" t="str">
        <f t="shared" ca="1" si="105"/>
        <v>South 24 Parganas</v>
      </c>
      <c r="C978" s="3" t="str">
        <f t="shared" ca="1" si="106"/>
        <v>High Risk</v>
      </c>
      <c r="D978" s="3" t="str">
        <f t="shared" ca="1" si="107"/>
        <v>Industrial</v>
      </c>
      <c r="E978" s="3" t="str" cm="1">
        <f t="array" aca="1" ref="E978" ca="1">_xlfn.IFS(D978="Industrial", "Reinforced Concrete", D978 = "Commercial", CHOOSE(RANDBETWEEN(1, 2), "Reinforced Concrete", "Unreinforced Masonry"), D978 = "Residential", CHOOSE(RANDBETWEEN(1, 3), "Reinforced Concrete", "Unreinforced Masonry", "Adobe / Light Timber"))</f>
        <v>Reinforced Concrete</v>
      </c>
      <c r="F978" s="3">
        <f t="shared" ca="1" si="108"/>
        <v>2002</v>
      </c>
      <c r="G978" s="3">
        <f t="shared" ca="1" si="109"/>
        <v>5</v>
      </c>
      <c r="H978" s="2">
        <f t="shared" ca="1" si="110"/>
        <v>3</v>
      </c>
      <c r="I978" s="4">
        <f t="shared" ca="1" si="111"/>
        <v>34112763</v>
      </c>
    </row>
    <row r="979" spans="1:9">
      <c r="A979" s="1">
        <v>10000978</v>
      </c>
      <c r="B979" s="3" t="str">
        <f t="shared" ca="1" si="105"/>
        <v>Paschim Medinipur</v>
      </c>
      <c r="C979" s="3" t="str">
        <f t="shared" ca="1" si="106"/>
        <v>Moderate Risk</v>
      </c>
      <c r="D979" s="3" t="str">
        <f t="shared" ca="1" si="107"/>
        <v>Residential</v>
      </c>
      <c r="E979" s="3" t="str" cm="1">
        <f t="array" aca="1" ref="E979" ca="1">_xlfn.IFS(D979="Industrial", "Reinforced Concrete", D979 = "Commercial", CHOOSE(RANDBETWEEN(1, 2), "Reinforced Concrete", "Unreinforced Masonry"), D979 = "Residential", CHOOSE(RANDBETWEEN(1, 3), "Reinforced Concrete", "Unreinforced Masonry", "Adobe / Light Timber"))</f>
        <v>Reinforced Concrete</v>
      </c>
      <c r="F979" s="3">
        <f t="shared" ca="1" si="108"/>
        <v>1986</v>
      </c>
      <c r="G979" s="3">
        <f t="shared" ca="1" si="109"/>
        <v>4</v>
      </c>
      <c r="H979" s="2">
        <f t="shared" ca="1" si="110"/>
        <v>4</v>
      </c>
      <c r="I979" s="4">
        <f t="shared" ca="1" si="111"/>
        <v>4731459</v>
      </c>
    </row>
    <row r="980" spans="1:9">
      <c r="A980" s="1">
        <v>10000979</v>
      </c>
      <c r="B980" s="3" t="str">
        <f t="shared" ca="1" si="105"/>
        <v>Kolkata</v>
      </c>
      <c r="C980" s="3" t="str">
        <f t="shared" ca="1" si="106"/>
        <v>Moderate Risk</v>
      </c>
      <c r="D980" s="3" t="str">
        <f t="shared" ca="1" si="107"/>
        <v>Industrial</v>
      </c>
      <c r="E980" s="3" t="str" cm="1">
        <f t="array" aca="1" ref="E980" ca="1">_xlfn.IFS(D980="Industrial", "Reinforced Concrete", D980 = "Commercial", CHOOSE(RANDBETWEEN(1, 2), "Reinforced Concrete", "Unreinforced Masonry"), D980 = "Residential", CHOOSE(RANDBETWEEN(1, 3), "Reinforced Concrete", "Unreinforced Masonry", "Adobe / Light Timber"))</f>
        <v>Reinforced Concrete</v>
      </c>
      <c r="F980" s="3">
        <f t="shared" ca="1" si="108"/>
        <v>2018</v>
      </c>
      <c r="G980" s="3">
        <f t="shared" ca="1" si="109"/>
        <v>2</v>
      </c>
      <c r="H980" s="2">
        <f t="shared" ca="1" si="110"/>
        <v>5</v>
      </c>
      <c r="I980" s="4">
        <f t="shared" ca="1" si="111"/>
        <v>62373919</v>
      </c>
    </row>
    <row r="981" spans="1:9">
      <c r="A981" s="1">
        <v>10000980</v>
      </c>
      <c r="B981" s="3" t="str">
        <f t="shared" ca="1" si="105"/>
        <v>Jalpaiguri</v>
      </c>
      <c r="C981" s="3" t="str">
        <f t="shared" ca="1" si="106"/>
        <v>High Risk</v>
      </c>
      <c r="D981" s="3" t="str">
        <f t="shared" ca="1" si="107"/>
        <v>Commercial</v>
      </c>
      <c r="E981" s="3" t="str" cm="1">
        <f t="array" aca="1" ref="E981" ca="1">_xlfn.IFS(D981="Industrial", "Reinforced Concrete", D981 = "Commercial", CHOOSE(RANDBETWEEN(1, 2), "Reinforced Concrete", "Unreinforced Masonry"), D981 = "Residential", CHOOSE(RANDBETWEEN(1, 3), "Reinforced Concrete", "Unreinforced Masonry", "Adobe / Light Timber"))</f>
        <v>Reinforced Concrete</v>
      </c>
      <c r="F981" s="3">
        <f t="shared" ca="1" si="108"/>
        <v>1998</v>
      </c>
      <c r="G981" s="3">
        <f t="shared" ca="1" si="109"/>
        <v>3</v>
      </c>
      <c r="H981" s="2">
        <f t="shared" ca="1" si="110"/>
        <v>5</v>
      </c>
      <c r="I981" s="4">
        <f t="shared" ca="1" si="111"/>
        <v>16390031</v>
      </c>
    </row>
    <row r="982" spans="1:9">
      <c r="A982" s="1">
        <v>10000981</v>
      </c>
      <c r="B982" s="3" t="str">
        <f t="shared" ca="1" si="105"/>
        <v>Kolkata</v>
      </c>
      <c r="C982" s="3" t="str">
        <f t="shared" ca="1" si="106"/>
        <v>Moderate Risk</v>
      </c>
      <c r="D982" s="3" t="str">
        <f t="shared" ca="1" si="107"/>
        <v>Residential</v>
      </c>
      <c r="E982" s="3" t="str" cm="1">
        <f t="array" aca="1" ref="E982" ca="1">_xlfn.IFS(D982="Industrial", "Reinforced Concrete", D982 = "Commercial", CHOOSE(RANDBETWEEN(1, 2), "Reinforced Concrete", "Unreinforced Masonry"), D982 = "Residential", CHOOSE(RANDBETWEEN(1, 3), "Reinforced Concrete", "Unreinforced Masonry", "Adobe / Light Timber"))</f>
        <v>Unreinforced Masonry</v>
      </c>
      <c r="F982" s="3">
        <f t="shared" ca="1" si="108"/>
        <v>2009</v>
      </c>
      <c r="G982" s="3">
        <f t="shared" ca="1" si="109"/>
        <v>5</v>
      </c>
      <c r="H982" s="2">
        <f t="shared" ca="1" si="110"/>
        <v>2</v>
      </c>
      <c r="I982" s="4">
        <f t="shared" ca="1" si="111"/>
        <v>7933495</v>
      </c>
    </row>
    <row r="983" spans="1:9">
      <c r="A983" s="1">
        <v>10000982</v>
      </c>
      <c r="B983" s="3" t="str">
        <f t="shared" ca="1" si="105"/>
        <v>Paschim Medinipur</v>
      </c>
      <c r="C983" s="3" t="str">
        <f t="shared" ca="1" si="106"/>
        <v>Moderate Risk</v>
      </c>
      <c r="D983" s="3" t="str">
        <f t="shared" ca="1" si="107"/>
        <v>Residential</v>
      </c>
      <c r="E983" s="3" t="str" cm="1">
        <f t="array" aca="1" ref="E983" ca="1">_xlfn.IFS(D983="Industrial", "Reinforced Concrete", D983 = "Commercial", CHOOSE(RANDBETWEEN(1, 2), "Reinforced Concrete", "Unreinforced Masonry"), D983 = "Residential", CHOOSE(RANDBETWEEN(1, 3), "Reinforced Concrete", "Unreinforced Masonry", "Adobe / Light Timber"))</f>
        <v>Adobe / Light Timber</v>
      </c>
      <c r="F983" s="3">
        <f t="shared" ca="1" si="108"/>
        <v>2004</v>
      </c>
      <c r="G983" s="3">
        <f t="shared" ca="1" si="109"/>
        <v>1</v>
      </c>
      <c r="H983" s="2">
        <f t="shared" ca="1" si="110"/>
        <v>2</v>
      </c>
      <c r="I983" s="4">
        <f t="shared" ca="1" si="111"/>
        <v>358631</v>
      </c>
    </row>
    <row r="984" spans="1:9">
      <c r="A984" s="1">
        <v>10000983</v>
      </c>
      <c r="B984" s="3" t="str">
        <f t="shared" ca="1" si="105"/>
        <v>Jalpaiguri</v>
      </c>
      <c r="C984" s="3" t="str">
        <f t="shared" ca="1" si="106"/>
        <v>High Risk</v>
      </c>
      <c r="D984" s="3" t="str">
        <f t="shared" ca="1" si="107"/>
        <v>Residential</v>
      </c>
      <c r="E984" s="3" t="str" cm="1">
        <f t="array" aca="1" ref="E984" ca="1">_xlfn.IFS(D984="Industrial", "Reinforced Concrete", D984 = "Commercial", CHOOSE(RANDBETWEEN(1, 2), "Reinforced Concrete", "Unreinforced Masonry"), D984 = "Residential", CHOOSE(RANDBETWEEN(1, 3), "Reinforced Concrete", "Unreinforced Masonry", "Adobe / Light Timber"))</f>
        <v>Reinforced Concrete</v>
      </c>
      <c r="F984" s="3">
        <f t="shared" ca="1" si="108"/>
        <v>2003</v>
      </c>
      <c r="G984" s="3">
        <f t="shared" ca="1" si="109"/>
        <v>4</v>
      </c>
      <c r="H984" s="2">
        <f t="shared" ca="1" si="110"/>
        <v>4</v>
      </c>
      <c r="I984" s="4">
        <f t="shared" ca="1" si="111"/>
        <v>2270656</v>
      </c>
    </row>
    <row r="985" spans="1:9">
      <c r="A985" s="1">
        <v>10000984</v>
      </c>
      <c r="B985" s="3" t="str">
        <f t="shared" ca="1" si="105"/>
        <v>Kolkata</v>
      </c>
      <c r="C985" s="3" t="str">
        <f t="shared" ca="1" si="106"/>
        <v>Moderate Risk</v>
      </c>
      <c r="D985" s="3" t="str">
        <f t="shared" ca="1" si="107"/>
        <v>Commercial</v>
      </c>
      <c r="E985" s="3" t="str" cm="1">
        <f t="array" aca="1" ref="E985" ca="1">_xlfn.IFS(D985="Industrial", "Reinforced Concrete", D985 = "Commercial", CHOOSE(RANDBETWEEN(1, 2), "Reinforced Concrete", "Unreinforced Masonry"), D985 = "Residential", CHOOSE(RANDBETWEEN(1, 3), "Reinforced Concrete", "Unreinforced Masonry", "Adobe / Light Timber"))</f>
        <v>Unreinforced Masonry</v>
      </c>
      <c r="F985" s="3">
        <f t="shared" ca="1" si="108"/>
        <v>2020</v>
      </c>
      <c r="G985" s="3">
        <f t="shared" ca="1" si="109"/>
        <v>5</v>
      </c>
      <c r="H985" s="2">
        <f t="shared" ca="1" si="110"/>
        <v>0</v>
      </c>
      <c r="I985" s="4">
        <f t="shared" ca="1" si="111"/>
        <v>19695565</v>
      </c>
    </row>
    <row r="986" spans="1:9">
      <c r="A986" s="1">
        <v>10000985</v>
      </c>
      <c r="B986" s="3" t="str">
        <f t="shared" ca="1" si="105"/>
        <v>Jalpaiguri</v>
      </c>
      <c r="C986" s="3" t="str">
        <f t="shared" ca="1" si="106"/>
        <v>High Risk</v>
      </c>
      <c r="D986" s="3" t="str">
        <f t="shared" ca="1" si="107"/>
        <v>Commercial</v>
      </c>
      <c r="E986" s="3" t="str" cm="1">
        <f t="array" aca="1" ref="E986" ca="1">_xlfn.IFS(D986="Industrial", "Reinforced Concrete", D986 = "Commercial", CHOOSE(RANDBETWEEN(1, 2), "Reinforced Concrete", "Unreinforced Masonry"), D986 = "Residential", CHOOSE(RANDBETWEEN(1, 3), "Reinforced Concrete", "Unreinforced Masonry", "Adobe / Light Timber"))</f>
        <v>Unreinforced Masonry</v>
      </c>
      <c r="F986" s="3">
        <f t="shared" ca="1" si="108"/>
        <v>2024</v>
      </c>
      <c r="G986" s="3">
        <f t="shared" ca="1" si="109"/>
        <v>5</v>
      </c>
      <c r="H986" s="2">
        <f t="shared" ca="1" si="110"/>
        <v>1</v>
      </c>
      <c r="I986" s="4">
        <f t="shared" ca="1" si="111"/>
        <v>12515069</v>
      </c>
    </row>
    <row r="987" spans="1:9">
      <c r="A987" s="1">
        <v>10000986</v>
      </c>
      <c r="B987" s="3" t="str">
        <f t="shared" ca="1" si="105"/>
        <v>South 24 Parganas</v>
      </c>
      <c r="C987" s="3" t="str">
        <f t="shared" ca="1" si="106"/>
        <v>High Risk</v>
      </c>
      <c r="D987" s="3" t="str">
        <f t="shared" ca="1" si="107"/>
        <v>Residential</v>
      </c>
      <c r="E987" s="3" t="str" cm="1">
        <f t="array" aca="1" ref="E987" ca="1">_xlfn.IFS(D987="Industrial", "Reinforced Concrete", D987 = "Commercial", CHOOSE(RANDBETWEEN(1, 2), "Reinforced Concrete", "Unreinforced Masonry"), D987 = "Residential", CHOOSE(RANDBETWEEN(1, 3), "Reinforced Concrete", "Unreinforced Masonry", "Adobe / Light Timber"))</f>
        <v>Reinforced Concrete</v>
      </c>
      <c r="F987" s="3">
        <f t="shared" ca="1" si="108"/>
        <v>2009</v>
      </c>
      <c r="G987" s="3">
        <f t="shared" ca="1" si="109"/>
        <v>2</v>
      </c>
      <c r="H987" s="2">
        <f t="shared" ca="1" si="110"/>
        <v>5</v>
      </c>
      <c r="I987" s="4">
        <f t="shared" ca="1" si="111"/>
        <v>3187013</v>
      </c>
    </row>
    <row r="988" spans="1:9">
      <c r="A988" s="1">
        <v>10000987</v>
      </c>
      <c r="B988" s="3" t="str">
        <f t="shared" ca="1" si="105"/>
        <v>Jalpaiguri</v>
      </c>
      <c r="C988" s="3" t="str">
        <f t="shared" ca="1" si="106"/>
        <v>High Risk</v>
      </c>
      <c r="D988" s="3" t="str">
        <f t="shared" ca="1" si="107"/>
        <v>Commercial</v>
      </c>
      <c r="E988" s="3" t="str" cm="1">
        <f t="array" aca="1" ref="E988" ca="1">_xlfn.IFS(D988="Industrial", "Reinforced Concrete", D988 = "Commercial", CHOOSE(RANDBETWEEN(1, 2), "Reinforced Concrete", "Unreinforced Masonry"), D988 = "Residential", CHOOSE(RANDBETWEEN(1, 3), "Reinforced Concrete", "Unreinforced Masonry", "Adobe / Light Timber"))</f>
        <v>Reinforced Concrete</v>
      </c>
      <c r="F988" s="3">
        <f t="shared" ca="1" si="108"/>
        <v>1982</v>
      </c>
      <c r="G988" s="3">
        <f t="shared" ca="1" si="109"/>
        <v>2</v>
      </c>
      <c r="H988" s="2">
        <f t="shared" ca="1" si="110"/>
        <v>4</v>
      </c>
      <c r="I988" s="4">
        <f t="shared" ca="1" si="111"/>
        <v>13161244</v>
      </c>
    </row>
    <row r="989" spans="1:9">
      <c r="A989" s="1">
        <v>10000988</v>
      </c>
      <c r="B989" s="3" t="str">
        <f t="shared" ca="1" si="105"/>
        <v>Paschim Medinipur</v>
      </c>
      <c r="C989" s="3" t="str">
        <f t="shared" ca="1" si="106"/>
        <v>Moderate Risk</v>
      </c>
      <c r="D989" s="3" t="str">
        <f t="shared" ca="1" si="107"/>
        <v>Commercial</v>
      </c>
      <c r="E989" s="3" t="str" cm="1">
        <f t="array" aca="1" ref="E989" ca="1">_xlfn.IFS(D989="Industrial", "Reinforced Concrete", D989 = "Commercial", CHOOSE(RANDBETWEEN(1, 2), "Reinforced Concrete", "Unreinforced Masonry"), D989 = "Residential", CHOOSE(RANDBETWEEN(1, 3), "Reinforced Concrete", "Unreinforced Masonry", "Adobe / Light Timber"))</f>
        <v>Unreinforced Masonry</v>
      </c>
      <c r="F989" s="3">
        <f t="shared" ca="1" si="108"/>
        <v>2024</v>
      </c>
      <c r="G989" s="3">
        <f t="shared" ca="1" si="109"/>
        <v>5</v>
      </c>
      <c r="H989" s="2">
        <f t="shared" ca="1" si="110"/>
        <v>1</v>
      </c>
      <c r="I989" s="4">
        <f t="shared" ca="1" si="111"/>
        <v>20198576</v>
      </c>
    </row>
    <row r="990" spans="1:9">
      <c r="A990" s="1">
        <v>10000989</v>
      </c>
      <c r="B990" s="3" t="str">
        <f t="shared" ca="1" si="105"/>
        <v>Hooghly</v>
      </c>
      <c r="C990" s="3" t="str">
        <f t="shared" ca="1" si="106"/>
        <v>Moderate Risk</v>
      </c>
      <c r="D990" s="3" t="str">
        <f t="shared" ca="1" si="107"/>
        <v>Commercial</v>
      </c>
      <c r="E990" s="3" t="str" cm="1">
        <f t="array" aca="1" ref="E990" ca="1">_xlfn.IFS(D990="Industrial", "Reinforced Concrete", D990 = "Commercial", CHOOSE(RANDBETWEEN(1, 2), "Reinforced Concrete", "Unreinforced Masonry"), D990 = "Residential", CHOOSE(RANDBETWEEN(1, 3), "Reinforced Concrete", "Unreinforced Masonry", "Adobe / Light Timber"))</f>
        <v>Unreinforced Masonry</v>
      </c>
      <c r="F990" s="3">
        <f t="shared" ca="1" si="108"/>
        <v>2011</v>
      </c>
      <c r="G990" s="3">
        <f t="shared" ca="1" si="109"/>
        <v>1</v>
      </c>
      <c r="H990" s="2">
        <f t="shared" ca="1" si="110"/>
        <v>1</v>
      </c>
      <c r="I990" s="4">
        <f t="shared" ca="1" si="111"/>
        <v>23349343</v>
      </c>
    </row>
    <row r="991" spans="1:9">
      <c r="A991" s="1">
        <v>10000990</v>
      </c>
      <c r="B991" s="3" t="str">
        <f t="shared" ca="1" si="105"/>
        <v>Paschim Medinipur</v>
      </c>
      <c r="C991" s="3" t="str">
        <f t="shared" ca="1" si="106"/>
        <v>Moderate Risk</v>
      </c>
      <c r="D991" s="3" t="str">
        <f t="shared" ca="1" si="107"/>
        <v>Residential</v>
      </c>
      <c r="E991" s="3" t="str" cm="1">
        <f t="array" aca="1" ref="E991" ca="1">_xlfn.IFS(D991="Industrial", "Reinforced Concrete", D991 = "Commercial", CHOOSE(RANDBETWEEN(1, 2), "Reinforced Concrete", "Unreinforced Masonry"), D991 = "Residential", CHOOSE(RANDBETWEEN(1, 3), "Reinforced Concrete", "Unreinforced Masonry", "Adobe / Light Timber"))</f>
        <v>Reinforced Concrete</v>
      </c>
      <c r="F991" s="3">
        <f t="shared" ca="1" si="108"/>
        <v>2018</v>
      </c>
      <c r="G991" s="3">
        <f t="shared" ca="1" si="109"/>
        <v>1</v>
      </c>
      <c r="H991" s="2">
        <f t="shared" ca="1" si="110"/>
        <v>4</v>
      </c>
      <c r="I991" s="4">
        <f t="shared" ca="1" si="111"/>
        <v>1661968</v>
      </c>
    </row>
    <row r="992" spans="1:9">
      <c r="A992" s="1">
        <v>10000991</v>
      </c>
      <c r="B992" s="3" t="str">
        <f t="shared" ca="1" si="105"/>
        <v>Malda</v>
      </c>
      <c r="C992" s="3" t="str">
        <f t="shared" ca="1" si="106"/>
        <v>High Risk</v>
      </c>
      <c r="D992" s="3" t="str">
        <f t="shared" ca="1" si="107"/>
        <v>Residential</v>
      </c>
      <c r="E992" s="3" t="str" cm="1">
        <f t="array" aca="1" ref="E992" ca="1">_xlfn.IFS(D992="Industrial", "Reinforced Concrete", D992 = "Commercial", CHOOSE(RANDBETWEEN(1, 2), "Reinforced Concrete", "Unreinforced Masonry"), D992 = "Residential", CHOOSE(RANDBETWEEN(1, 3), "Reinforced Concrete", "Unreinforced Masonry", "Adobe / Light Timber"))</f>
        <v>Adobe / Light Timber</v>
      </c>
      <c r="F992" s="3">
        <f t="shared" ca="1" si="108"/>
        <v>1981</v>
      </c>
      <c r="G992" s="3">
        <f t="shared" ca="1" si="109"/>
        <v>1</v>
      </c>
      <c r="H992" s="2">
        <f t="shared" ca="1" si="110"/>
        <v>2</v>
      </c>
      <c r="I992" s="4">
        <f t="shared" ca="1" si="111"/>
        <v>625578</v>
      </c>
    </row>
    <row r="993" spans="1:9">
      <c r="A993" s="1">
        <v>10000992</v>
      </c>
      <c r="B993" s="3" t="str">
        <f t="shared" ca="1" si="105"/>
        <v>Malda</v>
      </c>
      <c r="C993" s="3" t="str">
        <f t="shared" ca="1" si="106"/>
        <v>High Risk</v>
      </c>
      <c r="D993" s="3" t="str">
        <f t="shared" ca="1" si="107"/>
        <v>Industrial</v>
      </c>
      <c r="E993" s="3" t="str" cm="1">
        <f t="array" aca="1" ref="E993" ca="1">_xlfn.IFS(D993="Industrial", "Reinforced Concrete", D993 = "Commercial", CHOOSE(RANDBETWEEN(1, 2), "Reinforced Concrete", "Unreinforced Masonry"), D993 = "Residential", CHOOSE(RANDBETWEEN(1, 3), "Reinforced Concrete", "Unreinforced Masonry", "Adobe / Light Timber"))</f>
        <v>Reinforced Concrete</v>
      </c>
      <c r="F993" s="3">
        <f t="shared" ca="1" si="108"/>
        <v>1983</v>
      </c>
      <c r="G993" s="3">
        <f t="shared" ca="1" si="109"/>
        <v>1</v>
      </c>
      <c r="H993" s="2">
        <f t="shared" ca="1" si="110"/>
        <v>5</v>
      </c>
      <c r="I993" s="4">
        <f t="shared" ca="1" si="111"/>
        <v>36914396</v>
      </c>
    </row>
    <row r="994" spans="1:9">
      <c r="A994" s="1">
        <v>10000993</v>
      </c>
      <c r="B994" s="3" t="str">
        <f t="shared" ca="1" si="105"/>
        <v>South 24 Parganas</v>
      </c>
      <c r="C994" s="3" t="str">
        <f t="shared" ca="1" si="106"/>
        <v>High Risk</v>
      </c>
      <c r="D994" s="3" t="str">
        <f t="shared" ca="1" si="107"/>
        <v>Residential</v>
      </c>
      <c r="E994" s="3" t="str" cm="1">
        <f t="array" aca="1" ref="E994" ca="1">_xlfn.IFS(D994="Industrial", "Reinforced Concrete", D994 = "Commercial", CHOOSE(RANDBETWEEN(1, 2), "Reinforced Concrete", "Unreinforced Masonry"), D994 = "Residential", CHOOSE(RANDBETWEEN(1, 3), "Reinforced Concrete", "Unreinforced Masonry", "Adobe / Light Timber"))</f>
        <v>Reinforced Concrete</v>
      </c>
      <c r="F994" s="3">
        <f t="shared" ca="1" si="108"/>
        <v>1992</v>
      </c>
      <c r="G994" s="3">
        <f t="shared" ca="1" si="109"/>
        <v>2</v>
      </c>
      <c r="H994" s="2">
        <f t="shared" ca="1" si="110"/>
        <v>4</v>
      </c>
      <c r="I994" s="4">
        <f t="shared" ca="1" si="111"/>
        <v>200000</v>
      </c>
    </row>
    <row r="995" spans="1:9">
      <c r="A995" s="1">
        <v>10000994</v>
      </c>
      <c r="B995" s="3" t="str">
        <f t="shared" ca="1" si="105"/>
        <v>Paschim Medinipur</v>
      </c>
      <c r="C995" s="3" t="str">
        <f t="shared" ca="1" si="106"/>
        <v>Moderate Risk</v>
      </c>
      <c r="D995" s="3" t="str">
        <f t="shared" ca="1" si="107"/>
        <v>Commercial</v>
      </c>
      <c r="E995" s="3" t="str" cm="1">
        <f t="array" aca="1" ref="E995" ca="1">_xlfn.IFS(D995="Industrial", "Reinforced Concrete", D995 = "Commercial", CHOOSE(RANDBETWEEN(1, 2), "Reinforced Concrete", "Unreinforced Masonry"), D995 = "Residential", CHOOSE(RANDBETWEEN(1, 3), "Reinforced Concrete", "Unreinforced Masonry", "Adobe / Light Timber"))</f>
        <v>Unreinforced Masonry</v>
      </c>
      <c r="F995" s="3">
        <f t="shared" ca="1" si="108"/>
        <v>1988</v>
      </c>
      <c r="G995" s="3">
        <f t="shared" ca="1" si="109"/>
        <v>2</v>
      </c>
      <c r="H995" s="2">
        <f t="shared" ca="1" si="110"/>
        <v>2</v>
      </c>
      <c r="I995" s="4">
        <f t="shared" ca="1" si="111"/>
        <v>14719368</v>
      </c>
    </row>
    <row r="996" spans="1:9">
      <c r="A996" s="1">
        <v>10000995</v>
      </c>
      <c r="B996" s="3" t="str">
        <f t="shared" ca="1" si="105"/>
        <v>Malda</v>
      </c>
      <c r="C996" s="3" t="str">
        <f t="shared" ca="1" si="106"/>
        <v>High Risk</v>
      </c>
      <c r="D996" s="3" t="str">
        <f t="shared" ca="1" si="107"/>
        <v>Commercial</v>
      </c>
      <c r="E996" s="3" t="str" cm="1">
        <f t="array" aca="1" ref="E996" ca="1">_xlfn.IFS(D996="Industrial", "Reinforced Concrete", D996 = "Commercial", CHOOSE(RANDBETWEEN(1, 2), "Reinforced Concrete", "Unreinforced Masonry"), D996 = "Residential", CHOOSE(RANDBETWEEN(1, 3), "Reinforced Concrete", "Unreinforced Masonry", "Adobe / Light Timber"))</f>
        <v>Reinforced Concrete</v>
      </c>
      <c r="F996" s="3">
        <f t="shared" ca="1" si="108"/>
        <v>2016</v>
      </c>
      <c r="G996" s="3">
        <f t="shared" ca="1" si="109"/>
        <v>1</v>
      </c>
      <c r="H996" s="2">
        <f t="shared" ca="1" si="110"/>
        <v>4</v>
      </c>
      <c r="I996" s="4">
        <f t="shared" ca="1" si="111"/>
        <v>22659482</v>
      </c>
    </row>
    <row r="997" spans="1:9">
      <c r="A997" s="1">
        <v>10000996</v>
      </c>
      <c r="B997" s="3" t="str">
        <f t="shared" ca="1" si="105"/>
        <v>Hooghly</v>
      </c>
      <c r="C997" s="3" t="str">
        <f t="shared" ca="1" si="106"/>
        <v>Moderate Risk</v>
      </c>
      <c r="D997" s="3" t="str">
        <f t="shared" ca="1" si="107"/>
        <v>Residential</v>
      </c>
      <c r="E997" s="3" t="str" cm="1">
        <f t="array" aca="1" ref="E997" ca="1">_xlfn.IFS(D997="Industrial", "Reinforced Concrete", D997 = "Commercial", CHOOSE(RANDBETWEEN(1, 2), "Reinforced Concrete", "Unreinforced Masonry"), D997 = "Residential", CHOOSE(RANDBETWEEN(1, 3), "Reinforced Concrete", "Unreinforced Masonry", "Adobe / Light Timber"))</f>
        <v>Reinforced Concrete</v>
      </c>
      <c r="F997" s="3">
        <f t="shared" ca="1" si="108"/>
        <v>1989</v>
      </c>
      <c r="G997" s="3">
        <f t="shared" ca="1" si="109"/>
        <v>4</v>
      </c>
      <c r="H997" s="2">
        <f t="shared" ca="1" si="110"/>
        <v>3</v>
      </c>
      <c r="I997" s="4">
        <f t="shared" ca="1" si="111"/>
        <v>4321244</v>
      </c>
    </row>
    <row r="998" spans="1:9">
      <c r="A998" s="1">
        <v>10000997</v>
      </c>
      <c r="B998" s="3" t="str">
        <f t="shared" ca="1" si="105"/>
        <v>South 24 Parganas</v>
      </c>
      <c r="C998" s="3" t="str">
        <f t="shared" ca="1" si="106"/>
        <v>High Risk</v>
      </c>
      <c r="D998" s="3" t="str">
        <f t="shared" ca="1" si="107"/>
        <v>Industrial</v>
      </c>
      <c r="E998" s="3" t="str" cm="1">
        <f t="array" aca="1" ref="E998" ca="1">_xlfn.IFS(D998="Industrial", "Reinforced Concrete", D998 = "Commercial", CHOOSE(RANDBETWEEN(1, 2), "Reinforced Concrete", "Unreinforced Masonry"), D998 = "Residential", CHOOSE(RANDBETWEEN(1, 3), "Reinforced Concrete", "Unreinforced Masonry", "Adobe / Light Timber"))</f>
        <v>Reinforced Concrete</v>
      </c>
      <c r="F998" s="3">
        <f t="shared" ca="1" si="108"/>
        <v>1995</v>
      </c>
      <c r="G998" s="3">
        <f t="shared" ca="1" si="109"/>
        <v>3</v>
      </c>
      <c r="H998" s="2">
        <f t="shared" ca="1" si="110"/>
        <v>3</v>
      </c>
      <c r="I998" s="4">
        <f t="shared" ca="1" si="111"/>
        <v>36936472</v>
      </c>
    </row>
    <row r="999" spans="1:9">
      <c r="A999" s="1">
        <v>10000998</v>
      </c>
      <c r="B999" s="3" t="str">
        <f t="shared" ca="1" si="105"/>
        <v>Paschim Medinipur</v>
      </c>
      <c r="C999" s="3" t="str">
        <f t="shared" ca="1" si="106"/>
        <v>Moderate Risk</v>
      </c>
      <c r="D999" s="3" t="str">
        <f t="shared" ca="1" si="107"/>
        <v>Commercial</v>
      </c>
      <c r="E999" s="3" t="str" cm="1">
        <f t="array" aca="1" ref="E999" ca="1">_xlfn.IFS(D999="Industrial", "Reinforced Concrete", D999 = "Commercial", CHOOSE(RANDBETWEEN(1, 2), "Reinforced Concrete", "Unreinforced Masonry"), D999 = "Residential", CHOOSE(RANDBETWEEN(1, 3), "Reinforced Concrete", "Unreinforced Masonry", "Adobe / Light Timber"))</f>
        <v>Unreinforced Masonry</v>
      </c>
      <c r="F999" s="3">
        <f t="shared" ca="1" si="108"/>
        <v>2014</v>
      </c>
      <c r="G999" s="3">
        <f t="shared" ca="1" si="109"/>
        <v>3</v>
      </c>
      <c r="H999" s="2">
        <f t="shared" ca="1" si="110"/>
        <v>1</v>
      </c>
      <c r="I999" s="4">
        <f t="shared" ca="1" si="111"/>
        <v>12364109</v>
      </c>
    </row>
    <row r="1000" spans="1:9">
      <c r="A1000" s="1">
        <v>10000999</v>
      </c>
      <c r="B1000" s="3" t="str">
        <f t="shared" ca="1" si="105"/>
        <v>Jalpaiguri</v>
      </c>
      <c r="C1000" s="3" t="str">
        <f t="shared" ca="1" si="106"/>
        <v>High Risk</v>
      </c>
      <c r="D1000" s="3" t="str">
        <f t="shared" ca="1" si="107"/>
        <v>Commercial</v>
      </c>
      <c r="E1000" s="3" t="str" cm="1">
        <f t="array" aca="1" ref="E1000" ca="1">_xlfn.IFS(D1000="Industrial", "Reinforced Concrete", D1000 = "Commercial", CHOOSE(RANDBETWEEN(1, 2), "Reinforced Concrete", "Unreinforced Masonry"), D1000 = "Residential", CHOOSE(RANDBETWEEN(1, 3), "Reinforced Concrete", "Unreinforced Masonry", "Adobe / Light Timber"))</f>
        <v>Reinforced Concrete</v>
      </c>
      <c r="F1000" s="3">
        <f t="shared" ca="1" si="108"/>
        <v>2000</v>
      </c>
      <c r="G1000" s="3">
        <f t="shared" ca="1" si="109"/>
        <v>2</v>
      </c>
      <c r="H1000" s="2">
        <f t="shared" ca="1" si="110"/>
        <v>5</v>
      </c>
      <c r="I1000" s="4">
        <f t="shared" ca="1" si="111"/>
        <v>8308528</v>
      </c>
    </row>
    <row r="1001" spans="1:9">
      <c r="A1001" s="1">
        <v>10001000</v>
      </c>
      <c r="B1001" s="3" t="str">
        <f t="shared" ca="1" si="105"/>
        <v>Malda</v>
      </c>
      <c r="C1001" s="3" t="str">
        <f t="shared" ca="1" si="106"/>
        <v>High Risk</v>
      </c>
      <c r="D1001" s="3" t="str">
        <f t="shared" ca="1" si="107"/>
        <v>Industrial</v>
      </c>
      <c r="E1001" s="3" t="str" cm="1">
        <f t="array" aca="1" ref="E1001" ca="1">_xlfn.IFS(D1001="Industrial", "Reinforced Concrete", D1001 = "Commercial", CHOOSE(RANDBETWEEN(1, 2), "Reinforced Concrete", "Unreinforced Masonry"), D1001 = "Residential", CHOOSE(RANDBETWEEN(1, 3), "Reinforced Concrete", "Unreinforced Masonry", "Adobe / Light Timber"))</f>
        <v>Reinforced Concrete</v>
      </c>
      <c r="F1001" s="3">
        <f t="shared" ca="1" si="108"/>
        <v>1986</v>
      </c>
      <c r="G1001" s="3">
        <f t="shared" ca="1" si="109"/>
        <v>2</v>
      </c>
      <c r="H1001" s="2">
        <f t="shared" ca="1" si="110"/>
        <v>4</v>
      </c>
      <c r="I1001" s="4">
        <f t="shared" ca="1" si="111"/>
        <v>65168542</v>
      </c>
    </row>
  </sheetData>
  <autoFilter ref="A1:I1001" xr:uid="{2472E1EA-A410-4CF3-97E9-9FC91F813B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B9B5-9AA5-46A1-A3A5-5773582C18D5}">
  <dimension ref="A1:I1001"/>
  <sheetViews>
    <sheetView showGridLines="0" topLeftCell="A975" zoomScale="80" zoomScaleNormal="80" workbookViewId="0">
      <selection sqref="A1:I1001"/>
    </sheetView>
  </sheetViews>
  <sheetFormatPr defaultRowHeight="14.4"/>
  <cols>
    <col min="1" max="1" width="12.33203125" bestFit="1" customWidth="1"/>
    <col min="2" max="2" width="20.6640625" bestFit="1" customWidth="1"/>
    <col min="3" max="3" width="15.109375" bestFit="1" customWidth="1"/>
    <col min="4" max="4" width="21.77734375" bestFit="1" customWidth="1"/>
    <col min="5" max="5" width="24.88671875" bestFit="1" customWidth="1"/>
    <col min="6" max="6" width="13.44140625" bestFit="1" customWidth="1"/>
    <col min="7" max="7" width="23.6640625" bestFit="1" customWidth="1"/>
    <col min="8" max="8" width="20.44140625" bestFit="1" customWidth="1"/>
    <col min="9" max="9" width="38.21875" bestFit="1" customWidth="1"/>
  </cols>
  <sheetData>
    <row r="1" spans="1:9">
      <c r="A1" s="6" t="s">
        <v>0</v>
      </c>
      <c r="B1" s="7" t="s">
        <v>1</v>
      </c>
      <c r="C1" s="7" t="s">
        <v>2</v>
      </c>
      <c r="D1" s="7" t="s">
        <v>5</v>
      </c>
      <c r="E1" s="7" t="s">
        <v>3</v>
      </c>
      <c r="F1" s="7" t="s">
        <v>4</v>
      </c>
      <c r="G1" s="7" t="s">
        <v>6</v>
      </c>
      <c r="H1" s="7" t="s">
        <v>7</v>
      </c>
      <c r="I1" s="8" t="s">
        <v>8</v>
      </c>
    </row>
    <row r="2" spans="1:9">
      <c r="A2" s="5">
        <v>10000001</v>
      </c>
      <c r="B2" s="3" t="s">
        <v>14</v>
      </c>
      <c r="C2" s="3" t="s">
        <v>65</v>
      </c>
      <c r="D2" s="3" t="s">
        <v>66</v>
      </c>
      <c r="E2" s="3" t="s">
        <v>64</v>
      </c>
      <c r="F2" s="3">
        <v>1989</v>
      </c>
      <c r="G2" s="3">
        <v>1</v>
      </c>
      <c r="H2" s="2">
        <v>4</v>
      </c>
      <c r="I2" s="4">
        <v>57521588</v>
      </c>
    </row>
    <row r="3" spans="1:9">
      <c r="A3" s="5">
        <v>10000002</v>
      </c>
      <c r="B3" s="3" t="s">
        <v>10</v>
      </c>
      <c r="C3" s="3" t="s">
        <v>67</v>
      </c>
      <c r="D3" s="3" t="s">
        <v>66</v>
      </c>
      <c r="E3" s="3" t="s">
        <v>64</v>
      </c>
      <c r="F3" s="3">
        <v>2016</v>
      </c>
      <c r="G3" s="3">
        <v>2</v>
      </c>
      <c r="H3" s="2">
        <v>3</v>
      </c>
      <c r="I3" s="4">
        <v>61301942</v>
      </c>
    </row>
    <row r="4" spans="1:9">
      <c r="A4" s="5">
        <v>10000003</v>
      </c>
      <c r="B4" s="3" t="s">
        <v>13</v>
      </c>
      <c r="C4" s="3" t="s">
        <v>65</v>
      </c>
      <c r="D4" s="3" t="s">
        <v>68</v>
      </c>
      <c r="E4" s="3" t="s">
        <v>64</v>
      </c>
      <c r="F4" s="3">
        <v>1999</v>
      </c>
      <c r="G4" s="3">
        <v>1</v>
      </c>
      <c r="H4" s="2">
        <v>5</v>
      </c>
      <c r="I4" s="4">
        <v>15044411</v>
      </c>
    </row>
    <row r="5" spans="1:9">
      <c r="A5" s="5">
        <v>10000004</v>
      </c>
      <c r="B5" s="3" t="s">
        <v>13</v>
      </c>
      <c r="C5" s="3" t="s">
        <v>65</v>
      </c>
      <c r="D5" s="3" t="s">
        <v>66</v>
      </c>
      <c r="E5" s="3" t="s">
        <v>64</v>
      </c>
      <c r="F5" s="3">
        <v>2009</v>
      </c>
      <c r="G5" s="3">
        <v>5</v>
      </c>
      <c r="H5" s="2">
        <v>5</v>
      </c>
      <c r="I5" s="4">
        <v>45461395</v>
      </c>
    </row>
    <row r="6" spans="1:9">
      <c r="A6" s="5">
        <v>10000005</v>
      </c>
      <c r="B6" s="3" t="s">
        <v>14</v>
      </c>
      <c r="C6" s="3" t="s">
        <v>65</v>
      </c>
      <c r="D6" s="3" t="s">
        <v>69</v>
      </c>
      <c r="E6" s="3" t="s">
        <v>64</v>
      </c>
      <c r="F6" s="3">
        <v>1995</v>
      </c>
      <c r="G6" s="3">
        <v>4</v>
      </c>
      <c r="H6" s="2">
        <v>5</v>
      </c>
      <c r="I6" s="4">
        <v>5788430</v>
      </c>
    </row>
    <row r="7" spans="1:9">
      <c r="A7" s="5">
        <v>10000006</v>
      </c>
      <c r="B7" s="3" t="s">
        <v>9</v>
      </c>
      <c r="C7" s="3" t="s">
        <v>67</v>
      </c>
      <c r="D7" s="3" t="s">
        <v>69</v>
      </c>
      <c r="E7" s="3" t="s">
        <v>64</v>
      </c>
      <c r="F7" s="3">
        <v>2001</v>
      </c>
      <c r="G7" s="3">
        <v>2</v>
      </c>
      <c r="H7" s="2">
        <v>5</v>
      </c>
      <c r="I7" s="4">
        <v>3737567</v>
      </c>
    </row>
    <row r="8" spans="1:9">
      <c r="A8" s="5">
        <v>10000007</v>
      </c>
      <c r="B8" s="3" t="s">
        <v>9</v>
      </c>
      <c r="C8" s="3" t="s">
        <v>67</v>
      </c>
      <c r="D8" s="3" t="s">
        <v>66</v>
      </c>
      <c r="E8" s="3" t="s">
        <v>64</v>
      </c>
      <c r="F8" s="3">
        <v>2024</v>
      </c>
      <c r="G8" s="3">
        <v>3</v>
      </c>
      <c r="H8" s="2">
        <v>3</v>
      </c>
      <c r="I8" s="4">
        <v>46941556</v>
      </c>
    </row>
    <row r="9" spans="1:9">
      <c r="A9" s="5">
        <v>10000008</v>
      </c>
      <c r="B9" s="3" t="s">
        <v>11</v>
      </c>
      <c r="C9" s="3" t="s">
        <v>65</v>
      </c>
      <c r="D9" s="3" t="s">
        <v>69</v>
      </c>
      <c r="E9" s="3" t="s">
        <v>64</v>
      </c>
      <c r="F9" s="3">
        <v>2023</v>
      </c>
      <c r="G9" s="3">
        <v>1</v>
      </c>
      <c r="H9" s="2">
        <v>4</v>
      </c>
      <c r="I9" s="4">
        <v>4957360</v>
      </c>
    </row>
    <row r="10" spans="1:9">
      <c r="A10" s="5">
        <v>10000009</v>
      </c>
      <c r="B10" s="3" t="s">
        <v>13</v>
      </c>
      <c r="C10" s="3" t="s">
        <v>65</v>
      </c>
      <c r="D10" s="3" t="s">
        <v>68</v>
      </c>
      <c r="E10" s="3" t="s">
        <v>64</v>
      </c>
      <c r="F10" s="3">
        <v>2003</v>
      </c>
      <c r="G10" s="3">
        <v>3</v>
      </c>
      <c r="H10" s="2">
        <v>5</v>
      </c>
      <c r="I10" s="4">
        <v>14602667</v>
      </c>
    </row>
    <row r="11" spans="1:9">
      <c r="A11" s="5">
        <v>10000010</v>
      </c>
      <c r="B11" s="3" t="s">
        <v>13</v>
      </c>
      <c r="C11" s="3" t="s">
        <v>65</v>
      </c>
      <c r="D11" s="3" t="s">
        <v>69</v>
      </c>
      <c r="E11" s="3" t="s">
        <v>63</v>
      </c>
      <c r="F11" s="3">
        <v>1995</v>
      </c>
      <c r="G11" s="3">
        <v>2</v>
      </c>
      <c r="H11" s="2">
        <v>0</v>
      </c>
      <c r="I11" s="4">
        <v>7855649</v>
      </c>
    </row>
    <row r="12" spans="1:9">
      <c r="A12" s="5">
        <v>10000011</v>
      </c>
      <c r="B12" s="3" t="s">
        <v>12</v>
      </c>
      <c r="C12" s="3" t="s">
        <v>67</v>
      </c>
      <c r="D12" s="3" t="s">
        <v>69</v>
      </c>
      <c r="E12" s="3" t="s">
        <v>63</v>
      </c>
      <c r="F12" s="3">
        <v>2008</v>
      </c>
      <c r="G12" s="3">
        <v>3</v>
      </c>
      <c r="H12" s="2">
        <v>2</v>
      </c>
      <c r="I12" s="4">
        <v>3944418</v>
      </c>
    </row>
    <row r="13" spans="1:9">
      <c r="A13" s="5">
        <v>10000012</v>
      </c>
      <c r="B13" s="3" t="s">
        <v>13</v>
      </c>
      <c r="C13" s="3" t="s">
        <v>65</v>
      </c>
      <c r="D13" s="3" t="s">
        <v>68</v>
      </c>
      <c r="E13" s="3" t="s">
        <v>63</v>
      </c>
      <c r="F13" s="3">
        <v>2024</v>
      </c>
      <c r="G13" s="3">
        <v>5</v>
      </c>
      <c r="H13" s="2">
        <v>0</v>
      </c>
      <c r="I13" s="4">
        <v>7756872</v>
      </c>
    </row>
    <row r="14" spans="1:9">
      <c r="A14" s="5">
        <v>10000013</v>
      </c>
      <c r="B14" s="3" t="s">
        <v>14</v>
      </c>
      <c r="C14" s="3" t="s">
        <v>65</v>
      </c>
      <c r="D14" s="3" t="s">
        <v>68</v>
      </c>
      <c r="E14" s="3" t="s">
        <v>63</v>
      </c>
      <c r="F14" s="3">
        <v>2014</v>
      </c>
      <c r="G14" s="3">
        <v>1</v>
      </c>
      <c r="H14" s="2">
        <v>0</v>
      </c>
      <c r="I14" s="4">
        <v>27443607</v>
      </c>
    </row>
    <row r="15" spans="1:9">
      <c r="A15" s="5">
        <v>10000014</v>
      </c>
      <c r="B15" s="3" t="s">
        <v>11</v>
      </c>
      <c r="C15" s="3" t="s">
        <v>65</v>
      </c>
      <c r="D15" s="3" t="s">
        <v>69</v>
      </c>
      <c r="E15" s="3" t="s">
        <v>64</v>
      </c>
      <c r="F15" s="3">
        <v>1982</v>
      </c>
      <c r="G15" s="3">
        <v>1</v>
      </c>
      <c r="H15" s="2">
        <v>3</v>
      </c>
      <c r="I15" s="4">
        <v>5071747</v>
      </c>
    </row>
    <row r="16" spans="1:9">
      <c r="A16" s="5">
        <v>10000015</v>
      </c>
      <c r="B16" s="3" t="s">
        <v>14</v>
      </c>
      <c r="C16" s="3" t="s">
        <v>65</v>
      </c>
      <c r="D16" s="3" t="s">
        <v>66</v>
      </c>
      <c r="E16" s="3" t="s">
        <v>64</v>
      </c>
      <c r="F16" s="3">
        <v>1989</v>
      </c>
      <c r="G16" s="3">
        <v>5</v>
      </c>
      <c r="H16" s="2">
        <v>4</v>
      </c>
      <c r="I16" s="4">
        <v>58063151</v>
      </c>
    </row>
    <row r="17" spans="1:9">
      <c r="A17" s="5">
        <v>10000016</v>
      </c>
      <c r="B17" s="3" t="s">
        <v>10</v>
      </c>
      <c r="C17" s="3" t="s">
        <v>67</v>
      </c>
      <c r="D17" s="3" t="s">
        <v>69</v>
      </c>
      <c r="E17" s="3" t="s">
        <v>64</v>
      </c>
      <c r="F17" s="3">
        <v>2015</v>
      </c>
      <c r="G17" s="3">
        <v>1</v>
      </c>
      <c r="H17" s="2">
        <v>5</v>
      </c>
      <c r="I17" s="4">
        <v>2535323</v>
      </c>
    </row>
    <row r="18" spans="1:9">
      <c r="A18" s="5">
        <v>10000017</v>
      </c>
      <c r="B18" s="3" t="s">
        <v>10</v>
      </c>
      <c r="C18" s="3" t="s">
        <v>67</v>
      </c>
      <c r="D18" s="3" t="s">
        <v>68</v>
      </c>
      <c r="E18" s="3" t="s">
        <v>63</v>
      </c>
      <c r="F18" s="3">
        <v>2000</v>
      </c>
      <c r="G18" s="3">
        <v>2</v>
      </c>
      <c r="H18" s="2">
        <v>0</v>
      </c>
      <c r="I18" s="4">
        <v>16676916</v>
      </c>
    </row>
    <row r="19" spans="1:9">
      <c r="A19" s="5">
        <v>10000018</v>
      </c>
      <c r="B19" s="3" t="s">
        <v>11</v>
      </c>
      <c r="C19" s="3" t="s">
        <v>65</v>
      </c>
      <c r="D19" s="3" t="s">
        <v>66</v>
      </c>
      <c r="E19" s="3" t="s">
        <v>64</v>
      </c>
      <c r="F19" s="3">
        <v>2011</v>
      </c>
      <c r="G19" s="3">
        <v>3</v>
      </c>
      <c r="H19" s="2">
        <v>5</v>
      </c>
      <c r="I19" s="4">
        <v>45410217</v>
      </c>
    </row>
    <row r="20" spans="1:9">
      <c r="A20" s="5">
        <v>10000019</v>
      </c>
      <c r="B20" s="3" t="s">
        <v>9</v>
      </c>
      <c r="C20" s="3" t="s">
        <v>67</v>
      </c>
      <c r="D20" s="3" t="s">
        <v>68</v>
      </c>
      <c r="E20" s="3" t="s">
        <v>64</v>
      </c>
      <c r="F20" s="3">
        <v>1985</v>
      </c>
      <c r="G20" s="3">
        <v>4</v>
      </c>
      <c r="H20" s="2">
        <v>3</v>
      </c>
      <c r="I20" s="4">
        <v>13178894</v>
      </c>
    </row>
    <row r="21" spans="1:9">
      <c r="A21" s="5">
        <v>10000020</v>
      </c>
      <c r="B21" s="3" t="s">
        <v>12</v>
      </c>
      <c r="C21" s="3" t="s">
        <v>67</v>
      </c>
      <c r="D21" s="3" t="s">
        <v>68</v>
      </c>
      <c r="E21" s="3" t="s">
        <v>64</v>
      </c>
      <c r="F21" s="3">
        <v>2020</v>
      </c>
      <c r="G21" s="3">
        <v>1</v>
      </c>
      <c r="H21" s="2">
        <v>3</v>
      </c>
      <c r="I21" s="4">
        <v>10084141</v>
      </c>
    </row>
    <row r="22" spans="1:9">
      <c r="A22" s="5">
        <v>10000021</v>
      </c>
      <c r="B22" s="3" t="s">
        <v>9</v>
      </c>
      <c r="C22" s="3" t="s">
        <v>67</v>
      </c>
      <c r="D22" s="3" t="s">
        <v>66</v>
      </c>
      <c r="E22" s="3" t="s">
        <v>64</v>
      </c>
      <c r="F22" s="3">
        <v>2006</v>
      </c>
      <c r="G22" s="3">
        <v>2</v>
      </c>
      <c r="H22" s="2">
        <v>4</v>
      </c>
      <c r="I22" s="4">
        <v>37142074</v>
      </c>
    </row>
    <row r="23" spans="1:9">
      <c r="A23" s="5">
        <v>10000022</v>
      </c>
      <c r="B23" s="3" t="s">
        <v>9</v>
      </c>
      <c r="C23" s="3" t="s">
        <v>67</v>
      </c>
      <c r="D23" s="3" t="s">
        <v>68</v>
      </c>
      <c r="E23" s="3" t="s">
        <v>63</v>
      </c>
      <c r="F23" s="3">
        <v>2017</v>
      </c>
      <c r="G23" s="3">
        <v>1</v>
      </c>
      <c r="H23" s="2">
        <v>0</v>
      </c>
      <c r="I23" s="4">
        <v>12375516</v>
      </c>
    </row>
    <row r="24" spans="1:9">
      <c r="A24" s="5">
        <v>10000023</v>
      </c>
      <c r="B24" s="3" t="s">
        <v>11</v>
      </c>
      <c r="C24" s="3" t="s">
        <v>65</v>
      </c>
      <c r="D24" s="3" t="s">
        <v>66</v>
      </c>
      <c r="E24" s="3" t="s">
        <v>64</v>
      </c>
      <c r="F24" s="3">
        <v>1995</v>
      </c>
      <c r="G24" s="3">
        <v>3</v>
      </c>
      <c r="H24" s="2">
        <v>3</v>
      </c>
      <c r="I24" s="4">
        <v>57581943</v>
      </c>
    </row>
    <row r="25" spans="1:9">
      <c r="A25" s="5">
        <v>10000024</v>
      </c>
      <c r="B25" s="3" t="s">
        <v>14</v>
      </c>
      <c r="C25" s="3" t="s">
        <v>65</v>
      </c>
      <c r="D25" s="3" t="s">
        <v>69</v>
      </c>
      <c r="E25" s="3" t="s">
        <v>64</v>
      </c>
      <c r="F25" s="3">
        <v>2007</v>
      </c>
      <c r="G25" s="3">
        <v>4</v>
      </c>
      <c r="H25" s="2">
        <v>5</v>
      </c>
      <c r="I25" s="4">
        <v>3901414</v>
      </c>
    </row>
    <row r="26" spans="1:9">
      <c r="A26" s="5">
        <v>10000025</v>
      </c>
      <c r="B26" s="3" t="s">
        <v>13</v>
      </c>
      <c r="C26" s="3" t="s">
        <v>65</v>
      </c>
      <c r="D26" s="3" t="s">
        <v>68</v>
      </c>
      <c r="E26" s="3" t="s">
        <v>63</v>
      </c>
      <c r="F26" s="3">
        <v>1982</v>
      </c>
      <c r="G26" s="3">
        <v>3</v>
      </c>
      <c r="H26" s="2">
        <v>1</v>
      </c>
      <c r="I26" s="4">
        <v>16928456</v>
      </c>
    </row>
    <row r="27" spans="1:9">
      <c r="A27" s="5">
        <v>10000026</v>
      </c>
      <c r="B27" s="3" t="s">
        <v>12</v>
      </c>
      <c r="C27" s="3" t="s">
        <v>67</v>
      </c>
      <c r="D27" s="3" t="s">
        <v>66</v>
      </c>
      <c r="E27" s="3" t="s">
        <v>64</v>
      </c>
      <c r="F27" s="3">
        <v>2004</v>
      </c>
      <c r="G27" s="3">
        <v>3</v>
      </c>
      <c r="H27" s="2">
        <v>4</v>
      </c>
      <c r="I27" s="4">
        <v>57229885</v>
      </c>
    </row>
    <row r="28" spans="1:9">
      <c r="A28" s="5">
        <v>10000027</v>
      </c>
      <c r="B28" s="3" t="s">
        <v>10</v>
      </c>
      <c r="C28" s="3" t="s">
        <v>67</v>
      </c>
      <c r="D28" s="3" t="s">
        <v>66</v>
      </c>
      <c r="E28" s="3" t="s">
        <v>64</v>
      </c>
      <c r="F28" s="3">
        <v>2017</v>
      </c>
      <c r="G28" s="3">
        <v>3</v>
      </c>
      <c r="H28" s="2">
        <v>5</v>
      </c>
      <c r="I28" s="4">
        <v>29740449</v>
      </c>
    </row>
    <row r="29" spans="1:9">
      <c r="A29" s="5">
        <v>10000028</v>
      </c>
      <c r="B29" s="3" t="s">
        <v>14</v>
      </c>
      <c r="C29" s="3" t="s">
        <v>65</v>
      </c>
      <c r="D29" s="3" t="s">
        <v>69</v>
      </c>
      <c r="E29" s="3" t="s">
        <v>63</v>
      </c>
      <c r="F29" s="3">
        <v>2006</v>
      </c>
      <c r="G29" s="3">
        <v>2</v>
      </c>
      <c r="H29" s="2">
        <v>0</v>
      </c>
      <c r="I29" s="4">
        <v>3650891</v>
      </c>
    </row>
    <row r="30" spans="1:9">
      <c r="A30" s="5">
        <v>10000029</v>
      </c>
      <c r="B30" s="3" t="s">
        <v>12</v>
      </c>
      <c r="C30" s="3" t="s">
        <v>67</v>
      </c>
      <c r="D30" s="3" t="s">
        <v>68</v>
      </c>
      <c r="E30" s="3" t="s">
        <v>63</v>
      </c>
      <c r="F30" s="3">
        <v>1991</v>
      </c>
      <c r="G30" s="3">
        <v>3</v>
      </c>
      <c r="H30" s="2">
        <v>2</v>
      </c>
      <c r="I30" s="4">
        <v>15706224</v>
      </c>
    </row>
    <row r="31" spans="1:9">
      <c r="A31" s="5">
        <v>10000030</v>
      </c>
      <c r="B31" s="3" t="s">
        <v>12</v>
      </c>
      <c r="C31" s="3" t="s">
        <v>67</v>
      </c>
      <c r="D31" s="3" t="s">
        <v>68</v>
      </c>
      <c r="E31" s="3" t="s">
        <v>63</v>
      </c>
      <c r="F31" s="3">
        <v>1981</v>
      </c>
      <c r="G31" s="3">
        <v>4</v>
      </c>
      <c r="H31" s="2">
        <v>1</v>
      </c>
      <c r="I31" s="4">
        <v>15902118</v>
      </c>
    </row>
    <row r="32" spans="1:9">
      <c r="A32" s="5">
        <v>10000031</v>
      </c>
      <c r="B32" s="3" t="s">
        <v>12</v>
      </c>
      <c r="C32" s="3" t="s">
        <v>67</v>
      </c>
      <c r="D32" s="3" t="s">
        <v>66</v>
      </c>
      <c r="E32" s="3" t="s">
        <v>64</v>
      </c>
      <c r="F32" s="3">
        <v>2017</v>
      </c>
      <c r="G32" s="3">
        <v>3</v>
      </c>
      <c r="H32" s="2">
        <v>4</v>
      </c>
      <c r="I32" s="4">
        <v>65040379</v>
      </c>
    </row>
    <row r="33" spans="1:9">
      <c r="A33" s="5">
        <v>10000032</v>
      </c>
      <c r="B33" s="3" t="s">
        <v>12</v>
      </c>
      <c r="C33" s="3" t="s">
        <v>67</v>
      </c>
      <c r="D33" s="3" t="s">
        <v>69</v>
      </c>
      <c r="E33" s="3" t="s">
        <v>62</v>
      </c>
      <c r="F33" s="3">
        <v>1981</v>
      </c>
      <c r="G33" s="3">
        <v>1</v>
      </c>
      <c r="H33" s="2">
        <v>1</v>
      </c>
      <c r="I33" s="4">
        <v>690579</v>
      </c>
    </row>
    <row r="34" spans="1:9">
      <c r="A34" s="5">
        <v>10000033</v>
      </c>
      <c r="B34" s="3" t="s">
        <v>14</v>
      </c>
      <c r="C34" s="3" t="s">
        <v>65</v>
      </c>
      <c r="D34" s="3" t="s">
        <v>68</v>
      </c>
      <c r="E34" s="3" t="s">
        <v>63</v>
      </c>
      <c r="F34" s="3">
        <v>2006</v>
      </c>
      <c r="G34" s="3">
        <v>5</v>
      </c>
      <c r="H34" s="2">
        <v>1</v>
      </c>
      <c r="I34" s="4">
        <v>10615989</v>
      </c>
    </row>
    <row r="35" spans="1:9">
      <c r="A35" s="5">
        <v>10000034</v>
      </c>
      <c r="B35" s="3" t="s">
        <v>13</v>
      </c>
      <c r="C35" s="3" t="s">
        <v>65</v>
      </c>
      <c r="D35" s="3" t="s">
        <v>68</v>
      </c>
      <c r="E35" s="3" t="s">
        <v>63</v>
      </c>
      <c r="F35" s="3">
        <v>1993</v>
      </c>
      <c r="G35" s="3">
        <v>1</v>
      </c>
      <c r="H35" s="2">
        <v>2</v>
      </c>
      <c r="I35" s="4">
        <v>15146958</v>
      </c>
    </row>
    <row r="36" spans="1:9">
      <c r="A36" s="5">
        <v>10000035</v>
      </c>
      <c r="B36" s="3" t="s">
        <v>14</v>
      </c>
      <c r="C36" s="3" t="s">
        <v>65</v>
      </c>
      <c r="D36" s="3" t="s">
        <v>66</v>
      </c>
      <c r="E36" s="3" t="s">
        <v>64</v>
      </c>
      <c r="F36" s="3">
        <v>2001</v>
      </c>
      <c r="G36" s="3">
        <v>3</v>
      </c>
      <c r="H36" s="2">
        <v>3</v>
      </c>
      <c r="I36" s="4">
        <v>45047434</v>
      </c>
    </row>
    <row r="37" spans="1:9">
      <c r="A37" s="5">
        <v>10000036</v>
      </c>
      <c r="B37" s="3" t="s">
        <v>12</v>
      </c>
      <c r="C37" s="3" t="s">
        <v>67</v>
      </c>
      <c r="D37" s="3" t="s">
        <v>68</v>
      </c>
      <c r="E37" s="3" t="s">
        <v>64</v>
      </c>
      <c r="F37" s="3">
        <v>2016</v>
      </c>
      <c r="G37" s="3">
        <v>5</v>
      </c>
      <c r="H37" s="2">
        <v>5</v>
      </c>
      <c r="I37" s="4">
        <v>11281991</v>
      </c>
    </row>
    <row r="38" spans="1:9">
      <c r="A38" s="5">
        <v>10000037</v>
      </c>
      <c r="B38" s="3" t="s">
        <v>11</v>
      </c>
      <c r="C38" s="3" t="s">
        <v>65</v>
      </c>
      <c r="D38" s="3" t="s">
        <v>68</v>
      </c>
      <c r="E38" s="3" t="s">
        <v>63</v>
      </c>
      <c r="F38" s="3">
        <v>1984</v>
      </c>
      <c r="G38" s="3">
        <v>2</v>
      </c>
      <c r="H38" s="2">
        <v>1</v>
      </c>
      <c r="I38" s="4">
        <v>13700702</v>
      </c>
    </row>
    <row r="39" spans="1:9">
      <c r="A39" s="5">
        <v>10000038</v>
      </c>
      <c r="B39" s="3" t="s">
        <v>10</v>
      </c>
      <c r="C39" s="3" t="s">
        <v>67</v>
      </c>
      <c r="D39" s="3" t="s">
        <v>69</v>
      </c>
      <c r="E39" s="3" t="s">
        <v>64</v>
      </c>
      <c r="F39" s="3">
        <v>2009</v>
      </c>
      <c r="G39" s="3">
        <v>1</v>
      </c>
      <c r="H39" s="2">
        <v>3</v>
      </c>
      <c r="I39" s="4">
        <v>2544527</v>
      </c>
    </row>
    <row r="40" spans="1:9">
      <c r="A40" s="5">
        <v>10000039</v>
      </c>
      <c r="B40" s="3" t="s">
        <v>11</v>
      </c>
      <c r="C40" s="3" t="s">
        <v>65</v>
      </c>
      <c r="D40" s="3" t="s">
        <v>68</v>
      </c>
      <c r="E40" s="3" t="s">
        <v>64</v>
      </c>
      <c r="F40" s="3">
        <v>1998</v>
      </c>
      <c r="G40" s="3">
        <v>3</v>
      </c>
      <c r="H40" s="2">
        <v>5</v>
      </c>
      <c r="I40" s="4">
        <v>14297476</v>
      </c>
    </row>
    <row r="41" spans="1:9">
      <c r="A41" s="5">
        <v>10000040</v>
      </c>
      <c r="B41" s="3" t="s">
        <v>14</v>
      </c>
      <c r="C41" s="3" t="s">
        <v>65</v>
      </c>
      <c r="D41" s="3" t="s">
        <v>69</v>
      </c>
      <c r="E41" s="3" t="s">
        <v>63</v>
      </c>
      <c r="F41" s="3">
        <v>2016</v>
      </c>
      <c r="G41" s="3">
        <v>1</v>
      </c>
      <c r="H41" s="2">
        <v>0</v>
      </c>
      <c r="I41" s="4">
        <v>4450630</v>
      </c>
    </row>
    <row r="42" spans="1:9">
      <c r="A42" s="5">
        <v>10000041</v>
      </c>
      <c r="B42" s="3" t="s">
        <v>12</v>
      </c>
      <c r="C42" s="3" t="s">
        <v>67</v>
      </c>
      <c r="D42" s="3" t="s">
        <v>68</v>
      </c>
      <c r="E42" s="3" t="s">
        <v>63</v>
      </c>
      <c r="F42" s="3">
        <v>2024</v>
      </c>
      <c r="G42" s="3">
        <v>1</v>
      </c>
      <c r="H42" s="2">
        <v>0</v>
      </c>
      <c r="I42" s="4">
        <v>19529974</v>
      </c>
    </row>
    <row r="43" spans="1:9">
      <c r="A43" s="5">
        <v>10000042</v>
      </c>
      <c r="B43" s="3" t="s">
        <v>9</v>
      </c>
      <c r="C43" s="3" t="s">
        <v>67</v>
      </c>
      <c r="D43" s="3" t="s">
        <v>66</v>
      </c>
      <c r="E43" s="3" t="s">
        <v>64</v>
      </c>
      <c r="F43" s="3">
        <v>1990</v>
      </c>
      <c r="G43" s="3">
        <v>1</v>
      </c>
      <c r="H43" s="2">
        <v>5</v>
      </c>
      <c r="I43" s="4">
        <v>54174578</v>
      </c>
    </row>
    <row r="44" spans="1:9">
      <c r="A44" s="5">
        <v>10000043</v>
      </c>
      <c r="B44" s="3" t="s">
        <v>12</v>
      </c>
      <c r="C44" s="3" t="s">
        <v>67</v>
      </c>
      <c r="D44" s="3" t="s">
        <v>66</v>
      </c>
      <c r="E44" s="3" t="s">
        <v>64</v>
      </c>
      <c r="F44" s="3">
        <v>1985</v>
      </c>
      <c r="G44" s="3">
        <v>4</v>
      </c>
      <c r="H44" s="2">
        <v>3</v>
      </c>
      <c r="I44" s="4">
        <v>39597411</v>
      </c>
    </row>
    <row r="45" spans="1:9">
      <c r="A45" s="5">
        <v>10000044</v>
      </c>
      <c r="B45" s="3" t="s">
        <v>9</v>
      </c>
      <c r="C45" s="3" t="s">
        <v>67</v>
      </c>
      <c r="D45" s="3" t="s">
        <v>69</v>
      </c>
      <c r="E45" s="3" t="s">
        <v>64</v>
      </c>
      <c r="F45" s="3">
        <v>2005</v>
      </c>
      <c r="G45" s="3">
        <v>1</v>
      </c>
      <c r="H45" s="2">
        <v>5</v>
      </c>
      <c r="I45" s="4">
        <v>2235900</v>
      </c>
    </row>
    <row r="46" spans="1:9">
      <c r="A46" s="5">
        <v>10000045</v>
      </c>
      <c r="B46" s="3" t="s">
        <v>9</v>
      </c>
      <c r="C46" s="3" t="s">
        <v>67</v>
      </c>
      <c r="D46" s="3" t="s">
        <v>66</v>
      </c>
      <c r="E46" s="3" t="s">
        <v>64</v>
      </c>
      <c r="F46" s="3">
        <v>2024</v>
      </c>
      <c r="G46" s="3">
        <v>4</v>
      </c>
      <c r="H46" s="2">
        <v>3</v>
      </c>
      <c r="I46" s="4">
        <v>58593550</v>
      </c>
    </row>
    <row r="47" spans="1:9">
      <c r="A47" s="5">
        <v>10000046</v>
      </c>
      <c r="B47" s="3" t="s">
        <v>9</v>
      </c>
      <c r="C47" s="3" t="s">
        <v>67</v>
      </c>
      <c r="D47" s="3" t="s">
        <v>68</v>
      </c>
      <c r="E47" s="3" t="s">
        <v>63</v>
      </c>
      <c r="F47" s="3">
        <v>1980</v>
      </c>
      <c r="G47" s="3">
        <v>1</v>
      </c>
      <c r="H47" s="2">
        <v>1</v>
      </c>
      <c r="I47" s="4">
        <v>21366431</v>
      </c>
    </row>
    <row r="48" spans="1:9">
      <c r="A48" s="5">
        <v>10000047</v>
      </c>
      <c r="B48" s="3" t="s">
        <v>11</v>
      </c>
      <c r="C48" s="3" t="s">
        <v>65</v>
      </c>
      <c r="D48" s="3" t="s">
        <v>66</v>
      </c>
      <c r="E48" s="3" t="s">
        <v>64</v>
      </c>
      <c r="F48" s="3">
        <v>2001</v>
      </c>
      <c r="G48" s="3">
        <v>4</v>
      </c>
      <c r="H48" s="2">
        <v>4</v>
      </c>
      <c r="I48" s="4">
        <v>35832016</v>
      </c>
    </row>
    <row r="49" spans="1:9">
      <c r="A49" s="5">
        <v>10000048</v>
      </c>
      <c r="B49" s="3" t="s">
        <v>12</v>
      </c>
      <c r="C49" s="3" t="s">
        <v>67</v>
      </c>
      <c r="D49" s="3" t="s">
        <v>68</v>
      </c>
      <c r="E49" s="3" t="s">
        <v>63</v>
      </c>
      <c r="F49" s="3">
        <v>2003</v>
      </c>
      <c r="G49" s="3">
        <v>4</v>
      </c>
      <c r="H49" s="2">
        <v>1</v>
      </c>
      <c r="I49" s="4">
        <v>8341326</v>
      </c>
    </row>
    <row r="50" spans="1:9">
      <c r="A50" s="5">
        <v>10000049</v>
      </c>
      <c r="B50" s="3" t="s">
        <v>11</v>
      </c>
      <c r="C50" s="3" t="s">
        <v>65</v>
      </c>
      <c r="D50" s="3" t="s">
        <v>66</v>
      </c>
      <c r="E50" s="3" t="s">
        <v>64</v>
      </c>
      <c r="F50" s="3">
        <v>1980</v>
      </c>
      <c r="G50" s="3">
        <v>2</v>
      </c>
      <c r="H50" s="2">
        <v>3</v>
      </c>
      <c r="I50" s="4">
        <v>36721748</v>
      </c>
    </row>
    <row r="51" spans="1:9">
      <c r="A51" s="5">
        <v>10000050</v>
      </c>
      <c r="B51" s="3" t="s">
        <v>13</v>
      </c>
      <c r="C51" s="3" t="s">
        <v>65</v>
      </c>
      <c r="D51" s="3" t="s">
        <v>66</v>
      </c>
      <c r="E51" s="3" t="s">
        <v>64</v>
      </c>
      <c r="F51" s="3">
        <v>2021</v>
      </c>
      <c r="G51" s="3">
        <v>4</v>
      </c>
      <c r="H51" s="2">
        <v>5</v>
      </c>
      <c r="I51" s="4">
        <v>40413609</v>
      </c>
    </row>
    <row r="52" spans="1:9">
      <c r="A52" s="5">
        <v>10000051</v>
      </c>
      <c r="B52" s="3" t="s">
        <v>11</v>
      </c>
      <c r="C52" s="3" t="s">
        <v>65</v>
      </c>
      <c r="D52" s="3" t="s">
        <v>66</v>
      </c>
      <c r="E52" s="3" t="s">
        <v>64</v>
      </c>
      <c r="F52" s="3">
        <v>1986</v>
      </c>
      <c r="G52" s="3">
        <v>4</v>
      </c>
      <c r="H52" s="2">
        <v>3</v>
      </c>
      <c r="I52" s="4">
        <v>55853393</v>
      </c>
    </row>
    <row r="53" spans="1:9">
      <c r="A53" s="5">
        <v>10000052</v>
      </c>
      <c r="B53" s="3" t="s">
        <v>14</v>
      </c>
      <c r="C53" s="3" t="s">
        <v>65</v>
      </c>
      <c r="D53" s="3" t="s">
        <v>66</v>
      </c>
      <c r="E53" s="3" t="s">
        <v>64</v>
      </c>
      <c r="F53" s="3">
        <v>1982</v>
      </c>
      <c r="G53" s="3">
        <v>3</v>
      </c>
      <c r="H53" s="2">
        <v>5</v>
      </c>
      <c r="I53" s="4">
        <v>53245951</v>
      </c>
    </row>
    <row r="54" spans="1:9">
      <c r="A54" s="5">
        <v>10000053</v>
      </c>
      <c r="B54" s="3" t="s">
        <v>14</v>
      </c>
      <c r="C54" s="3" t="s">
        <v>65</v>
      </c>
      <c r="D54" s="3" t="s">
        <v>66</v>
      </c>
      <c r="E54" s="3" t="s">
        <v>64</v>
      </c>
      <c r="F54" s="3">
        <v>1987</v>
      </c>
      <c r="G54" s="3">
        <v>5</v>
      </c>
      <c r="H54" s="2">
        <v>4</v>
      </c>
      <c r="I54" s="4">
        <v>58288231</v>
      </c>
    </row>
    <row r="55" spans="1:9">
      <c r="A55" s="5">
        <v>10000054</v>
      </c>
      <c r="B55" s="3" t="s">
        <v>11</v>
      </c>
      <c r="C55" s="3" t="s">
        <v>65</v>
      </c>
      <c r="D55" s="3" t="s">
        <v>69</v>
      </c>
      <c r="E55" s="3" t="s">
        <v>62</v>
      </c>
      <c r="F55" s="3">
        <v>2011</v>
      </c>
      <c r="G55" s="3">
        <v>1</v>
      </c>
      <c r="H55" s="2">
        <v>2</v>
      </c>
      <c r="I55" s="4">
        <v>529351</v>
      </c>
    </row>
    <row r="56" spans="1:9">
      <c r="A56" s="5">
        <v>10000055</v>
      </c>
      <c r="B56" s="3" t="s">
        <v>14</v>
      </c>
      <c r="C56" s="3" t="s">
        <v>65</v>
      </c>
      <c r="D56" s="3" t="s">
        <v>68</v>
      </c>
      <c r="E56" s="3" t="s">
        <v>63</v>
      </c>
      <c r="F56" s="3">
        <v>1999</v>
      </c>
      <c r="G56" s="3">
        <v>2</v>
      </c>
      <c r="H56" s="2">
        <v>1</v>
      </c>
      <c r="I56" s="4">
        <v>6191974</v>
      </c>
    </row>
    <row r="57" spans="1:9">
      <c r="A57" s="5">
        <v>10000056</v>
      </c>
      <c r="B57" s="3" t="s">
        <v>11</v>
      </c>
      <c r="C57" s="3" t="s">
        <v>65</v>
      </c>
      <c r="D57" s="3" t="s">
        <v>66</v>
      </c>
      <c r="E57" s="3" t="s">
        <v>64</v>
      </c>
      <c r="F57" s="3">
        <v>1999</v>
      </c>
      <c r="G57" s="3">
        <v>4</v>
      </c>
      <c r="H57" s="2">
        <v>4</v>
      </c>
      <c r="I57" s="4">
        <v>47872314</v>
      </c>
    </row>
    <row r="58" spans="1:9">
      <c r="A58" s="5">
        <v>10000057</v>
      </c>
      <c r="B58" s="3" t="s">
        <v>12</v>
      </c>
      <c r="C58" s="3" t="s">
        <v>67</v>
      </c>
      <c r="D58" s="3" t="s">
        <v>68</v>
      </c>
      <c r="E58" s="3" t="s">
        <v>63</v>
      </c>
      <c r="F58" s="3">
        <v>2004</v>
      </c>
      <c r="G58" s="3">
        <v>2</v>
      </c>
      <c r="H58" s="2">
        <v>0</v>
      </c>
      <c r="I58" s="4">
        <v>21442526</v>
      </c>
    </row>
    <row r="59" spans="1:9">
      <c r="A59" s="5">
        <v>10000058</v>
      </c>
      <c r="B59" s="3" t="s">
        <v>10</v>
      </c>
      <c r="C59" s="3" t="s">
        <v>67</v>
      </c>
      <c r="D59" s="3" t="s">
        <v>69</v>
      </c>
      <c r="E59" s="3" t="s">
        <v>64</v>
      </c>
      <c r="F59" s="3">
        <v>1982</v>
      </c>
      <c r="G59" s="3">
        <v>2</v>
      </c>
      <c r="H59" s="2">
        <v>5</v>
      </c>
      <c r="I59" s="4">
        <v>4979693</v>
      </c>
    </row>
    <row r="60" spans="1:9">
      <c r="A60" s="5">
        <v>10000059</v>
      </c>
      <c r="B60" s="3" t="s">
        <v>13</v>
      </c>
      <c r="C60" s="3" t="s">
        <v>65</v>
      </c>
      <c r="D60" s="3" t="s">
        <v>68</v>
      </c>
      <c r="E60" s="3" t="s">
        <v>63</v>
      </c>
      <c r="F60" s="3">
        <v>2010</v>
      </c>
      <c r="G60" s="3">
        <v>5</v>
      </c>
      <c r="H60" s="2">
        <v>2</v>
      </c>
      <c r="I60" s="4">
        <v>25496044</v>
      </c>
    </row>
    <row r="61" spans="1:9">
      <c r="A61" s="5">
        <v>10000060</v>
      </c>
      <c r="B61" s="3" t="s">
        <v>13</v>
      </c>
      <c r="C61" s="3" t="s">
        <v>65</v>
      </c>
      <c r="D61" s="3" t="s">
        <v>69</v>
      </c>
      <c r="E61" s="3" t="s">
        <v>64</v>
      </c>
      <c r="F61" s="3">
        <v>1992</v>
      </c>
      <c r="G61" s="3">
        <v>4</v>
      </c>
      <c r="H61" s="2">
        <v>3</v>
      </c>
      <c r="I61" s="4">
        <v>1604840</v>
      </c>
    </row>
    <row r="62" spans="1:9">
      <c r="A62" s="5">
        <v>10000061</v>
      </c>
      <c r="B62" s="3" t="s">
        <v>11</v>
      </c>
      <c r="C62" s="3" t="s">
        <v>65</v>
      </c>
      <c r="D62" s="3" t="s">
        <v>68</v>
      </c>
      <c r="E62" s="3" t="s">
        <v>64</v>
      </c>
      <c r="F62" s="3">
        <v>2013</v>
      </c>
      <c r="G62" s="3">
        <v>3</v>
      </c>
      <c r="H62" s="2">
        <v>4</v>
      </c>
      <c r="I62" s="4">
        <v>9150019</v>
      </c>
    </row>
    <row r="63" spans="1:9">
      <c r="A63" s="5">
        <v>10000062</v>
      </c>
      <c r="B63" s="3" t="s">
        <v>11</v>
      </c>
      <c r="C63" s="3" t="s">
        <v>65</v>
      </c>
      <c r="D63" s="3" t="s">
        <v>69</v>
      </c>
      <c r="E63" s="3" t="s">
        <v>63</v>
      </c>
      <c r="F63" s="3">
        <v>2023</v>
      </c>
      <c r="G63" s="3">
        <v>2</v>
      </c>
      <c r="H63" s="2">
        <v>2</v>
      </c>
      <c r="I63" s="4">
        <v>5515640</v>
      </c>
    </row>
    <row r="64" spans="1:9">
      <c r="A64" s="5">
        <v>10000063</v>
      </c>
      <c r="B64" s="3" t="s">
        <v>14</v>
      </c>
      <c r="C64" s="3" t="s">
        <v>65</v>
      </c>
      <c r="D64" s="3" t="s">
        <v>69</v>
      </c>
      <c r="E64" s="3" t="s">
        <v>63</v>
      </c>
      <c r="F64" s="3">
        <v>2008</v>
      </c>
      <c r="G64" s="3">
        <v>4</v>
      </c>
      <c r="H64" s="2">
        <v>2</v>
      </c>
      <c r="I64" s="4">
        <v>3697144</v>
      </c>
    </row>
    <row r="65" spans="1:9">
      <c r="A65" s="5">
        <v>10000064</v>
      </c>
      <c r="B65" s="3" t="s">
        <v>11</v>
      </c>
      <c r="C65" s="3" t="s">
        <v>65</v>
      </c>
      <c r="D65" s="3" t="s">
        <v>69</v>
      </c>
      <c r="E65" s="3" t="s">
        <v>63</v>
      </c>
      <c r="F65" s="3">
        <v>1990</v>
      </c>
      <c r="G65" s="3">
        <v>5</v>
      </c>
      <c r="H65" s="2">
        <v>0</v>
      </c>
      <c r="I65" s="4">
        <v>5065234</v>
      </c>
    </row>
    <row r="66" spans="1:9">
      <c r="A66" s="5">
        <v>10000065</v>
      </c>
      <c r="B66" s="3" t="s">
        <v>14</v>
      </c>
      <c r="C66" s="3" t="s">
        <v>65</v>
      </c>
      <c r="D66" s="3" t="s">
        <v>66</v>
      </c>
      <c r="E66" s="3" t="s">
        <v>64</v>
      </c>
      <c r="F66" s="3">
        <v>1999</v>
      </c>
      <c r="G66" s="3">
        <v>4</v>
      </c>
      <c r="H66" s="2">
        <v>4</v>
      </c>
      <c r="I66" s="4">
        <v>60239725</v>
      </c>
    </row>
    <row r="67" spans="1:9">
      <c r="A67" s="5">
        <v>10000066</v>
      </c>
      <c r="B67" s="3" t="s">
        <v>13</v>
      </c>
      <c r="C67" s="3" t="s">
        <v>65</v>
      </c>
      <c r="D67" s="3" t="s">
        <v>66</v>
      </c>
      <c r="E67" s="3" t="s">
        <v>64</v>
      </c>
      <c r="F67" s="3">
        <v>1981</v>
      </c>
      <c r="G67" s="3">
        <v>4</v>
      </c>
      <c r="H67" s="2">
        <v>5</v>
      </c>
      <c r="I67" s="4">
        <v>55845957</v>
      </c>
    </row>
    <row r="68" spans="1:9">
      <c r="A68" s="5">
        <v>10000067</v>
      </c>
      <c r="B68" s="3" t="s">
        <v>11</v>
      </c>
      <c r="C68" s="3" t="s">
        <v>65</v>
      </c>
      <c r="D68" s="3" t="s">
        <v>69</v>
      </c>
      <c r="E68" s="3" t="s">
        <v>64</v>
      </c>
      <c r="F68" s="3">
        <v>1983</v>
      </c>
      <c r="G68" s="3">
        <v>1</v>
      </c>
      <c r="H68" s="2">
        <v>5</v>
      </c>
      <c r="I68" s="4">
        <v>3424859</v>
      </c>
    </row>
    <row r="69" spans="1:9">
      <c r="A69" s="5">
        <v>10000068</v>
      </c>
      <c r="B69" s="3" t="s">
        <v>14</v>
      </c>
      <c r="C69" s="3" t="s">
        <v>65</v>
      </c>
      <c r="D69" s="3" t="s">
        <v>68</v>
      </c>
      <c r="E69" s="3" t="s">
        <v>64</v>
      </c>
      <c r="F69" s="3">
        <v>1993</v>
      </c>
      <c r="G69" s="3">
        <v>1</v>
      </c>
      <c r="H69" s="2">
        <v>5</v>
      </c>
      <c r="I69" s="4">
        <v>10808674</v>
      </c>
    </row>
    <row r="70" spans="1:9">
      <c r="A70" s="5">
        <v>10000069</v>
      </c>
      <c r="B70" s="3" t="s">
        <v>9</v>
      </c>
      <c r="C70" s="3" t="s">
        <v>67</v>
      </c>
      <c r="D70" s="3" t="s">
        <v>68</v>
      </c>
      <c r="E70" s="3" t="s">
        <v>64</v>
      </c>
      <c r="F70" s="3">
        <v>2023</v>
      </c>
      <c r="G70" s="3">
        <v>3</v>
      </c>
      <c r="H70" s="2">
        <v>4</v>
      </c>
      <c r="I70" s="4">
        <v>17683042</v>
      </c>
    </row>
    <row r="71" spans="1:9">
      <c r="A71" s="5">
        <v>10000070</v>
      </c>
      <c r="B71" s="3" t="s">
        <v>10</v>
      </c>
      <c r="C71" s="3" t="s">
        <v>67</v>
      </c>
      <c r="D71" s="3" t="s">
        <v>68</v>
      </c>
      <c r="E71" s="3" t="s">
        <v>64</v>
      </c>
      <c r="F71" s="3">
        <v>1995</v>
      </c>
      <c r="G71" s="3">
        <v>5</v>
      </c>
      <c r="H71" s="2">
        <v>5</v>
      </c>
      <c r="I71" s="4">
        <v>21832563</v>
      </c>
    </row>
    <row r="72" spans="1:9">
      <c r="A72" s="5">
        <v>10000071</v>
      </c>
      <c r="B72" s="3" t="s">
        <v>14</v>
      </c>
      <c r="C72" s="3" t="s">
        <v>65</v>
      </c>
      <c r="D72" s="3" t="s">
        <v>68</v>
      </c>
      <c r="E72" s="3" t="s">
        <v>64</v>
      </c>
      <c r="F72" s="3">
        <v>2001</v>
      </c>
      <c r="G72" s="3">
        <v>1</v>
      </c>
      <c r="H72" s="2">
        <v>5</v>
      </c>
      <c r="I72" s="4">
        <v>12676310</v>
      </c>
    </row>
    <row r="73" spans="1:9">
      <c r="A73" s="5">
        <v>10000072</v>
      </c>
      <c r="B73" s="3" t="s">
        <v>9</v>
      </c>
      <c r="C73" s="3" t="s">
        <v>67</v>
      </c>
      <c r="D73" s="3" t="s">
        <v>68</v>
      </c>
      <c r="E73" s="3" t="s">
        <v>64</v>
      </c>
      <c r="F73" s="3">
        <v>1991</v>
      </c>
      <c r="G73" s="3">
        <v>1</v>
      </c>
      <c r="H73" s="2">
        <v>5</v>
      </c>
      <c r="I73" s="4">
        <v>7230629</v>
      </c>
    </row>
    <row r="74" spans="1:9">
      <c r="A74" s="5">
        <v>10000073</v>
      </c>
      <c r="B74" s="3" t="s">
        <v>14</v>
      </c>
      <c r="C74" s="3" t="s">
        <v>65</v>
      </c>
      <c r="D74" s="3" t="s">
        <v>69</v>
      </c>
      <c r="E74" s="3" t="s">
        <v>62</v>
      </c>
      <c r="F74" s="3">
        <v>2014</v>
      </c>
      <c r="G74" s="3">
        <v>1</v>
      </c>
      <c r="H74" s="2">
        <v>0</v>
      </c>
      <c r="I74" s="4">
        <v>366720</v>
      </c>
    </row>
    <row r="75" spans="1:9">
      <c r="A75" s="5">
        <v>10000074</v>
      </c>
      <c r="B75" s="3" t="s">
        <v>14</v>
      </c>
      <c r="C75" s="3" t="s">
        <v>65</v>
      </c>
      <c r="D75" s="3" t="s">
        <v>69</v>
      </c>
      <c r="E75" s="3" t="s">
        <v>62</v>
      </c>
      <c r="F75" s="3">
        <v>1993</v>
      </c>
      <c r="G75" s="3">
        <v>1</v>
      </c>
      <c r="H75" s="2">
        <v>0</v>
      </c>
      <c r="I75" s="4">
        <v>444425</v>
      </c>
    </row>
    <row r="76" spans="1:9">
      <c r="A76" s="5">
        <v>10000075</v>
      </c>
      <c r="B76" s="3" t="s">
        <v>11</v>
      </c>
      <c r="C76" s="3" t="s">
        <v>65</v>
      </c>
      <c r="D76" s="3" t="s">
        <v>69</v>
      </c>
      <c r="E76" s="3" t="s">
        <v>64</v>
      </c>
      <c r="F76" s="3">
        <v>2013</v>
      </c>
      <c r="G76" s="3">
        <v>4</v>
      </c>
      <c r="H76" s="2">
        <v>5</v>
      </c>
      <c r="I76" s="4">
        <v>2498056</v>
      </c>
    </row>
    <row r="77" spans="1:9">
      <c r="A77" s="5">
        <v>10000076</v>
      </c>
      <c r="B77" s="3" t="s">
        <v>13</v>
      </c>
      <c r="C77" s="3" t="s">
        <v>65</v>
      </c>
      <c r="D77" s="3" t="s">
        <v>69</v>
      </c>
      <c r="E77" s="3" t="s">
        <v>63</v>
      </c>
      <c r="F77" s="3">
        <v>2014</v>
      </c>
      <c r="G77" s="3">
        <v>1</v>
      </c>
      <c r="H77" s="2">
        <v>0</v>
      </c>
      <c r="I77" s="4">
        <v>1566345</v>
      </c>
    </row>
    <row r="78" spans="1:9">
      <c r="A78" s="5">
        <v>10000077</v>
      </c>
      <c r="B78" s="3" t="s">
        <v>13</v>
      </c>
      <c r="C78" s="3" t="s">
        <v>65</v>
      </c>
      <c r="D78" s="3" t="s">
        <v>66</v>
      </c>
      <c r="E78" s="3" t="s">
        <v>64</v>
      </c>
      <c r="F78" s="3">
        <v>1999</v>
      </c>
      <c r="G78" s="3">
        <v>2</v>
      </c>
      <c r="H78" s="2">
        <v>5</v>
      </c>
      <c r="I78" s="4">
        <v>67032038</v>
      </c>
    </row>
    <row r="79" spans="1:9">
      <c r="A79" s="5">
        <v>10000078</v>
      </c>
      <c r="B79" s="3" t="s">
        <v>12</v>
      </c>
      <c r="C79" s="3" t="s">
        <v>67</v>
      </c>
      <c r="D79" s="3" t="s">
        <v>66</v>
      </c>
      <c r="E79" s="3" t="s">
        <v>64</v>
      </c>
      <c r="F79" s="3">
        <v>1999</v>
      </c>
      <c r="G79" s="3">
        <v>1</v>
      </c>
      <c r="H79" s="2">
        <v>3</v>
      </c>
      <c r="I79" s="4">
        <v>53807490</v>
      </c>
    </row>
    <row r="80" spans="1:9">
      <c r="A80" s="5">
        <v>10000079</v>
      </c>
      <c r="B80" s="3" t="s">
        <v>12</v>
      </c>
      <c r="C80" s="3" t="s">
        <v>67</v>
      </c>
      <c r="D80" s="3" t="s">
        <v>66</v>
      </c>
      <c r="E80" s="3" t="s">
        <v>64</v>
      </c>
      <c r="F80" s="3">
        <v>2002</v>
      </c>
      <c r="G80" s="3">
        <v>2</v>
      </c>
      <c r="H80" s="2">
        <v>5</v>
      </c>
      <c r="I80" s="4">
        <v>26310643</v>
      </c>
    </row>
    <row r="81" spans="1:9">
      <c r="A81" s="5">
        <v>10000080</v>
      </c>
      <c r="B81" s="3" t="s">
        <v>13</v>
      </c>
      <c r="C81" s="3" t="s">
        <v>65</v>
      </c>
      <c r="D81" s="3" t="s">
        <v>69</v>
      </c>
      <c r="E81" s="3" t="s">
        <v>63</v>
      </c>
      <c r="F81" s="3">
        <v>1993</v>
      </c>
      <c r="G81" s="3">
        <v>1</v>
      </c>
      <c r="H81" s="2">
        <v>1</v>
      </c>
      <c r="I81" s="4">
        <v>1959470</v>
      </c>
    </row>
    <row r="82" spans="1:9">
      <c r="A82" s="5">
        <v>10000081</v>
      </c>
      <c r="B82" s="3" t="s">
        <v>14</v>
      </c>
      <c r="C82" s="3" t="s">
        <v>65</v>
      </c>
      <c r="D82" s="3" t="s">
        <v>68</v>
      </c>
      <c r="E82" s="3" t="s">
        <v>63</v>
      </c>
      <c r="F82" s="3">
        <v>1985</v>
      </c>
      <c r="G82" s="3">
        <v>2</v>
      </c>
      <c r="H82" s="2">
        <v>0</v>
      </c>
      <c r="I82" s="4">
        <v>13433062</v>
      </c>
    </row>
    <row r="83" spans="1:9">
      <c r="A83" s="5">
        <v>10000082</v>
      </c>
      <c r="B83" s="3" t="s">
        <v>9</v>
      </c>
      <c r="C83" s="3" t="s">
        <v>67</v>
      </c>
      <c r="D83" s="3" t="s">
        <v>68</v>
      </c>
      <c r="E83" s="3" t="s">
        <v>64</v>
      </c>
      <c r="F83" s="3">
        <v>1986</v>
      </c>
      <c r="G83" s="3">
        <v>2</v>
      </c>
      <c r="H83" s="2">
        <v>5</v>
      </c>
      <c r="I83" s="4">
        <v>13470697</v>
      </c>
    </row>
    <row r="84" spans="1:9">
      <c r="A84" s="5">
        <v>10000083</v>
      </c>
      <c r="B84" s="3" t="s">
        <v>10</v>
      </c>
      <c r="C84" s="3" t="s">
        <v>67</v>
      </c>
      <c r="D84" s="3" t="s">
        <v>66</v>
      </c>
      <c r="E84" s="3" t="s">
        <v>64</v>
      </c>
      <c r="F84" s="3">
        <v>1985</v>
      </c>
      <c r="G84" s="3">
        <v>2</v>
      </c>
      <c r="H84" s="2">
        <v>5</v>
      </c>
      <c r="I84" s="4">
        <v>60563454</v>
      </c>
    </row>
    <row r="85" spans="1:9">
      <c r="A85" s="5">
        <v>10000084</v>
      </c>
      <c r="B85" s="3" t="s">
        <v>9</v>
      </c>
      <c r="C85" s="3" t="s">
        <v>67</v>
      </c>
      <c r="D85" s="3" t="s">
        <v>66</v>
      </c>
      <c r="E85" s="3" t="s">
        <v>64</v>
      </c>
      <c r="F85" s="3">
        <v>1994</v>
      </c>
      <c r="G85" s="3">
        <v>2</v>
      </c>
      <c r="H85" s="2">
        <v>4</v>
      </c>
      <c r="I85" s="4">
        <v>66351718</v>
      </c>
    </row>
    <row r="86" spans="1:9">
      <c r="A86" s="5">
        <v>10000085</v>
      </c>
      <c r="B86" s="3" t="s">
        <v>14</v>
      </c>
      <c r="C86" s="3" t="s">
        <v>65</v>
      </c>
      <c r="D86" s="3" t="s">
        <v>68</v>
      </c>
      <c r="E86" s="3" t="s">
        <v>63</v>
      </c>
      <c r="F86" s="3">
        <v>2009</v>
      </c>
      <c r="G86" s="3">
        <v>1</v>
      </c>
      <c r="H86" s="2">
        <v>1</v>
      </c>
      <c r="I86" s="4">
        <v>8749088</v>
      </c>
    </row>
    <row r="87" spans="1:9">
      <c r="A87" s="5">
        <v>10000086</v>
      </c>
      <c r="B87" s="3" t="s">
        <v>11</v>
      </c>
      <c r="C87" s="3" t="s">
        <v>65</v>
      </c>
      <c r="D87" s="3" t="s">
        <v>69</v>
      </c>
      <c r="E87" s="3" t="s">
        <v>62</v>
      </c>
      <c r="F87" s="3">
        <v>2024</v>
      </c>
      <c r="G87" s="3">
        <v>1</v>
      </c>
      <c r="H87" s="2">
        <v>0</v>
      </c>
      <c r="I87" s="4">
        <v>241026</v>
      </c>
    </row>
    <row r="88" spans="1:9">
      <c r="A88" s="5">
        <v>10000087</v>
      </c>
      <c r="B88" s="3" t="s">
        <v>14</v>
      </c>
      <c r="C88" s="3" t="s">
        <v>65</v>
      </c>
      <c r="D88" s="3" t="s">
        <v>68</v>
      </c>
      <c r="E88" s="3" t="s">
        <v>63</v>
      </c>
      <c r="F88" s="3">
        <v>2007</v>
      </c>
      <c r="G88" s="3">
        <v>1</v>
      </c>
      <c r="H88" s="2">
        <v>1</v>
      </c>
      <c r="I88" s="4">
        <v>15920165</v>
      </c>
    </row>
    <row r="89" spans="1:9">
      <c r="A89" s="5">
        <v>10000088</v>
      </c>
      <c r="B89" s="3" t="s">
        <v>10</v>
      </c>
      <c r="C89" s="3" t="s">
        <v>67</v>
      </c>
      <c r="D89" s="3" t="s">
        <v>66</v>
      </c>
      <c r="E89" s="3" t="s">
        <v>64</v>
      </c>
      <c r="F89" s="3">
        <v>2012</v>
      </c>
      <c r="G89" s="3">
        <v>5</v>
      </c>
      <c r="H89" s="2">
        <v>5</v>
      </c>
      <c r="I89" s="4">
        <v>64856668</v>
      </c>
    </row>
    <row r="90" spans="1:9">
      <c r="A90" s="5">
        <v>10000089</v>
      </c>
      <c r="B90" s="3" t="s">
        <v>10</v>
      </c>
      <c r="C90" s="3" t="s">
        <v>67</v>
      </c>
      <c r="D90" s="3" t="s">
        <v>68</v>
      </c>
      <c r="E90" s="3" t="s">
        <v>64</v>
      </c>
      <c r="F90" s="3">
        <v>1995</v>
      </c>
      <c r="G90" s="3">
        <v>1</v>
      </c>
      <c r="H90" s="2">
        <v>3</v>
      </c>
      <c r="I90" s="4">
        <v>10349188</v>
      </c>
    </row>
    <row r="91" spans="1:9">
      <c r="A91" s="5">
        <v>10000090</v>
      </c>
      <c r="B91" s="3" t="s">
        <v>12</v>
      </c>
      <c r="C91" s="3" t="s">
        <v>67</v>
      </c>
      <c r="D91" s="3" t="s">
        <v>69</v>
      </c>
      <c r="E91" s="3" t="s">
        <v>63</v>
      </c>
      <c r="F91" s="3">
        <v>1989</v>
      </c>
      <c r="G91" s="3">
        <v>3</v>
      </c>
      <c r="H91" s="2">
        <v>2</v>
      </c>
      <c r="I91" s="4">
        <v>6113173</v>
      </c>
    </row>
    <row r="92" spans="1:9">
      <c r="A92" s="5">
        <v>10000091</v>
      </c>
      <c r="B92" s="3" t="s">
        <v>12</v>
      </c>
      <c r="C92" s="3" t="s">
        <v>67</v>
      </c>
      <c r="D92" s="3" t="s">
        <v>69</v>
      </c>
      <c r="E92" s="3" t="s">
        <v>64</v>
      </c>
      <c r="F92" s="3">
        <v>2022</v>
      </c>
      <c r="G92" s="3">
        <v>5</v>
      </c>
      <c r="H92" s="2">
        <v>5</v>
      </c>
      <c r="I92" s="4">
        <v>3821943</v>
      </c>
    </row>
    <row r="93" spans="1:9">
      <c r="A93" s="5">
        <v>10000092</v>
      </c>
      <c r="B93" s="3" t="s">
        <v>12</v>
      </c>
      <c r="C93" s="3" t="s">
        <v>67</v>
      </c>
      <c r="D93" s="3" t="s">
        <v>69</v>
      </c>
      <c r="E93" s="3" t="s">
        <v>64</v>
      </c>
      <c r="F93" s="3">
        <v>2020</v>
      </c>
      <c r="G93" s="3">
        <v>2</v>
      </c>
      <c r="H93" s="2">
        <v>4</v>
      </c>
      <c r="I93" s="4">
        <v>5934881</v>
      </c>
    </row>
    <row r="94" spans="1:9">
      <c r="A94" s="5">
        <v>10000093</v>
      </c>
      <c r="B94" s="3" t="s">
        <v>11</v>
      </c>
      <c r="C94" s="3" t="s">
        <v>65</v>
      </c>
      <c r="D94" s="3" t="s">
        <v>66</v>
      </c>
      <c r="E94" s="3" t="s">
        <v>64</v>
      </c>
      <c r="F94" s="3">
        <v>2021</v>
      </c>
      <c r="G94" s="3">
        <v>4</v>
      </c>
      <c r="H94" s="2">
        <v>5</v>
      </c>
      <c r="I94" s="4">
        <v>58397092</v>
      </c>
    </row>
    <row r="95" spans="1:9">
      <c r="A95" s="5">
        <v>10000094</v>
      </c>
      <c r="B95" s="3" t="s">
        <v>10</v>
      </c>
      <c r="C95" s="3" t="s">
        <v>67</v>
      </c>
      <c r="D95" s="3" t="s">
        <v>66</v>
      </c>
      <c r="E95" s="3" t="s">
        <v>64</v>
      </c>
      <c r="F95" s="3">
        <v>1998</v>
      </c>
      <c r="G95" s="3">
        <v>1</v>
      </c>
      <c r="H95" s="2">
        <v>3</v>
      </c>
      <c r="I95" s="4">
        <v>55626689</v>
      </c>
    </row>
    <row r="96" spans="1:9">
      <c r="A96" s="5">
        <v>10000095</v>
      </c>
      <c r="B96" s="3" t="s">
        <v>14</v>
      </c>
      <c r="C96" s="3" t="s">
        <v>65</v>
      </c>
      <c r="D96" s="3" t="s">
        <v>66</v>
      </c>
      <c r="E96" s="3" t="s">
        <v>64</v>
      </c>
      <c r="F96" s="3">
        <v>2023</v>
      </c>
      <c r="G96" s="3">
        <v>1</v>
      </c>
      <c r="H96" s="2">
        <v>5</v>
      </c>
      <c r="I96" s="4">
        <v>56655153</v>
      </c>
    </row>
    <row r="97" spans="1:9">
      <c r="A97" s="5">
        <v>10000096</v>
      </c>
      <c r="B97" s="3" t="s">
        <v>12</v>
      </c>
      <c r="C97" s="3" t="s">
        <v>67</v>
      </c>
      <c r="D97" s="3" t="s">
        <v>68</v>
      </c>
      <c r="E97" s="3" t="s">
        <v>64</v>
      </c>
      <c r="F97" s="3">
        <v>1999</v>
      </c>
      <c r="G97" s="3">
        <v>3</v>
      </c>
      <c r="H97" s="2">
        <v>4</v>
      </c>
      <c r="I97" s="4">
        <v>15834313</v>
      </c>
    </row>
    <row r="98" spans="1:9">
      <c r="A98" s="5">
        <v>10000097</v>
      </c>
      <c r="B98" s="3" t="s">
        <v>10</v>
      </c>
      <c r="C98" s="3" t="s">
        <v>67</v>
      </c>
      <c r="D98" s="3" t="s">
        <v>66</v>
      </c>
      <c r="E98" s="3" t="s">
        <v>64</v>
      </c>
      <c r="F98" s="3">
        <v>1987</v>
      </c>
      <c r="G98" s="3">
        <v>1</v>
      </c>
      <c r="H98" s="2">
        <v>5</v>
      </c>
      <c r="I98" s="4">
        <v>39291582</v>
      </c>
    </row>
    <row r="99" spans="1:9">
      <c r="A99" s="5">
        <v>10000098</v>
      </c>
      <c r="B99" s="3" t="s">
        <v>13</v>
      </c>
      <c r="C99" s="3" t="s">
        <v>65</v>
      </c>
      <c r="D99" s="3" t="s">
        <v>68</v>
      </c>
      <c r="E99" s="3" t="s">
        <v>63</v>
      </c>
      <c r="F99" s="3">
        <v>2007</v>
      </c>
      <c r="G99" s="3">
        <v>1</v>
      </c>
      <c r="H99" s="2">
        <v>1</v>
      </c>
      <c r="I99" s="4">
        <v>11278394</v>
      </c>
    </row>
    <row r="100" spans="1:9">
      <c r="A100" s="5">
        <v>10000099</v>
      </c>
      <c r="B100" s="3" t="s">
        <v>11</v>
      </c>
      <c r="C100" s="3" t="s">
        <v>65</v>
      </c>
      <c r="D100" s="3" t="s">
        <v>69</v>
      </c>
      <c r="E100" s="3" t="s">
        <v>62</v>
      </c>
      <c r="F100" s="3">
        <v>1992</v>
      </c>
      <c r="G100" s="3">
        <v>1</v>
      </c>
      <c r="H100" s="2">
        <v>0</v>
      </c>
      <c r="I100" s="4">
        <v>593991</v>
      </c>
    </row>
    <row r="101" spans="1:9">
      <c r="A101" s="5">
        <v>10000100</v>
      </c>
      <c r="B101" s="3" t="s">
        <v>13</v>
      </c>
      <c r="C101" s="3" t="s">
        <v>65</v>
      </c>
      <c r="D101" s="3" t="s">
        <v>68</v>
      </c>
      <c r="E101" s="3" t="s">
        <v>64</v>
      </c>
      <c r="F101" s="3">
        <v>1983</v>
      </c>
      <c r="G101" s="3">
        <v>2</v>
      </c>
      <c r="H101" s="2">
        <v>3</v>
      </c>
      <c r="I101" s="4">
        <v>18274033</v>
      </c>
    </row>
    <row r="102" spans="1:9">
      <c r="A102" s="5">
        <v>10000101</v>
      </c>
      <c r="B102" s="3" t="s">
        <v>13</v>
      </c>
      <c r="C102" s="3" t="s">
        <v>65</v>
      </c>
      <c r="D102" s="3" t="s">
        <v>68</v>
      </c>
      <c r="E102" s="3" t="s">
        <v>63</v>
      </c>
      <c r="F102" s="3">
        <v>2024</v>
      </c>
      <c r="G102" s="3">
        <v>4</v>
      </c>
      <c r="H102" s="2">
        <v>1</v>
      </c>
      <c r="I102" s="4">
        <v>12359918</v>
      </c>
    </row>
    <row r="103" spans="1:9">
      <c r="A103" s="5">
        <v>10000102</v>
      </c>
      <c r="B103" s="3" t="s">
        <v>13</v>
      </c>
      <c r="C103" s="3" t="s">
        <v>65</v>
      </c>
      <c r="D103" s="3" t="s">
        <v>68</v>
      </c>
      <c r="E103" s="3" t="s">
        <v>63</v>
      </c>
      <c r="F103" s="3">
        <v>2010</v>
      </c>
      <c r="G103" s="3">
        <v>5</v>
      </c>
      <c r="H103" s="2">
        <v>1</v>
      </c>
      <c r="I103" s="4">
        <v>13303825</v>
      </c>
    </row>
    <row r="104" spans="1:9">
      <c r="A104" s="5">
        <v>10000103</v>
      </c>
      <c r="B104" s="3" t="s">
        <v>11</v>
      </c>
      <c r="C104" s="3" t="s">
        <v>65</v>
      </c>
      <c r="D104" s="3" t="s">
        <v>68</v>
      </c>
      <c r="E104" s="3" t="s">
        <v>63</v>
      </c>
      <c r="F104" s="3">
        <v>1985</v>
      </c>
      <c r="G104" s="3">
        <v>2</v>
      </c>
      <c r="H104" s="2">
        <v>1</v>
      </c>
      <c r="I104" s="4">
        <v>14434288</v>
      </c>
    </row>
    <row r="105" spans="1:9">
      <c r="A105" s="5">
        <v>10000104</v>
      </c>
      <c r="B105" s="3" t="s">
        <v>13</v>
      </c>
      <c r="C105" s="3" t="s">
        <v>65</v>
      </c>
      <c r="D105" s="3" t="s">
        <v>66</v>
      </c>
      <c r="E105" s="3" t="s">
        <v>64</v>
      </c>
      <c r="F105" s="3">
        <v>1998</v>
      </c>
      <c r="G105" s="3">
        <v>2</v>
      </c>
      <c r="H105" s="2">
        <v>3</v>
      </c>
      <c r="I105" s="4">
        <v>40744082</v>
      </c>
    </row>
    <row r="106" spans="1:9">
      <c r="A106" s="5">
        <v>10000105</v>
      </c>
      <c r="B106" s="3" t="s">
        <v>10</v>
      </c>
      <c r="C106" s="3" t="s">
        <v>67</v>
      </c>
      <c r="D106" s="3" t="s">
        <v>69</v>
      </c>
      <c r="E106" s="3" t="s">
        <v>64</v>
      </c>
      <c r="F106" s="3">
        <v>1993</v>
      </c>
      <c r="G106" s="3">
        <v>4</v>
      </c>
      <c r="H106" s="2">
        <v>4</v>
      </c>
      <c r="I106" s="4">
        <v>4308134</v>
      </c>
    </row>
    <row r="107" spans="1:9">
      <c r="A107" s="5">
        <v>10000106</v>
      </c>
      <c r="B107" s="3" t="s">
        <v>13</v>
      </c>
      <c r="C107" s="3" t="s">
        <v>65</v>
      </c>
      <c r="D107" s="3" t="s">
        <v>69</v>
      </c>
      <c r="E107" s="3" t="s">
        <v>62</v>
      </c>
      <c r="F107" s="3">
        <v>1983</v>
      </c>
      <c r="G107" s="3">
        <v>1</v>
      </c>
      <c r="H107" s="2">
        <v>0</v>
      </c>
      <c r="I107" s="4">
        <v>398256</v>
      </c>
    </row>
    <row r="108" spans="1:9">
      <c r="A108" s="5">
        <v>10000107</v>
      </c>
      <c r="B108" s="3" t="s">
        <v>10</v>
      </c>
      <c r="C108" s="3" t="s">
        <v>67</v>
      </c>
      <c r="D108" s="3" t="s">
        <v>66</v>
      </c>
      <c r="E108" s="3" t="s">
        <v>64</v>
      </c>
      <c r="F108" s="3">
        <v>2004</v>
      </c>
      <c r="G108" s="3">
        <v>3</v>
      </c>
      <c r="H108" s="2">
        <v>5</v>
      </c>
      <c r="I108" s="4">
        <v>43898310</v>
      </c>
    </row>
    <row r="109" spans="1:9">
      <c r="A109" s="5">
        <v>10000108</v>
      </c>
      <c r="B109" s="3" t="s">
        <v>14</v>
      </c>
      <c r="C109" s="3" t="s">
        <v>65</v>
      </c>
      <c r="D109" s="3" t="s">
        <v>66</v>
      </c>
      <c r="E109" s="3" t="s">
        <v>64</v>
      </c>
      <c r="F109" s="3">
        <v>2019</v>
      </c>
      <c r="G109" s="3">
        <v>5</v>
      </c>
      <c r="H109" s="2">
        <v>4</v>
      </c>
      <c r="I109" s="4">
        <v>43863854</v>
      </c>
    </row>
    <row r="110" spans="1:9">
      <c r="A110" s="5">
        <v>10000109</v>
      </c>
      <c r="B110" s="3" t="s">
        <v>11</v>
      </c>
      <c r="C110" s="3" t="s">
        <v>65</v>
      </c>
      <c r="D110" s="3" t="s">
        <v>69</v>
      </c>
      <c r="E110" s="3" t="s">
        <v>62</v>
      </c>
      <c r="F110" s="3">
        <v>2008</v>
      </c>
      <c r="G110" s="3">
        <v>1</v>
      </c>
      <c r="H110" s="2">
        <v>0</v>
      </c>
      <c r="I110" s="4">
        <v>589672</v>
      </c>
    </row>
    <row r="111" spans="1:9">
      <c r="A111" s="5">
        <v>10000110</v>
      </c>
      <c r="B111" s="3" t="s">
        <v>9</v>
      </c>
      <c r="C111" s="3" t="s">
        <v>67</v>
      </c>
      <c r="D111" s="3" t="s">
        <v>66</v>
      </c>
      <c r="E111" s="3" t="s">
        <v>64</v>
      </c>
      <c r="F111" s="3">
        <v>2003</v>
      </c>
      <c r="G111" s="3">
        <v>5</v>
      </c>
      <c r="H111" s="2">
        <v>5</v>
      </c>
      <c r="I111" s="4">
        <v>59081518</v>
      </c>
    </row>
    <row r="112" spans="1:9">
      <c r="A112" s="5">
        <v>10000111</v>
      </c>
      <c r="B112" s="3" t="s">
        <v>11</v>
      </c>
      <c r="C112" s="3" t="s">
        <v>65</v>
      </c>
      <c r="D112" s="3" t="s">
        <v>66</v>
      </c>
      <c r="E112" s="3" t="s">
        <v>64</v>
      </c>
      <c r="F112" s="3">
        <v>2010</v>
      </c>
      <c r="G112" s="3">
        <v>2</v>
      </c>
      <c r="H112" s="2">
        <v>3</v>
      </c>
      <c r="I112" s="4">
        <v>33698015</v>
      </c>
    </row>
    <row r="113" spans="1:9">
      <c r="A113" s="5">
        <v>10000112</v>
      </c>
      <c r="B113" s="3" t="s">
        <v>11</v>
      </c>
      <c r="C113" s="3" t="s">
        <v>65</v>
      </c>
      <c r="D113" s="3" t="s">
        <v>68</v>
      </c>
      <c r="E113" s="3" t="s">
        <v>63</v>
      </c>
      <c r="F113" s="3">
        <v>1988</v>
      </c>
      <c r="G113" s="3">
        <v>5</v>
      </c>
      <c r="H113" s="2">
        <v>1</v>
      </c>
      <c r="I113" s="4">
        <v>11762431</v>
      </c>
    </row>
    <row r="114" spans="1:9">
      <c r="A114" s="5">
        <v>10000113</v>
      </c>
      <c r="B114" s="3" t="s">
        <v>12</v>
      </c>
      <c r="C114" s="3" t="s">
        <v>67</v>
      </c>
      <c r="D114" s="3" t="s">
        <v>69</v>
      </c>
      <c r="E114" s="3" t="s">
        <v>64</v>
      </c>
      <c r="F114" s="3">
        <v>2014</v>
      </c>
      <c r="G114" s="3">
        <v>2</v>
      </c>
      <c r="H114" s="2">
        <v>3</v>
      </c>
      <c r="I114" s="4">
        <v>4074262</v>
      </c>
    </row>
    <row r="115" spans="1:9">
      <c r="A115" s="5">
        <v>10000114</v>
      </c>
      <c r="B115" s="3" t="s">
        <v>14</v>
      </c>
      <c r="C115" s="3" t="s">
        <v>65</v>
      </c>
      <c r="D115" s="3" t="s">
        <v>66</v>
      </c>
      <c r="E115" s="3" t="s">
        <v>64</v>
      </c>
      <c r="F115" s="3">
        <v>2004</v>
      </c>
      <c r="G115" s="3">
        <v>3</v>
      </c>
      <c r="H115" s="2">
        <v>3</v>
      </c>
      <c r="I115" s="4">
        <v>43998440</v>
      </c>
    </row>
    <row r="116" spans="1:9">
      <c r="A116" s="5">
        <v>10000115</v>
      </c>
      <c r="B116" s="3" t="s">
        <v>10</v>
      </c>
      <c r="C116" s="3" t="s">
        <v>67</v>
      </c>
      <c r="D116" s="3" t="s">
        <v>69</v>
      </c>
      <c r="E116" s="3" t="s">
        <v>64</v>
      </c>
      <c r="F116" s="3">
        <v>1987</v>
      </c>
      <c r="G116" s="3">
        <v>4</v>
      </c>
      <c r="H116" s="2">
        <v>3</v>
      </c>
      <c r="I116" s="4">
        <v>3594040</v>
      </c>
    </row>
    <row r="117" spans="1:9">
      <c r="A117" s="5">
        <v>10000116</v>
      </c>
      <c r="B117" s="3" t="s">
        <v>11</v>
      </c>
      <c r="C117" s="3" t="s">
        <v>65</v>
      </c>
      <c r="D117" s="3" t="s">
        <v>66</v>
      </c>
      <c r="E117" s="3" t="s">
        <v>64</v>
      </c>
      <c r="F117" s="3">
        <v>1987</v>
      </c>
      <c r="G117" s="3">
        <v>4</v>
      </c>
      <c r="H117" s="2">
        <v>4</v>
      </c>
      <c r="I117" s="4">
        <v>60073832</v>
      </c>
    </row>
    <row r="118" spans="1:9">
      <c r="A118" s="5">
        <v>10000117</v>
      </c>
      <c r="B118" s="3" t="s">
        <v>14</v>
      </c>
      <c r="C118" s="3" t="s">
        <v>65</v>
      </c>
      <c r="D118" s="3" t="s">
        <v>66</v>
      </c>
      <c r="E118" s="3" t="s">
        <v>64</v>
      </c>
      <c r="F118" s="3">
        <v>1999</v>
      </c>
      <c r="G118" s="3">
        <v>5</v>
      </c>
      <c r="H118" s="2">
        <v>5</v>
      </c>
      <c r="I118" s="4">
        <v>54809139</v>
      </c>
    </row>
    <row r="119" spans="1:9">
      <c r="A119" s="5">
        <v>10000118</v>
      </c>
      <c r="B119" s="3" t="s">
        <v>10</v>
      </c>
      <c r="C119" s="3" t="s">
        <v>67</v>
      </c>
      <c r="D119" s="3" t="s">
        <v>66</v>
      </c>
      <c r="E119" s="3" t="s">
        <v>64</v>
      </c>
      <c r="F119" s="3">
        <v>2023</v>
      </c>
      <c r="G119" s="3">
        <v>5</v>
      </c>
      <c r="H119" s="2">
        <v>3</v>
      </c>
      <c r="I119" s="4">
        <v>30545996</v>
      </c>
    </row>
    <row r="120" spans="1:9">
      <c r="A120" s="5">
        <v>10000119</v>
      </c>
      <c r="B120" s="3" t="s">
        <v>10</v>
      </c>
      <c r="C120" s="3" t="s">
        <v>67</v>
      </c>
      <c r="D120" s="3" t="s">
        <v>68</v>
      </c>
      <c r="E120" s="3" t="s">
        <v>64</v>
      </c>
      <c r="F120" s="3">
        <v>2005</v>
      </c>
      <c r="G120" s="3">
        <v>5</v>
      </c>
      <c r="H120" s="2">
        <v>4</v>
      </c>
      <c r="I120" s="4">
        <v>17961576</v>
      </c>
    </row>
    <row r="121" spans="1:9">
      <c r="A121" s="5">
        <v>10000120</v>
      </c>
      <c r="B121" s="3" t="s">
        <v>11</v>
      </c>
      <c r="C121" s="3" t="s">
        <v>65</v>
      </c>
      <c r="D121" s="3" t="s">
        <v>68</v>
      </c>
      <c r="E121" s="3" t="s">
        <v>64</v>
      </c>
      <c r="F121" s="3">
        <v>1984</v>
      </c>
      <c r="G121" s="3">
        <v>2</v>
      </c>
      <c r="H121" s="2">
        <v>5</v>
      </c>
      <c r="I121" s="4">
        <v>10927522</v>
      </c>
    </row>
    <row r="122" spans="1:9">
      <c r="A122" s="5">
        <v>10000121</v>
      </c>
      <c r="B122" s="3" t="s">
        <v>13</v>
      </c>
      <c r="C122" s="3" t="s">
        <v>65</v>
      </c>
      <c r="D122" s="3" t="s">
        <v>66</v>
      </c>
      <c r="E122" s="3" t="s">
        <v>64</v>
      </c>
      <c r="F122" s="3">
        <v>2019</v>
      </c>
      <c r="G122" s="3">
        <v>4</v>
      </c>
      <c r="H122" s="2">
        <v>5</v>
      </c>
      <c r="I122" s="4">
        <v>46956659</v>
      </c>
    </row>
    <row r="123" spans="1:9">
      <c r="A123" s="5">
        <v>10000122</v>
      </c>
      <c r="B123" s="3" t="s">
        <v>13</v>
      </c>
      <c r="C123" s="3" t="s">
        <v>65</v>
      </c>
      <c r="D123" s="3" t="s">
        <v>68</v>
      </c>
      <c r="E123" s="3" t="s">
        <v>64</v>
      </c>
      <c r="F123" s="3">
        <v>1987</v>
      </c>
      <c r="G123" s="3">
        <v>3</v>
      </c>
      <c r="H123" s="2">
        <v>5</v>
      </c>
      <c r="I123" s="4">
        <v>12741717</v>
      </c>
    </row>
    <row r="124" spans="1:9">
      <c r="A124" s="5">
        <v>10000123</v>
      </c>
      <c r="B124" s="3" t="s">
        <v>14</v>
      </c>
      <c r="C124" s="3" t="s">
        <v>65</v>
      </c>
      <c r="D124" s="3" t="s">
        <v>68</v>
      </c>
      <c r="E124" s="3" t="s">
        <v>64</v>
      </c>
      <c r="F124" s="3">
        <v>2001</v>
      </c>
      <c r="G124" s="3">
        <v>4</v>
      </c>
      <c r="H124" s="2">
        <v>4</v>
      </c>
      <c r="I124" s="4">
        <v>19577029</v>
      </c>
    </row>
    <row r="125" spans="1:9">
      <c r="A125" s="5">
        <v>10000124</v>
      </c>
      <c r="B125" s="3" t="s">
        <v>14</v>
      </c>
      <c r="C125" s="3" t="s">
        <v>65</v>
      </c>
      <c r="D125" s="3" t="s">
        <v>66</v>
      </c>
      <c r="E125" s="3" t="s">
        <v>64</v>
      </c>
      <c r="F125" s="3">
        <v>2017</v>
      </c>
      <c r="G125" s="3">
        <v>5</v>
      </c>
      <c r="H125" s="2">
        <v>5</v>
      </c>
      <c r="I125" s="4">
        <v>50364947</v>
      </c>
    </row>
    <row r="126" spans="1:9">
      <c r="A126" s="5">
        <v>10000125</v>
      </c>
      <c r="B126" s="3" t="s">
        <v>10</v>
      </c>
      <c r="C126" s="3" t="s">
        <v>67</v>
      </c>
      <c r="D126" s="3" t="s">
        <v>66</v>
      </c>
      <c r="E126" s="3" t="s">
        <v>64</v>
      </c>
      <c r="F126" s="3">
        <v>2018</v>
      </c>
      <c r="G126" s="3">
        <v>5</v>
      </c>
      <c r="H126" s="2">
        <v>4</v>
      </c>
      <c r="I126" s="4">
        <v>57952256</v>
      </c>
    </row>
    <row r="127" spans="1:9">
      <c r="A127" s="5">
        <v>10000126</v>
      </c>
      <c r="B127" s="3" t="s">
        <v>11</v>
      </c>
      <c r="C127" s="3" t="s">
        <v>65</v>
      </c>
      <c r="D127" s="3" t="s">
        <v>69</v>
      </c>
      <c r="E127" s="3" t="s">
        <v>64</v>
      </c>
      <c r="F127" s="3">
        <v>2006</v>
      </c>
      <c r="G127" s="3">
        <v>3</v>
      </c>
      <c r="H127" s="2">
        <v>5</v>
      </c>
      <c r="I127" s="4">
        <v>1877345</v>
      </c>
    </row>
    <row r="128" spans="1:9">
      <c r="A128" s="5">
        <v>10000127</v>
      </c>
      <c r="B128" s="3" t="s">
        <v>9</v>
      </c>
      <c r="C128" s="3" t="s">
        <v>67</v>
      </c>
      <c r="D128" s="3" t="s">
        <v>68</v>
      </c>
      <c r="E128" s="3" t="s">
        <v>64</v>
      </c>
      <c r="F128" s="3">
        <v>1984</v>
      </c>
      <c r="G128" s="3">
        <v>5</v>
      </c>
      <c r="H128" s="2">
        <v>5</v>
      </c>
      <c r="I128" s="4">
        <v>12276754</v>
      </c>
    </row>
    <row r="129" spans="1:9">
      <c r="A129" s="5">
        <v>10000128</v>
      </c>
      <c r="B129" s="3" t="s">
        <v>10</v>
      </c>
      <c r="C129" s="3" t="s">
        <v>67</v>
      </c>
      <c r="D129" s="3" t="s">
        <v>69</v>
      </c>
      <c r="E129" s="3" t="s">
        <v>62</v>
      </c>
      <c r="F129" s="3">
        <v>1994</v>
      </c>
      <c r="G129" s="3">
        <v>1</v>
      </c>
      <c r="H129" s="2">
        <v>1</v>
      </c>
      <c r="I129" s="4">
        <v>489948</v>
      </c>
    </row>
    <row r="130" spans="1:9">
      <c r="A130" s="5">
        <v>10000129</v>
      </c>
      <c r="B130" s="3" t="s">
        <v>13</v>
      </c>
      <c r="C130" s="3" t="s">
        <v>65</v>
      </c>
      <c r="D130" s="3" t="s">
        <v>66</v>
      </c>
      <c r="E130" s="3" t="s">
        <v>64</v>
      </c>
      <c r="F130" s="3">
        <v>2021</v>
      </c>
      <c r="G130" s="3">
        <v>5</v>
      </c>
      <c r="H130" s="2">
        <v>3</v>
      </c>
      <c r="I130" s="4">
        <v>40771597</v>
      </c>
    </row>
    <row r="131" spans="1:9">
      <c r="A131" s="5">
        <v>10000130</v>
      </c>
      <c r="B131" s="3" t="s">
        <v>9</v>
      </c>
      <c r="C131" s="3" t="s">
        <v>67</v>
      </c>
      <c r="D131" s="3" t="s">
        <v>68</v>
      </c>
      <c r="E131" s="3" t="s">
        <v>63</v>
      </c>
      <c r="F131" s="3">
        <v>2009</v>
      </c>
      <c r="G131" s="3">
        <v>5</v>
      </c>
      <c r="H131" s="2">
        <v>0</v>
      </c>
      <c r="I131" s="4">
        <v>8651263</v>
      </c>
    </row>
    <row r="132" spans="1:9">
      <c r="A132" s="5">
        <v>10000131</v>
      </c>
      <c r="B132" s="3" t="s">
        <v>10</v>
      </c>
      <c r="C132" s="3" t="s">
        <v>67</v>
      </c>
      <c r="D132" s="3" t="s">
        <v>69</v>
      </c>
      <c r="E132" s="3" t="s">
        <v>62</v>
      </c>
      <c r="F132" s="3">
        <v>1988</v>
      </c>
      <c r="G132" s="3">
        <v>1</v>
      </c>
      <c r="H132" s="2">
        <v>2</v>
      </c>
      <c r="I132" s="4">
        <v>667498</v>
      </c>
    </row>
    <row r="133" spans="1:9">
      <c r="A133" s="5">
        <v>10000132</v>
      </c>
      <c r="B133" s="3" t="s">
        <v>11</v>
      </c>
      <c r="C133" s="3" t="s">
        <v>65</v>
      </c>
      <c r="D133" s="3" t="s">
        <v>69</v>
      </c>
      <c r="E133" s="3" t="s">
        <v>62</v>
      </c>
      <c r="F133" s="3">
        <v>1989</v>
      </c>
      <c r="G133" s="3">
        <v>1</v>
      </c>
      <c r="H133" s="2">
        <v>2</v>
      </c>
      <c r="I133" s="4">
        <v>608239</v>
      </c>
    </row>
    <row r="134" spans="1:9">
      <c r="A134" s="5">
        <v>10000133</v>
      </c>
      <c r="B134" s="3" t="s">
        <v>11</v>
      </c>
      <c r="C134" s="3" t="s">
        <v>65</v>
      </c>
      <c r="D134" s="3" t="s">
        <v>66</v>
      </c>
      <c r="E134" s="3" t="s">
        <v>64</v>
      </c>
      <c r="F134" s="3">
        <v>2006</v>
      </c>
      <c r="G134" s="3">
        <v>5</v>
      </c>
      <c r="H134" s="2">
        <v>5</v>
      </c>
      <c r="I134" s="4">
        <v>70010684</v>
      </c>
    </row>
    <row r="135" spans="1:9">
      <c r="A135" s="5">
        <v>10000134</v>
      </c>
      <c r="B135" s="3" t="s">
        <v>11</v>
      </c>
      <c r="C135" s="3" t="s">
        <v>65</v>
      </c>
      <c r="D135" s="3" t="s">
        <v>66</v>
      </c>
      <c r="E135" s="3" t="s">
        <v>64</v>
      </c>
      <c r="F135" s="3">
        <v>1994</v>
      </c>
      <c r="G135" s="3">
        <v>1</v>
      </c>
      <c r="H135" s="2">
        <v>5</v>
      </c>
      <c r="I135" s="4">
        <v>51224516</v>
      </c>
    </row>
    <row r="136" spans="1:9">
      <c r="A136" s="5">
        <v>10000135</v>
      </c>
      <c r="B136" s="3" t="s">
        <v>10</v>
      </c>
      <c r="C136" s="3" t="s">
        <v>67</v>
      </c>
      <c r="D136" s="3" t="s">
        <v>69</v>
      </c>
      <c r="E136" s="3" t="s">
        <v>62</v>
      </c>
      <c r="F136" s="3">
        <v>1998</v>
      </c>
      <c r="G136" s="3">
        <v>1</v>
      </c>
      <c r="H136" s="2">
        <v>0</v>
      </c>
      <c r="I136" s="4">
        <v>482745</v>
      </c>
    </row>
    <row r="137" spans="1:9">
      <c r="A137" s="5">
        <v>10000136</v>
      </c>
      <c r="B137" s="3" t="s">
        <v>12</v>
      </c>
      <c r="C137" s="3" t="s">
        <v>67</v>
      </c>
      <c r="D137" s="3" t="s">
        <v>66</v>
      </c>
      <c r="E137" s="3" t="s">
        <v>64</v>
      </c>
      <c r="F137" s="3">
        <v>2002</v>
      </c>
      <c r="G137" s="3">
        <v>3</v>
      </c>
      <c r="H137" s="2">
        <v>4</v>
      </c>
      <c r="I137" s="4">
        <v>66118333</v>
      </c>
    </row>
    <row r="138" spans="1:9">
      <c r="A138" s="5">
        <v>10000137</v>
      </c>
      <c r="B138" s="3" t="s">
        <v>14</v>
      </c>
      <c r="C138" s="3" t="s">
        <v>65</v>
      </c>
      <c r="D138" s="3" t="s">
        <v>69</v>
      </c>
      <c r="E138" s="3" t="s">
        <v>62</v>
      </c>
      <c r="F138" s="3">
        <v>1991</v>
      </c>
      <c r="G138" s="3">
        <v>1</v>
      </c>
      <c r="H138" s="2">
        <v>0</v>
      </c>
      <c r="I138" s="4">
        <v>540280</v>
      </c>
    </row>
    <row r="139" spans="1:9">
      <c r="A139" s="5">
        <v>10000138</v>
      </c>
      <c r="B139" s="3" t="s">
        <v>13</v>
      </c>
      <c r="C139" s="3" t="s">
        <v>65</v>
      </c>
      <c r="D139" s="3" t="s">
        <v>69</v>
      </c>
      <c r="E139" s="3" t="s">
        <v>62</v>
      </c>
      <c r="F139" s="3">
        <v>1998</v>
      </c>
      <c r="G139" s="3">
        <v>1</v>
      </c>
      <c r="H139" s="2">
        <v>2</v>
      </c>
      <c r="I139" s="4">
        <v>676431</v>
      </c>
    </row>
    <row r="140" spans="1:9">
      <c r="A140" s="5">
        <v>10000139</v>
      </c>
      <c r="B140" s="3" t="s">
        <v>11</v>
      </c>
      <c r="C140" s="3" t="s">
        <v>65</v>
      </c>
      <c r="D140" s="3" t="s">
        <v>69</v>
      </c>
      <c r="E140" s="3" t="s">
        <v>64</v>
      </c>
      <c r="F140" s="3">
        <v>2023</v>
      </c>
      <c r="G140" s="3">
        <v>2</v>
      </c>
      <c r="H140" s="2">
        <v>3</v>
      </c>
      <c r="I140" s="4">
        <v>4387739</v>
      </c>
    </row>
    <row r="141" spans="1:9">
      <c r="A141" s="5">
        <v>10000140</v>
      </c>
      <c r="B141" s="3" t="s">
        <v>9</v>
      </c>
      <c r="C141" s="3" t="s">
        <v>67</v>
      </c>
      <c r="D141" s="3" t="s">
        <v>69</v>
      </c>
      <c r="E141" s="3" t="s">
        <v>62</v>
      </c>
      <c r="F141" s="3">
        <v>2010</v>
      </c>
      <c r="G141" s="3">
        <v>1</v>
      </c>
      <c r="H141" s="2">
        <v>0</v>
      </c>
      <c r="I141" s="4">
        <v>419314</v>
      </c>
    </row>
    <row r="142" spans="1:9">
      <c r="A142" s="5">
        <v>10000141</v>
      </c>
      <c r="B142" s="3" t="s">
        <v>14</v>
      </c>
      <c r="C142" s="3" t="s">
        <v>65</v>
      </c>
      <c r="D142" s="3" t="s">
        <v>68</v>
      </c>
      <c r="E142" s="3" t="s">
        <v>64</v>
      </c>
      <c r="F142" s="3">
        <v>1987</v>
      </c>
      <c r="G142" s="3">
        <v>4</v>
      </c>
      <c r="H142" s="2">
        <v>4</v>
      </c>
      <c r="I142" s="4">
        <v>18670533</v>
      </c>
    </row>
    <row r="143" spans="1:9">
      <c r="A143" s="5">
        <v>10000142</v>
      </c>
      <c r="B143" s="3" t="s">
        <v>11</v>
      </c>
      <c r="C143" s="3" t="s">
        <v>65</v>
      </c>
      <c r="D143" s="3" t="s">
        <v>69</v>
      </c>
      <c r="E143" s="3" t="s">
        <v>62</v>
      </c>
      <c r="F143" s="3">
        <v>2021</v>
      </c>
      <c r="G143" s="3">
        <v>1</v>
      </c>
      <c r="H143" s="2">
        <v>0</v>
      </c>
      <c r="I143" s="4">
        <v>828218</v>
      </c>
    </row>
    <row r="144" spans="1:9">
      <c r="A144" s="5">
        <v>10000143</v>
      </c>
      <c r="B144" s="3" t="s">
        <v>11</v>
      </c>
      <c r="C144" s="3" t="s">
        <v>65</v>
      </c>
      <c r="D144" s="3" t="s">
        <v>66</v>
      </c>
      <c r="E144" s="3" t="s">
        <v>64</v>
      </c>
      <c r="F144" s="3">
        <v>2013</v>
      </c>
      <c r="G144" s="3">
        <v>3</v>
      </c>
      <c r="H144" s="2">
        <v>3</v>
      </c>
      <c r="I144" s="4">
        <v>55738042</v>
      </c>
    </row>
    <row r="145" spans="1:9">
      <c r="A145" s="5">
        <v>10000144</v>
      </c>
      <c r="B145" s="3" t="s">
        <v>14</v>
      </c>
      <c r="C145" s="3" t="s">
        <v>65</v>
      </c>
      <c r="D145" s="3" t="s">
        <v>66</v>
      </c>
      <c r="E145" s="3" t="s">
        <v>64</v>
      </c>
      <c r="F145" s="3">
        <v>2003</v>
      </c>
      <c r="G145" s="3">
        <v>4</v>
      </c>
      <c r="H145" s="2">
        <v>3</v>
      </c>
      <c r="I145" s="4">
        <v>48272249</v>
      </c>
    </row>
    <row r="146" spans="1:9">
      <c r="A146" s="5">
        <v>10000145</v>
      </c>
      <c r="B146" s="3" t="s">
        <v>9</v>
      </c>
      <c r="C146" s="3" t="s">
        <v>67</v>
      </c>
      <c r="D146" s="3" t="s">
        <v>69</v>
      </c>
      <c r="E146" s="3" t="s">
        <v>62</v>
      </c>
      <c r="F146" s="3">
        <v>2024</v>
      </c>
      <c r="G146" s="3">
        <v>1</v>
      </c>
      <c r="H146" s="2">
        <v>0</v>
      </c>
      <c r="I146" s="4">
        <v>518282</v>
      </c>
    </row>
    <row r="147" spans="1:9">
      <c r="A147" s="5">
        <v>10000146</v>
      </c>
      <c r="B147" s="3" t="s">
        <v>14</v>
      </c>
      <c r="C147" s="3" t="s">
        <v>65</v>
      </c>
      <c r="D147" s="3" t="s">
        <v>66</v>
      </c>
      <c r="E147" s="3" t="s">
        <v>64</v>
      </c>
      <c r="F147" s="3">
        <v>2021</v>
      </c>
      <c r="G147" s="3">
        <v>3</v>
      </c>
      <c r="H147" s="2">
        <v>4</v>
      </c>
      <c r="I147" s="4">
        <v>62371312</v>
      </c>
    </row>
    <row r="148" spans="1:9">
      <c r="A148" s="5">
        <v>10000147</v>
      </c>
      <c r="B148" s="3" t="s">
        <v>12</v>
      </c>
      <c r="C148" s="3" t="s">
        <v>67</v>
      </c>
      <c r="D148" s="3" t="s">
        <v>69</v>
      </c>
      <c r="E148" s="3" t="s">
        <v>64</v>
      </c>
      <c r="F148" s="3">
        <v>2013</v>
      </c>
      <c r="G148" s="3">
        <v>1</v>
      </c>
      <c r="H148" s="2">
        <v>3</v>
      </c>
      <c r="I148" s="4">
        <v>3355110</v>
      </c>
    </row>
    <row r="149" spans="1:9">
      <c r="A149" s="5">
        <v>10000148</v>
      </c>
      <c r="B149" s="3" t="s">
        <v>14</v>
      </c>
      <c r="C149" s="3" t="s">
        <v>65</v>
      </c>
      <c r="D149" s="3" t="s">
        <v>66</v>
      </c>
      <c r="E149" s="3" t="s">
        <v>64</v>
      </c>
      <c r="F149" s="3">
        <v>2000</v>
      </c>
      <c r="G149" s="3">
        <v>1</v>
      </c>
      <c r="H149" s="2">
        <v>5</v>
      </c>
      <c r="I149" s="4">
        <v>53349597</v>
      </c>
    </row>
    <row r="150" spans="1:9">
      <c r="A150" s="5">
        <v>10000149</v>
      </c>
      <c r="B150" s="3" t="s">
        <v>14</v>
      </c>
      <c r="C150" s="3" t="s">
        <v>65</v>
      </c>
      <c r="D150" s="3" t="s">
        <v>69</v>
      </c>
      <c r="E150" s="3" t="s">
        <v>64</v>
      </c>
      <c r="F150" s="3">
        <v>1989</v>
      </c>
      <c r="G150" s="3">
        <v>2</v>
      </c>
      <c r="H150" s="2">
        <v>4</v>
      </c>
      <c r="I150" s="4">
        <v>4519865</v>
      </c>
    </row>
    <row r="151" spans="1:9">
      <c r="A151" s="5">
        <v>10000150</v>
      </c>
      <c r="B151" s="3" t="s">
        <v>10</v>
      </c>
      <c r="C151" s="3" t="s">
        <v>67</v>
      </c>
      <c r="D151" s="3" t="s">
        <v>69</v>
      </c>
      <c r="E151" s="3" t="s">
        <v>62</v>
      </c>
      <c r="F151" s="3">
        <v>2005</v>
      </c>
      <c r="G151" s="3">
        <v>1</v>
      </c>
      <c r="H151" s="2">
        <v>1</v>
      </c>
      <c r="I151" s="4">
        <v>555300</v>
      </c>
    </row>
    <row r="152" spans="1:9">
      <c r="A152" s="5">
        <v>10000151</v>
      </c>
      <c r="B152" s="3" t="s">
        <v>9</v>
      </c>
      <c r="C152" s="3" t="s">
        <v>67</v>
      </c>
      <c r="D152" s="3" t="s">
        <v>66</v>
      </c>
      <c r="E152" s="3" t="s">
        <v>64</v>
      </c>
      <c r="F152" s="3">
        <v>2004</v>
      </c>
      <c r="G152" s="3">
        <v>3</v>
      </c>
      <c r="H152" s="2">
        <v>4</v>
      </c>
      <c r="I152" s="4">
        <v>35253593</v>
      </c>
    </row>
    <row r="153" spans="1:9">
      <c r="A153" s="5">
        <v>10000152</v>
      </c>
      <c r="B153" s="3" t="s">
        <v>9</v>
      </c>
      <c r="C153" s="3" t="s">
        <v>67</v>
      </c>
      <c r="D153" s="3" t="s">
        <v>69</v>
      </c>
      <c r="E153" s="3" t="s">
        <v>64</v>
      </c>
      <c r="F153" s="3">
        <v>1983</v>
      </c>
      <c r="G153" s="3">
        <v>3</v>
      </c>
      <c r="H153" s="2">
        <v>5</v>
      </c>
      <c r="I153" s="4">
        <v>3722434</v>
      </c>
    </row>
    <row r="154" spans="1:9">
      <c r="A154" s="5">
        <v>10000153</v>
      </c>
      <c r="B154" s="3" t="s">
        <v>9</v>
      </c>
      <c r="C154" s="3" t="s">
        <v>67</v>
      </c>
      <c r="D154" s="3" t="s">
        <v>68</v>
      </c>
      <c r="E154" s="3" t="s">
        <v>64</v>
      </c>
      <c r="F154" s="3">
        <v>1995</v>
      </c>
      <c r="G154" s="3">
        <v>1</v>
      </c>
      <c r="H154" s="2">
        <v>5</v>
      </c>
      <c r="I154" s="4">
        <v>14556553</v>
      </c>
    </row>
    <row r="155" spans="1:9">
      <c r="A155" s="5">
        <v>10000154</v>
      </c>
      <c r="B155" s="3" t="s">
        <v>9</v>
      </c>
      <c r="C155" s="3" t="s">
        <v>67</v>
      </c>
      <c r="D155" s="3" t="s">
        <v>68</v>
      </c>
      <c r="E155" s="3" t="s">
        <v>63</v>
      </c>
      <c r="F155" s="3">
        <v>1988</v>
      </c>
      <c r="G155" s="3">
        <v>1</v>
      </c>
      <c r="H155" s="2">
        <v>1</v>
      </c>
      <c r="I155" s="4">
        <v>9428808</v>
      </c>
    </row>
    <row r="156" spans="1:9">
      <c r="A156" s="5">
        <v>10000155</v>
      </c>
      <c r="B156" s="3" t="s">
        <v>9</v>
      </c>
      <c r="C156" s="3" t="s">
        <v>67</v>
      </c>
      <c r="D156" s="3" t="s">
        <v>69</v>
      </c>
      <c r="E156" s="3" t="s">
        <v>62</v>
      </c>
      <c r="F156" s="3">
        <v>1999</v>
      </c>
      <c r="G156" s="3">
        <v>1</v>
      </c>
      <c r="H156" s="2">
        <v>1</v>
      </c>
      <c r="I156" s="4">
        <v>455738</v>
      </c>
    </row>
    <row r="157" spans="1:9">
      <c r="A157" s="5">
        <v>10000156</v>
      </c>
      <c r="B157" s="3" t="s">
        <v>12</v>
      </c>
      <c r="C157" s="3" t="s">
        <v>67</v>
      </c>
      <c r="D157" s="3" t="s">
        <v>69</v>
      </c>
      <c r="E157" s="3" t="s">
        <v>63</v>
      </c>
      <c r="F157" s="3">
        <v>2010</v>
      </c>
      <c r="G157" s="3">
        <v>3</v>
      </c>
      <c r="H157" s="2">
        <v>0</v>
      </c>
      <c r="I157" s="4">
        <v>4984383</v>
      </c>
    </row>
    <row r="158" spans="1:9">
      <c r="A158" s="5">
        <v>10000157</v>
      </c>
      <c r="B158" s="3" t="s">
        <v>9</v>
      </c>
      <c r="C158" s="3" t="s">
        <v>67</v>
      </c>
      <c r="D158" s="3" t="s">
        <v>68</v>
      </c>
      <c r="E158" s="3" t="s">
        <v>64</v>
      </c>
      <c r="F158" s="3">
        <v>2009</v>
      </c>
      <c r="G158" s="3">
        <v>2</v>
      </c>
      <c r="H158" s="2">
        <v>5</v>
      </c>
      <c r="I158" s="4">
        <v>17578339</v>
      </c>
    </row>
    <row r="159" spans="1:9">
      <c r="A159" s="5">
        <v>10000158</v>
      </c>
      <c r="B159" s="3" t="s">
        <v>13</v>
      </c>
      <c r="C159" s="3" t="s">
        <v>65</v>
      </c>
      <c r="D159" s="3" t="s">
        <v>66</v>
      </c>
      <c r="E159" s="3" t="s">
        <v>64</v>
      </c>
      <c r="F159" s="3">
        <v>1986</v>
      </c>
      <c r="G159" s="3">
        <v>5</v>
      </c>
      <c r="H159" s="2">
        <v>4</v>
      </c>
      <c r="I159" s="4">
        <v>53495202</v>
      </c>
    </row>
    <row r="160" spans="1:9">
      <c r="A160" s="5">
        <v>10000159</v>
      </c>
      <c r="B160" s="3" t="s">
        <v>12</v>
      </c>
      <c r="C160" s="3" t="s">
        <v>67</v>
      </c>
      <c r="D160" s="3" t="s">
        <v>66</v>
      </c>
      <c r="E160" s="3" t="s">
        <v>64</v>
      </c>
      <c r="F160" s="3">
        <v>1987</v>
      </c>
      <c r="G160" s="3">
        <v>3</v>
      </c>
      <c r="H160" s="2">
        <v>4</v>
      </c>
      <c r="I160" s="4">
        <v>30484072</v>
      </c>
    </row>
    <row r="161" spans="1:9">
      <c r="A161" s="5">
        <v>10000160</v>
      </c>
      <c r="B161" s="3" t="s">
        <v>13</v>
      </c>
      <c r="C161" s="3" t="s">
        <v>65</v>
      </c>
      <c r="D161" s="3" t="s">
        <v>68</v>
      </c>
      <c r="E161" s="3" t="s">
        <v>64</v>
      </c>
      <c r="F161" s="3">
        <v>2014</v>
      </c>
      <c r="G161" s="3">
        <v>4</v>
      </c>
      <c r="H161" s="2">
        <v>3</v>
      </c>
      <c r="I161" s="4">
        <v>11260911</v>
      </c>
    </row>
    <row r="162" spans="1:9">
      <c r="A162" s="5">
        <v>10000161</v>
      </c>
      <c r="B162" s="3" t="s">
        <v>9</v>
      </c>
      <c r="C162" s="3" t="s">
        <v>67</v>
      </c>
      <c r="D162" s="3" t="s">
        <v>66</v>
      </c>
      <c r="E162" s="3" t="s">
        <v>64</v>
      </c>
      <c r="F162" s="3">
        <v>1999</v>
      </c>
      <c r="G162" s="3">
        <v>1</v>
      </c>
      <c r="H162" s="2">
        <v>5</v>
      </c>
      <c r="I162" s="4">
        <v>52109031</v>
      </c>
    </row>
    <row r="163" spans="1:9">
      <c r="A163" s="5">
        <v>10000162</v>
      </c>
      <c r="B163" s="3" t="s">
        <v>11</v>
      </c>
      <c r="C163" s="3" t="s">
        <v>65</v>
      </c>
      <c r="D163" s="3" t="s">
        <v>66</v>
      </c>
      <c r="E163" s="3" t="s">
        <v>64</v>
      </c>
      <c r="F163" s="3">
        <v>2020</v>
      </c>
      <c r="G163" s="3">
        <v>1</v>
      </c>
      <c r="H163" s="2">
        <v>4</v>
      </c>
      <c r="I163" s="4">
        <v>39803071</v>
      </c>
    </row>
    <row r="164" spans="1:9">
      <c r="A164" s="5">
        <v>10000163</v>
      </c>
      <c r="B164" s="3" t="s">
        <v>10</v>
      </c>
      <c r="C164" s="3" t="s">
        <v>67</v>
      </c>
      <c r="D164" s="3" t="s">
        <v>69</v>
      </c>
      <c r="E164" s="3" t="s">
        <v>62</v>
      </c>
      <c r="F164" s="3">
        <v>1980</v>
      </c>
      <c r="G164" s="3">
        <v>1</v>
      </c>
      <c r="H164" s="2">
        <v>1</v>
      </c>
      <c r="I164" s="4">
        <v>609790</v>
      </c>
    </row>
    <row r="165" spans="1:9">
      <c r="A165" s="5">
        <v>10000164</v>
      </c>
      <c r="B165" s="3" t="s">
        <v>12</v>
      </c>
      <c r="C165" s="3" t="s">
        <v>67</v>
      </c>
      <c r="D165" s="3" t="s">
        <v>68</v>
      </c>
      <c r="E165" s="3" t="s">
        <v>63</v>
      </c>
      <c r="F165" s="3">
        <v>1982</v>
      </c>
      <c r="G165" s="3">
        <v>2</v>
      </c>
      <c r="H165" s="2">
        <v>0</v>
      </c>
      <c r="I165" s="4">
        <v>16783536</v>
      </c>
    </row>
    <row r="166" spans="1:9">
      <c r="A166" s="5">
        <v>10000165</v>
      </c>
      <c r="B166" s="3" t="s">
        <v>10</v>
      </c>
      <c r="C166" s="3" t="s">
        <v>67</v>
      </c>
      <c r="D166" s="3" t="s">
        <v>66</v>
      </c>
      <c r="E166" s="3" t="s">
        <v>64</v>
      </c>
      <c r="F166" s="3">
        <v>2001</v>
      </c>
      <c r="G166" s="3">
        <v>3</v>
      </c>
      <c r="H166" s="2">
        <v>4</v>
      </c>
      <c r="I166" s="4">
        <v>61881078</v>
      </c>
    </row>
    <row r="167" spans="1:9">
      <c r="A167" s="5">
        <v>10000166</v>
      </c>
      <c r="B167" s="3" t="s">
        <v>12</v>
      </c>
      <c r="C167" s="3" t="s">
        <v>67</v>
      </c>
      <c r="D167" s="3" t="s">
        <v>68</v>
      </c>
      <c r="E167" s="3" t="s">
        <v>64</v>
      </c>
      <c r="F167" s="3">
        <v>2012</v>
      </c>
      <c r="G167" s="3">
        <v>3</v>
      </c>
      <c r="H167" s="2">
        <v>3</v>
      </c>
      <c r="I167" s="4">
        <v>15182690</v>
      </c>
    </row>
    <row r="168" spans="1:9">
      <c r="A168" s="5">
        <v>10000167</v>
      </c>
      <c r="B168" s="3" t="s">
        <v>13</v>
      </c>
      <c r="C168" s="3" t="s">
        <v>65</v>
      </c>
      <c r="D168" s="3" t="s">
        <v>69</v>
      </c>
      <c r="E168" s="3" t="s">
        <v>62</v>
      </c>
      <c r="F168" s="3">
        <v>2005</v>
      </c>
      <c r="G168" s="3">
        <v>1</v>
      </c>
      <c r="H168" s="2">
        <v>0</v>
      </c>
      <c r="I168" s="4">
        <v>460319</v>
      </c>
    </row>
    <row r="169" spans="1:9">
      <c r="A169" s="5">
        <v>10000168</v>
      </c>
      <c r="B169" s="3" t="s">
        <v>9</v>
      </c>
      <c r="C169" s="3" t="s">
        <v>67</v>
      </c>
      <c r="D169" s="3" t="s">
        <v>68</v>
      </c>
      <c r="E169" s="3" t="s">
        <v>63</v>
      </c>
      <c r="F169" s="3">
        <v>1983</v>
      </c>
      <c r="G169" s="3">
        <v>2</v>
      </c>
      <c r="H169" s="2">
        <v>0</v>
      </c>
      <c r="I169" s="4">
        <v>16684745</v>
      </c>
    </row>
    <row r="170" spans="1:9">
      <c r="A170" s="5">
        <v>10000169</v>
      </c>
      <c r="B170" s="3" t="s">
        <v>9</v>
      </c>
      <c r="C170" s="3" t="s">
        <v>67</v>
      </c>
      <c r="D170" s="3" t="s">
        <v>66</v>
      </c>
      <c r="E170" s="3" t="s">
        <v>64</v>
      </c>
      <c r="F170" s="3">
        <v>2008</v>
      </c>
      <c r="G170" s="3">
        <v>5</v>
      </c>
      <c r="H170" s="2">
        <v>5</v>
      </c>
      <c r="I170" s="4">
        <v>58778867</v>
      </c>
    </row>
    <row r="171" spans="1:9">
      <c r="A171" s="5">
        <v>10000170</v>
      </c>
      <c r="B171" s="3" t="s">
        <v>12</v>
      </c>
      <c r="C171" s="3" t="s">
        <v>67</v>
      </c>
      <c r="D171" s="3" t="s">
        <v>69</v>
      </c>
      <c r="E171" s="3" t="s">
        <v>63</v>
      </c>
      <c r="F171" s="3">
        <v>1999</v>
      </c>
      <c r="G171" s="3">
        <v>4</v>
      </c>
      <c r="H171" s="2">
        <v>0</v>
      </c>
      <c r="I171" s="4">
        <v>3413787</v>
      </c>
    </row>
    <row r="172" spans="1:9">
      <c r="A172" s="5">
        <v>10000171</v>
      </c>
      <c r="B172" s="3" t="s">
        <v>11</v>
      </c>
      <c r="C172" s="3" t="s">
        <v>65</v>
      </c>
      <c r="D172" s="3" t="s">
        <v>68</v>
      </c>
      <c r="E172" s="3" t="s">
        <v>63</v>
      </c>
      <c r="F172" s="3">
        <v>1997</v>
      </c>
      <c r="G172" s="3">
        <v>5</v>
      </c>
      <c r="H172" s="2">
        <v>2</v>
      </c>
      <c r="I172" s="4">
        <v>15735533</v>
      </c>
    </row>
    <row r="173" spans="1:9">
      <c r="A173" s="5">
        <v>10000172</v>
      </c>
      <c r="B173" s="3" t="s">
        <v>10</v>
      </c>
      <c r="C173" s="3" t="s">
        <v>67</v>
      </c>
      <c r="D173" s="3" t="s">
        <v>68</v>
      </c>
      <c r="E173" s="3" t="s">
        <v>64</v>
      </c>
      <c r="F173" s="3">
        <v>1986</v>
      </c>
      <c r="G173" s="3">
        <v>2</v>
      </c>
      <c r="H173" s="2">
        <v>3</v>
      </c>
      <c r="I173" s="4">
        <v>12002120</v>
      </c>
    </row>
    <row r="174" spans="1:9">
      <c r="A174" s="5">
        <v>10000173</v>
      </c>
      <c r="B174" s="3" t="s">
        <v>13</v>
      </c>
      <c r="C174" s="3" t="s">
        <v>65</v>
      </c>
      <c r="D174" s="3" t="s">
        <v>69</v>
      </c>
      <c r="E174" s="3" t="s">
        <v>63</v>
      </c>
      <c r="F174" s="3">
        <v>2015</v>
      </c>
      <c r="G174" s="3">
        <v>3</v>
      </c>
      <c r="H174" s="2">
        <v>0</v>
      </c>
      <c r="I174" s="4">
        <v>1747924</v>
      </c>
    </row>
    <row r="175" spans="1:9">
      <c r="A175" s="5">
        <v>10000174</v>
      </c>
      <c r="B175" s="3" t="s">
        <v>10</v>
      </c>
      <c r="C175" s="3" t="s">
        <v>67</v>
      </c>
      <c r="D175" s="3" t="s">
        <v>66</v>
      </c>
      <c r="E175" s="3" t="s">
        <v>64</v>
      </c>
      <c r="F175" s="3">
        <v>2024</v>
      </c>
      <c r="G175" s="3">
        <v>5</v>
      </c>
      <c r="H175" s="2">
        <v>5</v>
      </c>
      <c r="I175" s="4">
        <v>45255604</v>
      </c>
    </row>
    <row r="176" spans="1:9">
      <c r="A176" s="5">
        <v>10000175</v>
      </c>
      <c r="B176" s="3" t="s">
        <v>10</v>
      </c>
      <c r="C176" s="3" t="s">
        <v>67</v>
      </c>
      <c r="D176" s="3" t="s">
        <v>68</v>
      </c>
      <c r="E176" s="3" t="s">
        <v>64</v>
      </c>
      <c r="F176" s="3">
        <v>1990</v>
      </c>
      <c r="G176" s="3">
        <v>3</v>
      </c>
      <c r="H176" s="2">
        <v>4</v>
      </c>
      <c r="I176" s="4">
        <v>16161226</v>
      </c>
    </row>
    <row r="177" spans="1:9">
      <c r="A177" s="5">
        <v>10000176</v>
      </c>
      <c r="B177" s="3" t="s">
        <v>13</v>
      </c>
      <c r="C177" s="3" t="s">
        <v>65</v>
      </c>
      <c r="D177" s="3" t="s">
        <v>66</v>
      </c>
      <c r="E177" s="3" t="s">
        <v>64</v>
      </c>
      <c r="F177" s="3">
        <v>1984</v>
      </c>
      <c r="G177" s="3">
        <v>3</v>
      </c>
      <c r="H177" s="2">
        <v>4</v>
      </c>
      <c r="I177" s="4">
        <v>43038543</v>
      </c>
    </row>
    <row r="178" spans="1:9">
      <c r="A178" s="5">
        <v>10000177</v>
      </c>
      <c r="B178" s="3" t="s">
        <v>14</v>
      </c>
      <c r="C178" s="3" t="s">
        <v>65</v>
      </c>
      <c r="D178" s="3" t="s">
        <v>68</v>
      </c>
      <c r="E178" s="3" t="s">
        <v>63</v>
      </c>
      <c r="F178" s="3">
        <v>2003</v>
      </c>
      <c r="G178" s="3">
        <v>4</v>
      </c>
      <c r="H178" s="2">
        <v>1</v>
      </c>
      <c r="I178" s="4">
        <v>7597414</v>
      </c>
    </row>
    <row r="179" spans="1:9">
      <c r="A179" s="5">
        <v>10000178</v>
      </c>
      <c r="B179" s="3" t="s">
        <v>13</v>
      </c>
      <c r="C179" s="3" t="s">
        <v>65</v>
      </c>
      <c r="D179" s="3" t="s">
        <v>69</v>
      </c>
      <c r="E179" s="3" t="s">
        <v>62</v>
      </c>
      <c r="F179" s="3">
        <v>2019</v>
      </c>
      <c r="G179" s="3">
        <v>1</v>
      </c>
      <c r="H179" s="2">
        <v>1</v>
      </c>
      <c r="I179" s="4">
        <v>403721</v>
      </c>
    </row>
    <row r="180" spans="1:9">
      <c r="A180" s="5">
        <v>10000179</v>
      </c>
      <c r="B180" s="3" t="s">
        <v>10</v>
      </c>
      <c r="C180" s="3" t="s">
        <v>67</v>
      </c>
      <c r="D180" s="3" t="s">
        <v>68</v>
      </c>
      <c r="E180" s="3" t="s">
        <v>63</v>
      </c>
      <c r="F180" s="3">
        <v>1986</v>
      </c>
      <c r="G180" s="3">
        <v>3</v>
      </c>
      <c r="H180" s="2">
        <v>1</v>
      </c>
      <c r="I180" s="4">
        <v>18385712</v>
      </c>
    </row>
    <row r="181" spans="1:9">
      <c r="A181" s="5">
        <v>10000180</v>
      </c>
      <c r="B181" s="3" t="s">
        <v>14</v>
      </c>
      <c r="C181" s="3" t="s">
        <v>65</v>
      </c>
      <c r="D181" s="3" t="s">
        <v>68</v>
      </c>
      <c r="E181" s="3" t="s">
        <v>64</v>
      </c>
      <c r="F181" s="3">
        <v>1994</v>
      </c>
      <c r="G181" s="3">
        <v>3</v>
      </c>
      <c r="H181" s="2">
        <v>5</v>
      </c>
      <c r="I181" s="4">
        <v>17958268</v>
      </c>
    </row>
    <row r="182" spans="1:9">
      <c r="A182" s="5">
        <v>10000181</v>
      </c>
      <c r="B182" s="3" t="s">
        <v>14</v>
      </c>
      <c r="C182" s="3" t="s">
        <v>65</v>
      </c>
      <c r="D182" s="3" t="s">
        <v>69</v>
      </c>
      <c r="E182" s="3" t="s">
        <v>63</v>
      </c>
      <c r="F182" s="3">
        <v>1994</v>
      </c>
      <c r="G182" s="3">
        <v>1</v>
      </c>
      <c r="H182" s="2">
        <v>0</v>
      </c>
      <c r="I182" s="4">
        <v>4744583</v>
      </c>
    </row>
    <row r="183" spans="1:9">
      <c r="A183" s="5">
        <v>10000182</v>
      </c>
      <c r="B183" s="3" t="s">
        <v>9</v>
      </c>
      <c r="C183" s="3" t="s">
        <v>67</v>
      </c>
      <c r="D183" s="3" t="s">
        <v>69</v>
      </c>
      <c r="E183" s="3" t="s">
        <v>62</v>
      </c>
      <c r="F183" s="3">
        <v>2003</v>
      </c>
      <c r="G183" s="3">
        <v>1</v>
      </c>
      <c r="H183" s="2">
        <v>0</v>
      </c>
      <c r="I183" s="4">
        <v>444629</v>
      </c>
    </row>
    <row r="184" spans="1:9">
      <c r="A184" s="5">
        <v>10000183</v>
      </c>
      <c r="B184" s="3" t="s">
        <v>14</v>
      </c>
      <c r="C184" s="3" t="s">
        <v>65</v>
      </c>
      <c r="D184" s="3" t="s">
        <v>66</v>
      </c>
      <c r="E184" s="3" t="s">
        <v>64</v>
      </c>
      <c r="F184" s="3">
        <v>2004</v>
      </c>
      <c r="G184" s="3">
        <v>3</v>
      </c>
      <c r="H184" s="2">
        <v>3</v>
      </c>
      <c r="I184" s="4">
        <v>49705816</v>
      </c>
    </row>
    <row r="185" spans="1:9">
      <c r="A185" s="5">
        <v>10000184</v>
      </c>
      <c r="B185" s="3" t="s">
        <v>14</v>
      </c>
      <c r="C185" s="3" t="s">
        <v>65</v>
      </c>
      <c r="D185" s="3" t="s">
        <v>69</v>
      </c>
      <c r="E185" s="3" t="s">
        <v>62</v>
      </c>
      <c r="F185" s="3">
        <v>2017</v>
      </c>
      <c r="G185" s="3">
        <v>1</v>
      </c>
      <c r="H185" s="2">
        <v>0</v>
      </c>
      <c r="I185" s="4">
        <v>616269</v>
      </c>
    </row>
    <row r="186" spans="1:9">
      <c r="A186" s="5">
        <v>10000185</v>
      </c>
      <c r="B186" s="3" t="s">
        <v>9</v>
      </c>
      <c r="C186" s="3" t="s">
        <v>67</v>
      </c>
      <c r="D186" s="3" t="s">
        <v>66</v>
      </c>
      <c r="E186" s="3" t="s">
        <v>64</v>
      </c>
      <c r="F186" s="3">
        <v>1983</v>
      </c>
      <c r="G186" s="3">
        <v>5</v>
      </c>
      <c r="H186" s="2">
        <v>5</v>
      </c>
      <c r="I186" s="4">
        <v>51638905</v>
      </c>
    </row>
    <row r="187" spans="1:9">
      <c r="A187" s="5">
        <v>10000186</v>
      </c>
      <c r="B187" s="3" t="s">
        <v>13</v>
      </c>
      <c r="C187" s="3" t="s">
        <v>65</v>
      </c>
      <c r="D187" s="3" t="s">
        <v>69</v>
      </c>
      <c r="E187" s="3" t="s">
        <v>64</v>
      </c>
      <c r="F187" s="3">
        <v>2003</v>
      </c>
      <c r="G187" s="3">
        <v>2</v>
      </c>
      <c r="H187" s="2">
        <v>5</v>
      </c>
      <c r="I187" s="4">
        <v>4382752</v>
      </c>
    </row>
    <row r="188" spans="1:9">
      <c r="A188" s="5">
        <v>10000187</v>
      </c>
      <c r="B188" s="3" t="s">
        <v>12</v>
      </c>
      <c r="C188" s="3" t="s">
        <v>67</v>
      </c>
      <c r="D188" s="3" t="s">
        <v>66</v>
      </c>
      <c r="E188" s="3" t="s">
        <v>64</v>
      </c>
      <c r="F188" s="3">
        <v>1999</v>
      </c>
      <c r="G188" s="3">
        <v>3</v>
      </c>
      <c r="H188" s="2">
        <v>5</v>
      </c>
      <c r="I188" s="4">
        <v>55171152</v>
      </c>
    </row>
    <row r="189" spans="1:9">
      <c r="A189" s="5">
        <v>10000188</v>
      </c>
      <c r="B189" s="3" t="s">
        <v>9</v>
      </c>
      <c r="C189" s="3" t="s">
        <v>67</v>
      </c>
      <c r="D189" s="3" t="s">
        <v>69</v>
      </c>
      <c r="E189" s="3" t="s">
        <v>63</v>
      </c>
      <c r="F189" s="3">
        <v>2001</v>
      </c>
      <c r="G189" s="3">
        <v>2</v>
      </c>
      <c r="H189" s="2">
        <v>1</v>
      </c>
      <c r="I189" s="4">
        <v>3177463</v>
      </c>
    </row>
    <row r="190" spans="1:9">
      <c r="A190" s="5">
        <v>10000189</v>
      </c>
      <c r="B190" s="3" t="s">
        <v>13</v>
      </c>
      <c r="C190" s="3" t="s">
        <v>65</v>
      </c>
      <c r="D190" s="3" t="s">
        <v>68</v>
      </c>
      <c r="E190" s="3" t="s">
        <v>64</v>
      </c>
      <c r="F190" s="3">
        <v>2000</v>
      </c>
      <c r="G190" s="3">
        <v>5</v>
      </c>
      <c r="H190" s="2">
        <v>5</v>
      </c>
      <c r="I190" s="4">
        <v>12397017</v>
      </c>
    </row>
    <row r="191" spans="1:9">
      <c r="A191" s="5">
        <v>10000190</v>
      </c>
      <c r="B191" s="3" t="s">
        <v>9</v>
      </c>
      <c r="C191" s="3" t="s">
        <v>67</v>
      </c>
      <c r="D191" s="3" t="s">
        <v>69</v>
      </c>
      <c r="E191" s="3" t="s">
        <v>63</v>
      </c>
      <c r="F191" s="3">
        <v>1995</v>
      </c>
      <c r="G191" s="3">
        <v>3</v>
      </c>
      <c r="H191" s="2">
        <v>2</v>
      </c>
      <c r="I191" s="4">
        <v>3487373</v>
      </c>
    </row>
    <row r="192" spans="1:9">
      <c r="A192" s="5">
        <v>10000191</v>
      </c>
      <c r="B192" s="3" t="s">
        <v>10</v>
      </c>
      <c r="C192" s="3" t="s">
        <v>67</v>
      </c>
      <c r="D192" s="3" t="s">
        <v>66</v>
      </c>
      <c r="E192" s="3" t="s">
        <v>64</v>
      </c>
      <c r="F192" s="3">
        <v>1992</v>
      </c>
      <c r="G192" s="3">
        <v>5</v>
      </c>
      <c r="H192" s="2">
        <v>3</v>
      </c>
      <c r="I192" s="4">
        <v>39119428</v>
      </c>
    </row>
    <row r="193" spans="1:9">
      <c r="A193" s="5">
        <v>10000192</v>
      </c>
      <c r="B193" s="3" t="s">
        <v>9</v>
      </c>
      <c r="C193" s="3" t="s">
        <v>67</v>
      </c>
      <c r="D193" s="3" t="s">
        <v>69</v>
      </c>
      <c r="E193" s="3" t="s">
        <v>62</v>
      </c>
      <c r="F193" s="3">
        <v>1980</v>
      </c>
      <c r="G193" s="3">
        <v>1</v>
      </c>
      <c r="H193" s="2">
        <v>0</v>
      </c>
      <c r="I193" s="4">
        <v>520784</v>
      </c>
    </row>
    <row r="194" spans="1:9">
      <c r="A194" s="5">
        <v>10000193</v>
      </c>
      <c r="B194" s="3" t="s">
        <v>13</v>
      </c>
      <c r="C194" s="3" t="s">
        <v>65</v>
      </c>
      <c r="D194" s="3" t="s">
        <v>68</v>
      </c>
      <c r="E194" s="3" t="s">
        <v>64</v>
      </c>
      <c r="F194" s="3">
        <v>1989</v>
      </c>
      <c r="G194" s="3">
        <v>3</v>
      </c>
      <c r="H194" s="2">
        <v>4</v>
      </c>
      <c r="I194" s="4">
        <v>14890616</v>
      </c>
    </row>
    <row r="195" spans="1:9">
      <c r="A195" s="5">
        <v>10000194</v>
      </c>
      <c r="B195" s="3" t="s">
        <v>13</v>
      </c>
      <c r="C195" s="3" t="s">
        <v>65</v>
      </c>
      <c r="D195" s="3" t="s">
        <v>66</v>
      </c>
      <c r="E195" s="3" t="s">
        <v>64</v>
      </c>
      <c r="F195" s="3">
        <v>2016</v>
      </c>
      <c r="G195" s="3">
        <v>1</v>
      </c>
      <c r="H195" s="2">
        <v>4</v>
      </c>
      <c r="I195" s="4">
        <v>44106279</v>
      </c>
    </row>
    <row r="196" spans="1:9">
      <c r="A196" s="5">
        <v>10000195</v>
      </c>
      <c r="B196" s="3" t="s">
        <v>13</v>
      </c>
      <c r="C196" s="3" t="s">
        <v>65</v>
      </c>
      <c r="D196" s="3" t="s">
        <v>69</v>
      </c>
      <c r="E196" s="3" t="s">
        <v>62</v>
      </c>
      <c r="F196" s="3">
        <v>2022</v>
      </c>
      <c r="G196" s="3">
        <v>1</v>
      </c>
      <c r="H196" s="2">
        <v>0</v>
      </c>
      <c r="I196" s="4">
        <v>432386</v>
      </c>
    </row>
    <row r="197" spans="1:9">
      <c r="A197" s="5">
        <v>10000196</v>
      </c>
      <c r="B197" s="3" t="s">
        <v>14</v>
      </c>
      <c r="C197" s="3" t="s">
        <v>65</v>
      </c>
      <c r="D197" s="3" t="s">
        <v>68</v>
      </c>
      <c r="E197" s="3" t="s">
        <v>63</v>
      </c>
      <c r="F197" s="3">
        <v>1984</v>
      </c>
      <c r="G197" s="3">
        <v>3</v>
      </c>
      <c r="H197" s="2">
        <v>0</v>
      </c>
      <c r="I197" s="4">
        <v>25542503</v>
      </c>
    </row>
    <row r="198" spans="1:9">
      <c r="A198" s="5">
        <v>10000197</v>
      </c>
      <c r="B198" s="3" t="s">
        <v>11</v>
      </c>
      <c r="C198" s="3" t="s">
        <v>65</v>
      </c>
      <c r="D198" s="3" t="s">
        <v>68</v>
      </c>
      <c r="E198" s="3" t="s">
        <v>63</v>
      </c>
      <c r="F198" s="3">
        <v>2008</v>
      </c>
      <c r="G198" s="3">
        <v>1</v>
      </c>
      <c r="H198" s="2">
        <v>0</v>
      </c>
      <c r="I198" s="4">
        <v>9625406</v>
      </c>
    </row>
    <row r="199" spans="1:9">
      <c r="A199" s="5">
        <v>10000198</v>
      </c>
      <c r="B199" s="3" t="s">
        <v>11</v>
      </c>
      <c r="C199" s="3" t="s">
        <v>65</v>
      </c>
      <c r="D199" s="3" t="s">
        <v>69</v>
      </c>
      <c r="E199" s="3" t="s">
        <v>62</v>
      </c>
      <c r="F199" s="3">
        <v>2009</v>
      </c>
      <c r="G199" s="3">
        <v>1</v>
      </c>
      <c r="H199" s="2">
        <v>0</v>
      </c>
      <c r="I199" s="4">
        <v>449298</v>
      </c>
    </row>
    <row r="200" spans="1:9">
      <c r="A200" s="5">
        <v>10000199</v>
      </c>
      <c r="B200" s="3" t="s">
        <v>13</v>
      </c>
      <c r="C200" s="3" t="s">
        <v>65</v>
      </c>
      <c r="D200" s="3" t="s">
        <v>68</v>
      </c>
      <c r="E200" s="3" t="s">
        <v>63</v>
      </c>
      <c r="F200" s="3">
        <v>2012</v>
      </c>
      <c r="G200" s="3">
        <v>1</v>
      </c>
      <c r="H200" s="2">
        <v>0</v>
      </c>
      <c r="I200" s="4">
        <v>10400384</v>
      </c>
    </row>
    <row r="201" spans="1:9">
      <c r="A201" s="5">
        <v>10000200</v>
      </c>
      <c r="B201" s="3" t="s">
        <v>13</v>
      </c>
      <c r="C201" s="3" t="s">
        <v>65</v>
      </c>
      <c r="D201" s="3" t="s">
        <v>66</v>
      </c>
      <c r="E201" s="3" t="s">
        <v>64</v>
      </c>
      <c r="F201" s="3">
        <v>1983</v>
      </c>
      <c r="G201" s="3">
        <v>5</v>
      </c>
      <c r="H201" s="2">
        <v>5</v>
      </c>
      <c r="I201" s="4">
        <v>56683526</v>
      </c>
    </row>
    <row r="202" spans="1:9">
      <c r="A202" s="5">
        <v>10000201</v>
      </c>
      <c r="B202" s="3" t="s">
        <v>11</v>
      </c>
      <c r="C202" s="3" t="s">
        <v>65</v>
      </c>
      <c r="D202" s="3" t="s">
        <v>68</v>
      </c>
      <c r="E202" s="3" t="s">
        <v>63</v>
      </c>
      <c r="F202" s="3">
        <v>2005</v>
      </c>
      <c r="G202" s="3">
        <v>1</v>
      </c>
      <c r="H202" s="2">
        <v>1</v>
      </c>
      <c r="I202" s="4">
        <v>11418636</v>
      </c>
    </row>
    <row r="203" spans="1:9">
      <c r="A203" s="5">
        <v>10000202</v>
      </c>
      <c r="B203" s="3" t="s">
        <v>14</v>
      </c>
      <c r="C203" s="3" t="s">
        <v>65</v>
      </c>
      <c r="D203" s="3" t="s">
        <v>68</v>
      </c>
      <c r="E203" s="3" t="s">
        <v>64</v>
      </c>
      <c r="F203" s="3">
        <v>2008</v>
      </c>
      <c r="G203" s="3">
        <v>4</v>
      </c>
      <c r="H203" s="2">
        <v>4</v>
      </c>
      <c r="I203" s="4">
        <v>22541680</v>
      </c>
    </row>
    <row r="204" spans="1:9">
      <c r="A204" s="5">
        <v>10000203</v>
      </c>
      <c r="B204" s="3" t="s">
        <v>14</v>
      </c>
      <c r="C204" s="3" t="s">
        <v>65</v>
      </c>
      <c r="D204" s="3" t="s">
        <v>69</v>
      </c>
      <c r="E204" s="3" t="s">
        <v>64</v>
      </c>
      <c r="F204" s="3">
        <v>1992</v>
      </c>
      <c r="G204" s="3">
        <v>4</v>
      </c>
      <c r="H204" s="2">
        <v>4</v>
      </c>
      <c r="I204" s="4">
        <v>4699135</v>
      </c>
    </row>
    <row r="205" spans="1:9">
      <c r="A205" s="5">
        <v>10000204</v>
      </c>
      <c r="B205" s="3" t="s">
        <v>13</v>
      </c>
      <c r="C205" s="3" t="s">
        <v>65</v>
      </c>
      <c r="D205" s="3" t="s">
        <v>68</v>
      </c>
      <c r="E205" s="3" t="s">
        <v>63</v>
      </c>
      <c r="F205" s="3">
        <v>2018</v>
      </c>
      <c r="G205" s="3">
        <v>5</v>
      </c>
      <c r="H205" s="2">
        <v>0</v>
      </c>
      <c r="I205" s="4">
        <v>10891964</v>
      </c>
    </row>
    <row r="206" spans="1:9">
      <c r="A206" s="5">
        <v>10000205</v>
      </c>
      <c r="B206" s="3" t="s">
        <v>12</v>
      </c>
      <c r="C206" s="3" t="s">
        <v>67</v>
      </c>
      <c r="D206" s="3" t="s">
        <v>69</v>
      </c>
      <c r="E206" s="3" t="s">
        <v>64</v>
      </c>
      <c r="F206" s="3">
        <v>1993</v>
      </c>
      <c r="G206" s="3">
        <v>3</v>
      </c>
      <c r="H206" s="2">
        <v>3</v>
      </c>
      <c r="I206" s="4">
        <v>2870018</v>
      </c>
    </row>
    <row r="207" spans="1:9">
      <c r="A207" s="5">
        <v>10000206</v>
      </c>
      <c r="B207" s="3" t="s">
        <v>9</v>
      </c>
      <c r="C207" s="3" t="s">
        <v>67</v>
      </c>
      <c r="D207" s="3" t="s">
        <v>68</v>
      </c>
      <c r="E207" s="3" t="s">
        <v>64</v>
      </c>
      <c r="F207" s="3">
        <v>1993</v>
      </c>
      <c r="G207" s="3">
        <v>5</v>
      </c>
      <c r="H207" s="2">
        <v>5</v>
      </c>
      <c r="I207" s="4">
        <v>20087604</v>
      </c>
    </row>
    <row r="208" spans="1:9">
      <c r="A208" s="5">
        <v>10000207</v>
      </c>
      <c r="B208" s="3" t="s">
        <v>9</v>
      </c>
      <c r="C208" s="3" t="s">
        <v>67</v>
      </c>
      <c r="D208" s="3" t="s">
        <v>69</v>
      </c>
      <c r="E208" s="3" t="s">
        <v>64</v>
      </c>
      <c r="F208" s="3">
        <v>2008</v>
      </c>
      <c r="G208" s="3">
        <v>1</v>
      </c>
      <c r="H208" s="2">
        <v>5</v>
      </c>
      <c r="I208" s="4">
        <v>1794391</v>
      </c>
    </row>
    <row r="209" spans="1:9">
      <c r="A209" s="5">
        <v>10000208</v>
      </c>
      <c r="B209" s="3" t="s">
        <v>10</v>
      </c>
      <c r="C209" s="3" t="s">
        <v>67</v>
      </c>
      <c r="D209" s="3" t="s">
        <v>66</v>
      </c>
      <c r="E209" s="3" t="s">
        <v>64</v>
      </c>
      <c r="F209" s="3">
        <v>2007</v>
      </c>
      <c r="G209" s="3">
        <v>1</v>
      </c>
      <c r="H209" s="2">
        <v>3</v>
      </c>
      <c r="I209" s="4">
        <v>37318069</v>
      </c>
    </row>
    <row r="210" spans="1:9">
      <c r="A210" s="5">
        <v>10000209</v>
      </c>
      <c r="B210" s="3" t="s">
        <v>12</v>
      </c>
      <c r="C210" s="3" t="s">
        <v>67</v>
      </c>
      <c r="D210" s="3" t="s">
        <v>68</v>
      </c>
      <c r="E210" s="3" t="s">
        <v>63</v>
      </c>
      <c r="F210" s="3">
        <v>1998</v>
      </c>
      <c r="G210" s="3">
        <v>4</v>
      </c>
      <c r="H210" s="2">
        <v>0</v>
      </c>
      <c r="I210" s="4">
        <v>18246041</v>
      </c>
    </row>
    <row r="211" spans="1:9">
      <c r="A211" s="5">
        <v>10000210</v>
      </c>
      <c r="B211" s="3" t="s">
        <v>10</v>
      </c>
      <c r="C211" s="3" t="s">
        <v>67</v>
      </c>
      <c r="D211" s="3" t="s">
        <v>69</v>
      </c>
      <c r="E211" s="3" t="s">
        <v>62</v>
      </c>
      <c r="F211" s="3">
        <v>1988</v>
      </c>
      <c r="G211" s="3">
        <v>1</v>
      </c>
      <c r="H211" s="2">
        <v>2</v>
      </c>
      <c r="I211" s="4">
        <v>425038</v>
      </c>
    </row>
    <row r="212" spans="1:9">
      <c r="A212" s="5">
        <v>10000211</v>
      </c>
      <c r="B212" s="3" t="s">
        <v>9</v>
      </c>
      <c r="C212" s="3" t="s">
        <v>67</v>
      </c>
      <c r="D212" s="3" t="s">
        <v>66</v>
      </c>
      <c r="E212" s="3" t="s">
        <v>64</v>
      </c>
      <c r="F212" s="3">
        <v>1994</v>
      </c>
      <c r="G212" s="3">
        <v>2</v>
      </c>
      <c r="H212" s="2">
        <v>4</v>
      </c>
      <c r="I212" s="4">
        <v>48622549</v>
      </c>
    </row>
    <row r="213" spans="1:9">
      <c r="A213" s="5">
        <v>10000212</v>
      </c>
      <c r="B213" s="3" t="s">
        <v>14</v>
      </c>
      <c r="C213" s="3" t="s">
        <v>65</v>
      </c>
      <c r="D213" s="3" t="s">
        <v>66</v>
      </c>
      <c r="E213" s="3" t="s">
        <v>64</v>
      </c>
      <c r="F213" s="3">
        <v>1997</v>
      </c>
      <c r="G213" s="3">
        <v>3</v>
      </c>
      <c r="H213" s="2">
        <v>3</v>
      </c>
      <c r="I213" s="4">
        <v>60757723</v>
      </c>
    </row>
    <row r="214" spans="1:9">
      <c r="A214" s="5">
        <v>10000213</v>
      </c>
      <c r="B214" s="3" t="s">
        <v>11</v>
      </c>
      <c r="C214" s="3" t="s">
        <v>65</v>
      </c>
      <c r="D214" s="3" t="s">
        <v>69</v>
      </c>
      <c r="E214" s="3" t="s">
        <v>63</v>
      </c>
      <c r="F214" s="3">
        <v>1985</v>
      </c>
      <c r="G214" s="3">
        <v>2</v>
      </c>
      <c r="H214" s="2">
        <v>1</v>
      </c>
      <c r="I214" s="4">
        <v>5422287</v>
      </c>
    </row>
    <row r="215" spans="1:9">
      <c r="A215" s="5">
        <v>10000214</v>
      </c>
      <c r="B215" s="3" t="s">
        <v>12</v>
      </c>
      <c r="C215" s="3" t="s">
        <v>67</v>
      </c>
      <c r="D215" s="3" t="s">
        <v>66</v>
      </c>
      <c r="E215" s="3" t="s">
        <v>64</v>
      </c>
      <c r="F215" s="3">
        <v>1987</v>
      </c>
      <c r="G215" s="3">
        <v>4</v>
      </c>
      <c r="H215" s="2">
        <v>3</v>
      </c>
      <c r="I215" s="4">
        <v>57898350</v>
      </c>
    </row>
    <row r="216" spans="1:9">
      <c r="A216" s="5">
        <v>10000215</v>
      </c>
      <c r="B216" s="3" t="s">
        <v>13</v>
      </c>
      <c r="C216" s="3" t="s">
        <v>65</v>
      </c>
      <c r="D216" s="3" t="s">
        <v>66</v>
      </c>
      <c r="E216" s="3" t="s">
        <v>64</v>
      </c>
      <c r="F216" s="3">
        <v>1980</v>
      </c>
      <c r="G216" s="3">
        <v>5</v>
      </c>
      <c r="H216" s="2">
        <v>4</v>
      </c>
      <c r="I216" s="4">
        <v>40275231</v>
      </c>
    </row>
    <row r="217" spans="1:9">
      <c r="A217" s="5">
        <v>10000216</v>
      </c>
      <c r="B217" s="3" t="s">
        <v>10</v>
      </c>
      <c r="C217" s="3" t="s">
        <v>67</v>
      </c>
      <c r="D217" s="3" t="s">
        <v>66</v>
      </c>
      <c r="E217" s="3" t="s">
        <v>64</v>
      </c>
      <c r="F217" s="3">
        <v>2009</v>
      </c>
      <c r="G217" s="3">
        <v>4</v>
      </c>
      <c r="H217" s="2">
        <v>4</v>
      </c>
      <c r="I217" s="4">
        <v>48422438</v>
      </c>
    </row>
    <row r="218" spans="1:9">
      <c r="A218" s="5">
        <v>10000217</v>
      </c>
      <c r="B218" s="3" t="s">
        <v>14</v>
      </c>
      <c r="C218" s="3" t="s">
        <v>65</v>
      </c>
      <c r="D218" s="3" t="s">
        <v>66</v>
      </c>
      <c r="E218" s="3" t="s">
        <v>64</v>
      </c>
      <c r="F218" s="3">
        <v>1986</v>
      </c>
      <c r="G218" s="3">
        <v>3</v>
      </c>
      <c r="H218" s="2">
        <v>3</v>
      </c>
      <c r="I218" s="4">
        <v>60612008</v>
      </c>
    </row>
    <row r="219" spans="1:9">
      <c r="A219" s="5">
        <v>10000218</v>
      </c>
      <c r="B219" s="3" t="s">
        <v>11</v>
      </c>
      <c r="C219" s="3" t="s">
        <v>65</v>
      </c>
      <c r="D219" s="3" t="s">
        <v>66</v>
      </c>
      <c r="E219" s="3" t="s">
        <v>64</v>
      </c>
      <c r="F219" s="3">
        <v>1996</v>
      </c>
      <c r="G219" s="3">
        <v>2</v>
      </c>
      <c r="H219" s="2">
        <v>3</v>
      </c>
      <c r="I219" s="4">
        <v>47007714</v>
      </c>
    </row>
    <row r="220" spans="1:9">
      <c r="A220" s="5">
        <v>10000219</v>
      </c>
      <c r="B220" s="3" t="s">
        <v>10</v>
      </c>
      <c r="C220" s="3" t="s">
        <v>67</v>
      </c>
      <c r="D220" s="3" t="s">
        <v>68</v>
      </c>
      <c r="E220" s="3" t="s">
        <v>63</v>
      </c>
      <c r="F220" s="3">
        <v>2019</v>
      </c>
      <c r="G220" s="3">
        <v>1</v>
      </c>
      <c r="H220" s="2">
        <v>1</v>
      </c>
      <c r="I220" s="4">
        <v>12572867</v>
      </c>
    </row>
    <row r="221" spans="1:9">
      <c r="A221" s="5">
        <v>10000220</v>
      </c>
      <c r="B221" s="3" t="s">
        <v>12</v>
      </c>
      <c r="C221" s="3" t="s">
        <v>67</v>
      </c>
      <c r="D221" s="3" t="s">
        <v>68</v>
      </c>
      <c r="E221" s="3" t="s">
        <v>63</v>
      </c>
      <c r="F221" s="3">
        <v>2009</v>
      </c>
      <c r="G221" s="3">
        <v>2</v>
      </c>
      <c r="H221" s="2">
        <v>2</v>
      </c>
      <c r="I221" s="4">
        <v>4827862</v>
      </c>
    </row>
    <row r="222" spans="1:9">
      <c r="A222" s="5">
        <v>10000221</v>
      </c>
      <c r="B222" s="3" t="s">
        <v>11</v>
      </c>
      <c r="C222" s="3" t="s">
        <v>65</v>
      </c>
      <c r="D222" s="3" t="s">
        <v>68</v>
      </c>
      <c r="E222" s="3" t="s">
        <v>63</v>
      </c>
      <c r="F222" s="3">
        <v>1982</v>
      </c>
      <c r="G222" s="3">
        <v>4</v>
      </c>
      <c r="H222" s="2">
        <v>0</v>
      </c>
      <c r="I222" s="4">
        <v>12226530</v>
      </c>
    </row>
    <row r="223" spans="1:9">
      <c r="A223" s="5">
        <v>10000222</v>
      </c>
      <c r="B223" s="3" t="s">
        <v>12</v>
      </c>
      <c r="C223" s="3" t="s">
        <v>67</v>
      </c>
      <c r="D223" s="3" t="s">
        <v>68</v>
      </c>
      <c r="E223" s="3" t="s">
        <v>64</v>
      </c>
      <c r="F223" s="3">
        <v>2006</v>
      </c>
      <c r="G223" s="3">
        <v>4</v>
      </c>
      <c r="H223" s="2">
        <v>3</v>
      </c>
      <c r="I223" s="4">
        <v>13934294</v>
      </c>
    </row>
    <row r="224" spans="1:9">
      <c r="A224" s="5">
        <v>10000223</v>
      </c>
      <c r="B224" s="3" t="s">
        <v>12</v>
      </c>
      <c r="C224" s="3" t="s">
        <v>67</v>
      </c>
      <c r="D224" s="3" t="s">
        <v>68</v>
      </c>
      <c r="E224" s="3" t="s">
        <v>64</v>
      </c>
      <c r="F224" s="3">
        <v>2007</v>
      </c>
      <c r="G224" s="3">
        <v>3</v>
      </c>
      <c r="H224" s="2">
        <v>5</v>
      </c>
      <c r="I224" s="4">
        <v>7468918</v>
      </c>
    </row>
    <row r="225" spans="1:9">
      <c r="A225" s="5">
        <v>10000224</v>
      </c>
      <c r="B225" s="3" t="s">
        <v>11</v>
      </c>
      <c r="C225" s="3" t="s">
        <v>65</v>
      </c>
      <c r="D225" s="3" t="s">
        <v>69</v>
      </c>
      <c r="E225" s="3" t="s">
        <v>63</v>
      </c>
      <c r="F225" s="3">
        <v>2012</v>
      </c>
      <c r="G225" s="3">
        <v>5</v>
      </c>
      <c r="H225" s="2">
        <v>0</v>
      </c>
      <c r="I225" s="4">
        <v>1505657</v>
      </c>
    </row>
    <row r="226" spans="1:9">
      <c r="A226" s="5">
        <v>10000225</v>
      </c>
      <c r="B226" s="3" t="s">
        <v>13</v>
      </c>
      <c r="C226" s="3" t="s">
        <v>65</v>
      </c>
      <c r="D226" s="3" t="s">
        <v>69</v>
      </c>
      <c r="E226" s="3" t="s">
        <v>62</v>
      </c>
      <c r="F226" s="3">
        <v>1991</v>
      </c>
      <c r="G226" s="3">
        <v>1</v>
      </c>
      <c r="H226" s="2">
        <v>1</v>
      </c>
      <c r="I226" s="4">
        <v>598348</v>
      </c>
    </row>
    <row r="227" spans="1:9">
      <c r="A227" s="5">
        <v>10000226</v>
      </c>
      <c r="B227" s="3" t="s">
        <v>14</v>
      </c>
      <c r="C227" s="3" t="s">
        <v>65</v>
      </c>
      <c r="D227" s="3" t="s">
        <v>68</v>
      </c>
      <c r="E227" s="3" t="s">
        <v>63</v>
      </c>
      <c r="F227" s="3">
        <v>1993</v>
      </c>
      <c r="G227" s="3">
        <v>2</v>
      </c>
      <c r="H227" s="2">
        <v>0</v>
      </c>
      <c r="I227" s="4">
        <v>15409594</v>
      </c>
    </row>
    <row r="228" spans="1:9">
      <c r="A228" s="5">
        <v>10000227</v>
      </c>
      <c r="B228" s="3" t="s">
        <v>12</v>
      </c>
      <c r="C228" s="3" t="s">
        <v>67</v>
      </c>
      <c r="D228" s="3" t="s">
        <v>66</v>
      </c>
      <c r="E228" s="3" t="s">
        <v>64</v>
      </c>
      <c r="F228" s="3">
        <v>2007</v>
      </c>
      <c r="G228" s="3">
        <v>4</v>
      </c>
      <c r="H228" s="2">
        <v>3</v>
      </c>
      <c r="I228" s="4">
        <v>42546926</v>
      </c>
    </row>
    <row r="229" spans="1:9">
      <c r="A229" s="5">
        <v>10000228</v>
      </c>
      <c r="B229" s="3" t="s">
        <v>14</v>
      </c>
      <c r="C229" s="3" t="s">
        <v>65</v>
      </c>
      <c r="D229" s="3" t="s">
        <v>69</v>
      </c>
      <c r="E229" s="3" t="s">
        <v>64</v>
      </c>
      <c r="F229" s="3">
        <v>2016</v>
      </c>
      <c r="G229" s="3">
        <v>2</v>
      </c>
      <c r="H229" s="2">
        <v>5</v>
      </c>
      <c r="I229" s="4">
        <v>1699190</v>
      </c>
    </row>
    <row r="230" spans="1:9">
      <c r="A230" s="5">
        <v>10000229</v>
      </c>
      <c r="B230" s="3" t="s">
        <v>12</v>
      </c>
      <c r="C230" s="3" t="s">
        <v>67</v>
      </c>
      <c r="D230" s="3" t="s">
        <v>68</v>
      </c>
      <c r="E230" s="3" t="s">
        <v>63</v>
      </c>
      <c r="F230" s="3">
        <v>2012</v>
      </c>
      <c r="G230" s="3">
        <v>2</v>
      </c>
      <c r="H230" s="2">
        <v>0</v>
      </c>
      <c r="I230" s="4">
        <v>11983662</v>
      </c>
    </row>
    <row r="231" spans="1:9">
      <c r="A231" s="5">
        <v>10000230</v>
      </c>
      <c r="B231" s="3" t="s">
        <v>10</v>
      </c>
      <c r="C231" s="3" t="s">
        <v>67</v>
      </c>
      <c r="D231" s="3" t="s">
        <v>68</v>
      </c>
      <c r="E231" s="3" t="s">
        <v>63</v>
      </c>
      <c r="F231" s="3">
        <v>2003</v>
      </c>
      <c r="G231" s="3">
        <v>3</v>
      </c>
      <c r="H231" s="2">
        <v>0</v>
      </c>
      <c r="I231" s="4">
        <v>23227717</v>
      </c>
    </row>
    <row r="232" spans="1:9">
      <c r="A232" s="5">
        <v>10000231</v>
      </c>
      <c r="B232" s="3" t="s">
        <v>9</v>
      </c>
      <c r="C232" s="3" t="s">
        <v>67</v>
      </c>
      <c r="D232" s="3" t="s">
        <v>68</v>
      </c>
      <c r="E232" s="3" t="s">
        <v>63</v>
      </c>
      <c r="F232" s="3">
        <v>2000</v>
      </c>
      <c r="G232" s="3">
        <v>3</v>
      </c>
      <c r="H232" s="2">
        <v>0</v>
      </c>
      <c r="I232" s="4">
        <v>14647954</v>
      </c>
    </row>
    <row r="233" spans="1:9">
      <c r="A233" s="5">
        <v>10000232</v>
      </c>
      <c r="B233" s="3" t="s">
        <v>11</v>
      </c>
      <c r="C233" s="3" t="s">
        <v>65</v>
      </c>
      <c r="D233" s="3" t="s">
        <v>69</v>
      </c>
      <c r="E233" s="3" t="s">
        <v>64</v>
      </c>
      <c r="F233" s="3">
        <v>1981</v>
      </c>
      <c r="G233" s="3">
        <v>2</v>
      </c>
      <c r="H233" s="2">
        <v>4</v>
      </c>
      <c r="I233" s="4">
        <v>3408287</v>
      </c>
    </row>
    <row r="234" spans="1:9">
      <c r="A234" s="5">
        <v>10000233</v>
      </c>
      <c r="B234" s="3" t="s">
        <v>13</v>
      </c>
      <c r="C234" s="3" t="s">
        <v>65</v>
      </c>
      <c r="D234" s="3" t="s">
        <v>69</v>
      </c>
      <c r="E234" s="3" t="s">
        <v>63</v>
      </c>
      <c r="F234" s="3">
        <v>2005</v>
      </c>
      <c r="G234" s="3">
        <v>3</v>
      </c>
      <c r="H234" s="2">
        <v>2</v>
      </c>
      <c r="I234" s="4">
        <v>4198163</v>
      </c>
    </row>
    <row r="235" spans="1:9">
      <c r="A235" s="5">
        <v>10000234</v>
      </c>
      <c r="B235" s="3" t="s">
        <v>9</v>
      </c>
      <c r="C235" s="3" t="s">
        <v>67</v>
      </c>
      <c r="D235" s="3" t="s">
        <v>68</v>
      </c>
      <c r="E235" s="3" t="s">
        <v>63</v>
      </c>
      <c r="F235" s="3">
        <v>2001</v>
      </c>
      <c r="G235" s="3">
        <v>3</v>
      </c>
      <c r="H235" s="2">
        <v>2</v>
      </c>
      <c r="I235" s="4">
        <v>9248320</v>
      </c>
    </row>
    <row r="236" spans="1:9">
      <c r="A236" s="5">
        <v>10000235</v>
      </c>
      <c r="B236" s="3" t="s">
        <v>13</v>
      </c>
      <c r="C236" s="3" t="s">
        <v>65</v>
      </c>
      <c r="D236" s="3" t="s">
        <v>66</v>
      </c>
      <c r="E236" s="3" t="s">
        <v>64</v>
      </c>
      <c r="F236" s="3">
        <v>1999</v>
      </c>
      <c r="G236" s="3">
        <v>2</v>
      </c>
      <c r="H236" s="2">
        <v>5</v>
      </c>
      <c r="I236" s="4">
        <v>38484219</v>
      </c>
    </row>
    <row r="237" spans="1:9">
      <c r="A237" s="5">
        <v>10000236</v>
      </c>
      <c r="B237" s="3" t="s">
        <v>11</v>
      </c>
      <c r="C237" s="3" t="s">
        <v>65</v>
      </c>
      <c r="D237" s="3" t="s">
        <v>68</v>
      </c>
      <c r="E237" s="3" t="s">
        <v>63</v>
      </c>
      <c r="F237" s="3">
        <v>2015</v>
      </c>
      <c r="G237" s="3">
        <v>1</v>
      </c>
      <c r="H237" s="2">
        <v>1</v>
      </c>
      <c r="I237" s="4">
        <v>13357036</v>
      </c>
    </row>
    <row r="238" spans="1:9">
      <c r="A238" s="5">
        <v>10000237</v>
      </c>
      <c r="B238" s="3" t="s">
        <v>9</v>
      </c>
      <c r="C238" s="3" t="s">
        <v>67</v>
      </c>
      <c r="D238" s="3" t="s">
        <v>68</v>
      </c>
      <c r="E238" s="3" t="s">
        <v>64</v>
      </c>
      <c r="F238" s="3">
        <v>2011</v>
      </c>
      <c r="G238" s="3">
        <v>2</v>
      </c>
      <c r="H238" s="2">
        <v>4</v>
      </c>
      <c r="I238" s="4">
        <v>16682276</v>
      </c>
    </row>
    <row r="239" spans="1:9">
      <c r="A239" s="5">
        <v>10000238</v>
      </c>
      <c r="B239" s="3" t="s">
        <v>9</v>
      </c>
      <c r="C239" s="3" t="s">
        <v>67</v>
      </c>
      <c r="D239" s="3" t="s">
        <v>66</v>
      </c>
      <c r="E239" s="3" t="s">
        <v>64</v>
      </c>
      <c r="F239" s="3">
        <v>2012</v>
      </c>
      <c r="G239" s="3">
        <v>1</v>
      </c>
      <c r="H239" s="2">
        <v>3</v>
      </c>
      <c r="I239" s="4">
        <v>44841452</v>
      </c>
    </row>
    <row r="240" spans="1:9">
      <c r="A240" s="5">
        <v>10000239</v>
      </c>
      <c r="B240" s="3" t="s">
        <v>13</v>
      </c>
      <c r="C240" s="3" t="s">
        <v>65</v>
      </c>
      <c r="D240" s="3" t="s">
        <v>66</v>
      </c>
      <c r="E240" s="3" t="s">
        <v>64</v>
      </c>
      <c r="F240" s="3">
        <v>1994</v>
      </c>
      <c r="G240" s="3">
        <v>4</v>
      </c>
      <c r="H240" s="2">
        <v>4</v>
      </c>
      <c r="I240" s="4">
        <v>34097517</v>
      </c>
    </row>
    <row r="241" spans="1:9">
      <c r="A241" s="5">
        <v>10000240</v>
      </c>
      <c r="B241" s="3" t="s">
        <v>13</v>
      </c>
      <c r="C241" s="3" t="s">
        <v>65</v>
      </c>
      <c r="D241" s="3" t="s">
        <v>66</v>
      </c>
      <c r="E241" s="3" t="s">
        <v>64</v>
      </c>
      <c r="F241" s="3">
        <v>2009</v>
      </c>
      <c r="G241" s="3">
        <v>3</v>
      </c>
      <c r="H241" s="2">
        <v>5</v>
      </c>
      <c r="I241" s="4">
        <v>61164443</v>
      </c>
    </row>
    <row r="242" spans="1:9">
      <c r="A242" s="5">
        <v>10000241</v>
      </c>
      <c r="B242" s="3" t="s">
        <v>10</v>
      </c>
      <c r="C242" s="3" t="s">
        <v>67</v>
      </c>
      <c r="D242" s="3" t="s">
        <v>69</v>
      </c>
      <c r="E242" s="3" t="s">
        <v>62</v>
      </c>
      <c r="F242" s="3">
        <v>1999</v>
      </c>
      <c r="G242" s="3">
        <v>1</v>
      </c>
      <c r="H242" s="2">
        <v>1</v>
      </c>
      <c r="I242" s="4">
        <v>475220</v>
      </c>
    </row>
    <row r="243" spans="1:9">
      <c r="A243" s="5">
        <v>10000242</v>
      </c>
      <c r="B243" s="3" t="s">
        <v>13</v>
      </c>
      <c r="C243" s="3" t="s">
        <v>65</v>
      </c>
      <c r="D243" s="3" t="s">
        <v>68</v>
      </c>
      <c r="E243" s="3" t="s">
        <v>64</v>
      </c>
      <c r="F243" s="3">
        <v>2007</v>
      </c>
      <c r="G243" s="3">
        <v>1</v>
      </c>
      <c r="H243" s="2">
        <v>4</v>
      </c>
      <c r="I243" s="4">
        <v>19475307</v>
      </c>
    </row>
    <row r="244" spans="1:9">
      <c r="A244" s="5">
        <v>10000243</v>
      </c>
      <c r="B244" s="3" t="s">
        <v>11</v>
      </c>
      <c r="C244" s="3" t="s">
        <v>65</v>
      </c>
      <c r="D244" s="3" t="s">
        <v>66</v>
      </c>
      <c r="E244" s="3" t="s">
        <v>64</v>
      </c>
      <c r="F244" s="3">
        <v>2007</v>
      </c>
      <c r="G244" s="3">
        <v>1</v>
      </c>
      <c r="H244" s="2">
        <v>5</v>
      </c>
      <c r="I244" s="4">
        <v>56160396</v>
      </c>
    </row>
    <row r="245" spans="1:9">
      <c r="A245" s="5">
        <v>10000244</v>
      </c>
      <c r="B245" s="3" t="s">
        <v>10</v>
      </c>
      <c r="C245" s="3" t="s">
        <v>67</v>
      </c>
      <c r="D245" s="3" t="s">
        <v>68</v>
      </c>
      <c r="E245" s="3" t="s">
        <v>63</v>
      </c>
      <c r="F245" s="3">
        <v>2019</v>
      </c>
      <c r="G245" s="3">
        <v>5</v>
      </c>
      <c r="H245" s="2">
        <v>2</v>
      </c>
      <c r="I245" s="4">
        <v>16714080</v>
      </c>
    </row>
    <row r="246" spans="1:9">
      <c r="A246" s="5">
        <v>10000245</v>
      </c>
      <c r="B246" s="3" t="s">
        <v>10</v>
      </c>
      <c r="C246" s="3" t="s">
        <v>67</v>
      </c>
      <c r="D246" s="3" t="s">
        <v>66</v>
      </c>
      <c r="E246" s="3" t="s">
        <v>64</v>
      </c>
      <c r="F246" s="3">
        <v>2020</v>
      </c>
      <c r="G246" s="3">
        <v>2</v>
      </c>
      <c r="H246" s="2">
        <v>4</v>
      </c>
      <c r="I246" s="4">
        <v>46115172</v>
      </c>
    </row>
    <row r="247" spans="1:9">
      <c r="A247" s="5">
        <v>10000246</v>
      </c>
      <c r="B247" s="3" t="s">
        <v>14</v>
      </c>
      <c r="C247" s="3" t="s">
        <v>65</v>
      </c>
      <c r="D247" s="3" t="s">
        <v>69</v>
      </c>
      <c r="E247" s="3" t="s">
        <v>64</v>
      </c>
      <c r="F247" s="3">
        <v>2002</v>
      </c>
      <c r="G247" s="3">
        <v>3</v>
      </c>
      <c r="H247" s="2">
        <v>5</v>
      </c>
      <c r="I247" s="4">
        <v>4480666</v>
      </c>
    </row>
    <row r="248" spans="1:9">
      <c r="A248" s="5">
        <v>10000247</v>
      </c>
      <c r="B248" s="3" t="s">
        <v>12</v>
      </c>
      <c r="C248" s="3" t="s">
        <v>67</v>
      </c>
      <c r="D248" s="3" t="s">
        <v>69</v>
      </c>
      <c r="E248" s="3" t="s">
        <v>62</v>
      </c>
      <c r="F248" s="3">
        <v>2014</v>
      </c>
      <c r="G248" s="3">
        <v>1</v>
      </c>
      <c r="H248" s="2">
        <v>0</v>
      </c>
      <c r="I248" s="4">
        <v>555509</v>
      </c>
    </row>
    <row r="249" spans="1:9">
      <c r="A249" s="5">
        <v>10000248</v>
      </c>
      <c r="B249" s="3" t="s">
        <v>12</v>
      </c>
      <c r="C249" s="3" t="s">
        <v>67</v>
      </c>
      <c r="D249" s="3" t="s">
        <v>66</v>
      </c>
      <c r="E249" s="3" t="s">
        <v>64</v>
      </c>
      <c r="F249" s="3">
        <v>2011</v>
      </c>
      <c r="G249" s="3">
        <v>2</v>
      </c>
      <c r="H249" s="2">
        <v>5</v>
      </c>
      <c r="I249" s="4">
        <v>47648429</v>
      </c>
    </row>
    <row r="250" spans="1:9">
      <c r="A250" s="5">
        <v>10000249</v>
      </c>
      <c r="B250" s="3" t="s">
        <v>11</v>
      </c>
      <c r="C250" s="3" t="s">
        <v>65</v>
      </c>
      <c r="D250" s="3" t="s">
        <v>66</v>
      </c>
      <c r="E250" s="3" t="s">
        <v>64</v>
      </c>
      <c r="F250" s="3">
        <v>2007</v>
      </c>
      <c r="G250" s="3">
        <v>5</v>
      </c>
      <c r="H250" s="2">
        <v>5</v>
      </c>
      <c r="I250" s="4">
        <v>28683365</v>
      </c>
    </row>
    <row r="251" spans="1:9">
      <c r="A251" s="5">
        <v>10000250</v>
      </c>
      <c r="B251" s="3" t="s">
        <v>10</v>
      </c>
      <c r="C251" s="3" t="s">
        <v>67</v>
      </c>
      <c r="D251" s="3" t="s">
        <v>69</v>
      </c>
      <c r="E251" s="3" t="s">
        <v>62</v>
      </c>
      <c r="F251" s="3">
        <v>2004</v>
      </c>
      <c r="G251" s="3">
        <v>1</v>
      </c>
      <c r="H251" s="2">
        <v>1</v>
      </c>
      <c r="I251" s="4">
        <v>591609</v>
      </c>
    </row>
    <row r="252" spans="1:9">
      <c r="A252" s="5">
        <v>10000251</v>
      </c>
      <c r="B252" s="3" t="s">
        <v>9</v>
      </c>
      <c r="C252" s="3" t="s">
        <v>67</v>
      </c>
      <c r="D252" s="3" t="s">
        <v>66</v>
      </c>
      <c r="E252" s="3" t="s">
        <v>64</v>
      </c>
      <c r="F252" s="3">
        <v>2020</v>
      </c>
      <c r="G252" s="3">
        <v>5</v>
      </c>
      <c r="H252" s="2">
        <v>3</v>
      </c>
      <c r="I252" s="4">
        <v>42493551</v>
      </c>
    </row>
    <row r="253" spans="1:9">
      <c r="A253" s="5">
        <v>10000252</v>
      </c>
      <c r="B253" s="3" t="s">
        <v>13</v>
      </c>
      <c r="C253" s="3" t="s">
        <v>65</v>
      </c>
      <c r="D253" s="3" t="s">
        <v>66</v>
      </c>
      <c r="E253" s="3" t="s">
        <v>64</v>
      </c>
      <c r="F253" s="3">
        <v>2012</v>
      </c>
      <c r="G253" s="3">
        <v>3</v>
      </c>
      <c r="H253" s="2">
        <v>3</v>
      </c>
      <c r="I253" s="4">
        <v>50782008</v>
      </c>
    </row>
    <row r="254" spans="1:9">
      <c r="A254" s="5">
        <v>10000253</v>
      </c>
      <c r="B254" s="3" t="s">
        <v>12</v>
      </c>
      <c r="C254" s="3" t="s">
        <v>67</v>
      </c>
      <c r="D254" s="3" t="s">
        <v>69</v>
      </c>
      <c r="E254" s="3" t="s">
        <v>63</v>
      </c>
      <c r="F254" s="3">
        <v>1997</v>
      </c>
      <c r="G254" s="3">
        <v>4</v>
      </c>
      <c r="H254" s="2">
        <v>1</v>
      </c>
      <c r="I254" s="4">
        <v>3077671</v>
      </c>
    </row>
    <row r="255" spans="1:9">
      <c r="A255" s="5">
        <v>10000254</v>
      </c>
      <c r="B255" s="3" t="s">
        <v>12</v>
      </c>
      <c r="C255" s="3" t="s">
        <v>67</v>
      </c>
      <c r="D255" s="3" t="s">
        <v>66</v>
      </c>
      <c r="E255" s="3" t="s">
        <v>64</v>
      </c>
      <c r="F255" s="3">
        <v>1988</v>
      </c>
      <c r="G255" s="3">
        <v>2</v>
      </c>
      <c r="H255" s="2">
        <v>5</v>
      </c>
      <c r="I255" s="4">
        <v>51936306</v>
      </c>
    </row>
    <row r="256" spans="1:9">
      <c r="A256" s="5">
        <v>10000255</v>
      </c>
      <c r="B256" s="3" t="s">
        <v>13</v>
      </c>
      <c r="C256" s="3" t="s">
        <v>65</v>
      </c>
      <c r="D256" s="3" t="s">
        <v>69</v>
      </c>
      <c r="E256" s="3" t="s">
        <v>62</v>
      </c>
      <c r="F256" s="3">
        <v>2004</v>
      </c>
      <c r="G256" s="3">
        <v>1</v>
      </c>
      <c r="H256" s="2">
        <v>0</v>
      </c>
      <c r="I256" s="4">
        <v>416654</v>
      </c>
    </row>
    <row r="257" spans="1:9">
      <c r="A257" s="5">
        <v>10000256</v>
      </c>
      <c r="B257" s="3" t="s">
        <v>11</v>
      </c>
      <c r="C257" s="3" t="s">
        <v>65</v>
      </c>
      <c r="D257" s="3" t="s">
        <v>68</v>
      </c>
      <c r="E257" s="3" t="s">
        <v>63</v>
      </c>
      <c r="F257" s="3">
        <v>1994</v>
      </c>
      <c r="G257" s="3">
        <v>3</v>
      </c>
      <c r="H257" s="2">
        <v>0</v>
      </c>
      <c r="I257" s="4">
        <v>18636010</v>
      </c>
    </row>
    <row r="258" spans="1:9">
      <c r="A258" s="5">
        <v>10000257</v>
      </c>
      <c r="B258" s="3" t="s">
        <v>10</v>
      </c>
      <c r="C258" s="3" t="s">
        <v>67</v>
      </c>
      <c r="D258" s="3" t="s">
        <v>68</v>
      </c>
      <c r="E258" s="3" t="s">
        <v>63</v>
      </c>
      <c r="F258" s="3">
        <v>1983</v>
      </c>
      <c r="G258" s="3">
        <v>2</v>
      </c>
      <c r="H258" s="2">
        <v>0</v>
      </c>
      <c r="I258" s="4">
        <v>21154021</v>
      </c>
    </row>
    <row r="259" spans="1:9">
      <c r="A259" s="5">
        <v>10000258</v>
      </c>
      <c r="B259" s="3" t="s">
        <v>10</v>
      </c>
      <c r="C259" s="3" t="s">
        <v>67</v>
      </c>
      <c r="D259" s="3" t="s">
        <v>68</v>
      </c>
      <c r="E259" s="3" t="s">
        <v>63</v>
      </c>
      <c r="F259" s="3">
        <v>2024</v>
      </c>
      <c r="G259" s="3">
        <v>3</v>
      </c>
      <c r="H259" s="2">
        <v>2</v>
      </c>
      <c r="I259" s="4">
        <v>13217647</v>
      </c>
    </row>
    <row r="260" spans="1:9">
      <c r="A260" s="5">
        <v>10000259</v>
      </c>
      <c r="B260" s="3" t="s">
        <v>12</v>
      </c>
      <c r="C260" s="3" t="s">
        <v>67</v>
      </c>
      <c r="D260" s="3" t="s">
        <v>68</v>
      </c>
      <c r="E260" s="3" t="s">
        <v>64</v>
      </c>
      <c r="F260" s="3">
        <v>2002</v>
      </c>
      <c r="G260" s="3">
        <v>4</v>
      </c>
      <c r="H260" s="2">
        <v>3</v>
      </c>
      <c r="I260" s="4">
        <v>9511285</v>
      </c>
    </row>
    <row r="261" spans="1:9">
      <c r="A261" s="5">
        <v>10000260</v>
      </c>
      <c r="B261" s="3" t="s">
        <v>13</v>
      </c>
      <c r="C261" s="3" t="s">
        <v>65</v>
      </c>
      <c r="D261" s="3" t="s">
        <v>68</v>
      </c>
      <c r="E261" s="3" t="s">
        <v>63</v>
      </c>
      <c r="F261" s="3">
        <v>1993</v>
      </c>
      <c r="G261" s="3">
        <v>4</v>
      </c>
      <c r="H261" s="2">
        <v>2</v>
      </c>
      <c r="I261" s="4">
        <v>4368806</v>
      </c>
    </row>
    <row r="262" spans="1:9">
      <c r="A262" s="5">
        <v>10000261</v>
      </c>
      <c r="B262" s="3" t="s">
        <v>10</v>
      </c>
      <c r="C262" s="3" t="s">
        <v>67</v>
      </c>
      <c r="D262" s="3" t="s">
        <v>69</v>
      </c>
      <c r="E262" s="3" t="s">
        <v>62</v>
      </c>
      <c r="F262" s="3">
        <v>2002</v>
      </c>
      <c r="G262" s="3">
        <v>1</v>
      </c>
      <c r="H262" s="2">
        <v>1</v>
      </c>
      <c r="I262" s="4">
        <v>538062</v>
      </c>
    </row>
    <row r="263" spans="1:9">
      <c r="A263" s="5">
        <v>10000262</v>
      </c>
      <c r="B263" s="3" t="s">
        <v>14</v>
      </c>
      <c r="C263" s="3" t="s">
        <v>65</v>
      </c>
      <c r="D263" s="3" t="s">
        <v>69</v>
      </c>
      <c r="E263" s="3" t="s">
        <v>63</v>
      </c>
      <c r="F263" s="3">
        <v>1984</v>
      </c>
      <c r="G263" s="3">
        <v>3</v>
      </c>
      <c r="H263" s="2">
        <v>1</v>
      </c>
      <c r="I263" s="4">
        <v>3296559</v>
      </c>
    </row>
    <row r="264" spans="1:9">
      <c r="A264" s="5">
        <v>10000263</v>
      </c>
      <c r="B264" s="3" t="s">
        <v>9</v>
      </c>
      <c r="C264" s="3" t="s">
        <v>67</v>
      </c>
      <c r="D264" s="3" t="s">
        <v>68</v>
      </c>
      <c r="E264" s="3" t="s">
        <v>63</v>
      </c>
      <c r="F264" s="3">
        <v>1990</v>
      </c>
      <c r="G264" s="3">
        <v>2</v>
      </c>
      <c r="H264" s="2">
        <v>2</v>
      </c>
      <c r="I264" s="4">
        <v>8600993</v>
      </c>
    </row>
    <row r="265" spans="1:9">
      <c r="A265" s="5">
        <v>10000264</v>
      </c>
      <c r="B265" s="3" t="s">
        <v>10</v>
      </c>
      <c r="C265" s="3" t="s">
        <v>67</v>
      </c>
      <c r="D265" s="3" t="s">
        <v>69</v>
      </c>
      <c r="E265" s="3" t="s">
        <v>64</v>
      </c>
      <c r="F265" s="3">
        <v>2018</v>
      </c>
      <c r="G265" s="3">
        <v>2</v>
      </c>
      <c r="H265" s="2">
        <v>5</v>
      </c>
      <c r="I265" s="4">
        <v>200000</v>
      </c>
    </row>
    <row r="266" spans="1:9">
      <c r="A266" s="5">
        <v>10000265</v>
      </c>
      <c r="B266" s="3" t="s">
        <v>10</v>
      </c>
      <c r="C266" s="3" t="s">
        <v>67</v>
      </c>
      <c r="D266" s="3" t="s">
        <v>68</v>
      </c>
      <c r="E266" s="3" t="s">
        <v>63</v>
      </c>
      <c r="F266" s="3">
        <v>1983</v>
      </c>
      <c r="G266" s="3">
        <v>5</v>
      </c>
      <c r="H266" s="2">
        <v>2</v>
      </c>
      <c r="I266" s="4">
        <v>21067762</v>
      </c>
    </row>
    <row r="267" spans="1:9">
      <c r="A267" s="5">
        <v>10000266</v>
      </c>
      <c r="B267" s="3" t="s">
        <v>13</v>
      </c>
      <c r="C267" s="3" t="s">
        <v>65</v>
      </c>
      <c r="D267" s="3" t="s">
        <v>69</v>
      </c>
      <c r="E267" s="3" t="s">
        <v>62</v>
      </c>
      <c r="F267" s="3">
        <v>1994</v>
      </c>
      <c r="G267" s="3">
        <v>1</v>
      </c>
      <c r="H267" s="2">
        <v>0</v>
      </c>
      <c r="I267" s="4">
        <v>636755</v>
      </c>
    </row>
    <row r="268" spans="1:9">
      <c r="A268" s="5">
        <v>10000267</v>
      </c>
      <c r="B268" s="3" t="s">
        <v>10</v>
      </c>
      <c r="C268" s="3" t="s">
        <v>67</v>
      </c>
      <c r="D268" s="3" t="s">
        <v>68</v>
      </c>
      <c r="E268" s="3" t="s">
        <v>64</v>
      </c>
      <c r="F268" s="3">
        <v>1998</v>
      </c>
      <c r="G268" s="3">
        <v>4</v>
      </c>
      <c r="H268" s="2">
        <v>5</v>
      </c>
      <c r="I268" s="4">
        <v>8444212</v>
      </c>
    </row>
    <row r="269" spans="1:9">
      <c r="A269" s="5">
        <v>10000268</v>
      </c>
      <c r="B269" s="3" t="s">
        <v>9</v>
      </c>
      <c r="C269" s="3" t="s">
        <v>67</v>
      </c>
      <c r="D269" s="3" t="s">
        <v>66</v>
      </c>
      <c r="E269" s="3" t="s">
        <v>64</v>
      </c>
      <c r="F269" s="3">
        <v>2019</v>
      </c>
      <c r="G269" s="3">
        <v>4</v>
      </c>
      <c r="H269" s="2">
        <v>5</v>
      </c>
      <c r="I269" s="4">
        <v>59008645</v>
      </c>
    </row>
    <row r="270" spans="1:9">
      <c r="A270" s="5">
        <v>10000269</v>
      </c>
      <c r="B270" s="3" t="s">
        <v>11</v>
      </c>
      <c r="C270" s="3" t="s">
        <v>65</v>
      </c>
      <c r="D270" s="3" t="s">
        <v>66</v>
      </c>
      <c r="E270" s="3" t="s">
        <v>64</v>
      </c>
      <c r="F270" s="3">
        <v>1984</v>
      </c>
      <c r="G270" s="3">
        <v>3</v>
      </c>
      <c r="H270" s="2">
        <v>5</v>
      </c>
      <c r="I270" s="4">
        <v>38278672</v>
      </c>
    </row>
    <row r="271" spans="1:9">
      <c r="A271" s="5">
        <v>10000270</v>
      </c>
      <c r="B271" s="3" t="s">
        <v>9</v>
      </c>
      <c r="C271" s="3" t="s">
        <v>67</v>
      </c>
      <c r="D271" s="3" t="s">
        <v>69</v>
      </c>
      <c r="E271" s="3" t="s">
        <v>63</v>
      </c>
      <c r="F271" s="3">
        <v>2005</v>
      </c>
      <c r="G271" s="3">
        <v>5</v>
      </c>
      <c r="H271" s="2">
        <v>0</v>
      </c>
      <c r="I271" s="4">
        <v>3995072</v>
      </c>
    </row>
    <row r="272" spans="1:9">
      <c r="A272" s="5">
        <v>10000271</v>
      </c>
      <c r="B272" s="3" t="s">
        <v>12</v>
      </c>
      <c r="C272" s="3" t="s">
        <v>67</v>
      </c>
      <c r="D272" s="3" t="s">
        <v>68</v>
      </c>
      <c r="E272" s="3" t="s">
        <v>64</v>
      </c>
      <c r="F272" s="3">
        <v>2024</v>
      </c>
      <c r="G272" s="3">
        <v>4</v>
      </c>
      <c r="H272" s="2">
        <v>3</v>
      </c>
      <c r="I272" s="4">
        <v>15991445</v>
      </c>
    </row>
    <row r="273" spans="1:9">
      <c r="A273" s="5">
        <v>10000272</v>
      </c>
      <c r="B273" s="3" t="s">
        <v>11</v>
      </c>
      <c r="C273" s="3" t="s">
        <v>65</v>
      </c>
      <c r="D273" s="3" t="s">
        <v>69</v>
      </c>
      <c r="E273" s="3" t="s">
        <v>62</v>
      </c>
      <c r="F273" s="3">
        <v>2004</v>
      </c>
      <c r="G273" s="3">
        <v>1</v>
      </c>
      <c r="H273" s="2">
        <v>0</v>
      </c>
      <c r="I273" s="4">
        <v>343875</v>
      </c>
    </row>
    <row r="274" spans="1:9">
      <c r="A274" s="5">
        <v>10000273</v>
      </c>
      <c r="B274" s="3" t="s">
        <v>12</v>
      </c>
      <c r="C274" s="3" t="s">
        <v>67</v>
      </c>
      <c r="D274" s="3" t="s">
        <v>68</v>
      </c>
      <c r="E274" s="3" t="s">
        <v>64</v>
      </c>
      <c r="F274" s="3">
        <v>2023</v>
      </c>
      <c r="G274" s="3">
        <v>2</v>
      </c>
      <c r="H274" s="2">
        <v>4</v>
      </c>
      <c r="I274" s="4">
        <v>11935673</v>
      </c>
    </row>
    <row r="275" spans="1:9">
      <c r="A275" s="5">
        <v>10000274</v>
      </c>
      <c r="B275" s="3" t="s">
        <v>11</v>
      </c>
      <c r="C275" s="3" t="s">
        <v>65</v>
      </c>
      <c r="D275" s="3" t="s">
        <v>66</v>
      </c>
      <c r="E275" s="3" t="s">
        <v>64</v>
      </c>
      <c r="F275" s="3">
        <v>2023</v>
      </c>
      <c r="G275" s="3">
        <v>3</v>
      </c>
      <c r="H275" s="2">
        <v>3</v>
      </c>
      <c r="I275" s="4">
        <v>58196002</v>
      </c>
    </row>
    <row r="276" spans="1:9">
      <c r="A276" s="5">
        <v>10000275</v>
      </c>
      <c r="B276" s="3" t="s">
        <v>13</v>
      </c>
      <c r="C276" s="3" t="s">
        <v>65</v>
      </c>
      <c r="D276" s="3" t="s">
        <v>69</v>
      </c>
      <c r="E276" s="3" t="s">
        <v>63</v>
      </c>
      <c r="F276" s="3">
        <v>2007</v>
      </c>
      <c r="G276" s="3">
        <v>1</v>
      </c>
      <c r="H276" s="2">
        <v>2</v>
      </c>
      <c r="I276" s="4">
        <v>2812797</v>
      </c>
    </row>
    <row r="277" spans="1:9">
      <c r="A277" s="5">
        <v>10000276</v>
      </c>
      <c r="B277" s="3" t="s">
        <v>9</v>
      </c>
      <c r="C277" s="3" t="s">
        <v>67</v>
      </c>
      <c r="D277" s="3" t="s">
        <v>68</v>
      </c>
      <c r="E277" s="3" t="s">
        <v>63</v>
      </c>
      <c r="F277" s="3">
        <v>2003</v>
      </c>
      <c r="G277" s="3">
        <v>4</v>
      </c>
      <c r="H277" s="2">
        <v>0</v>
      </c>
      <c r="I277" s="4">
        <v>11282848</v>
      </c>
    </row>
    <row r="278" spans="1:9">
      <c r="A278" s="5">
        <v>10000277</v>
      </c>
      <c r="B278" s="3" t="s">
        <v>9</v>
      </c>
      <c r="C278" s="3" t="s">
        <v>67</v>
      </c>
      <c r="D278" s="3" t="s">
        <v>68</v>
      </c>
      <c r="E278" s="3" t="s">
        <v>63</v>
      </c>
      <c r="F278" s="3">
        <v>2005</v>
      </c>
      <c r="G278" s="3">
        <v>1</v>
      </c>
      <c r="H278" s="2">
        <v>1</v>
      </c>
      <c r="I278" s="4">
        <v>2052284</v>
      </c>
    </row>
    <row r="279" spans="1:9">
      <c r="A279" s="5">
        <v>10000278</v>
      </c>
      <c r="B279" s="3" t="s">
        <v>9</v>
      </c>
      <c r="C279" s="3" t="s">
        <v>67</v>
      </c>
      <c r="D279" s="3" t="s">
        <v>68</v>
      </c>
      <c r="E279" s="3" t="s">
        <v>64</v>
      </c>
      <c r="F279" s="3">
        <v>2008</v>
      </c>
      <c r="G279" s="3">
        <v>4</v>
      </c>
      <c r="H279" s="2">
        <v>3</v>
      </c>
      <c r="I279" s="4">
        <v>15335357</v>
      </c>
    </row>
    <row r="280" spans="1:9">
      <c r="A280" s="5">
        <v>10000279</v>
      </c>
      <c r="B280" s="3" t="s">
        <v>10</v>
      </c>
      <c r="C280" s="3" t="s">
        <v>67</v>
      </c>
      <c r="D280" s="3" t="s">
        <v>69</v>
      </c>
      <c r="E280" s="3" t="s">
        <v>62</v>
      </c>
      <c r="F280" s="3">
        <v>1989</v>
      </c>
      <c r="G280" s="3">
        <v>1</v>
      </c>
      <c r="H280" s="2">
        <v>0</v>
      </c>
      <c r="I280" s="4">
        <v>352904</v>
      </c>
    </row>
    <row r="281" spans="1:9">
      <c r="A281" s="5">
        <v>10000280</v>
      </c>
      <c r="B281" s="3" t="s">
        <v>11</v>
      </c>
      <c r="C281" s="3" t="s">
        <v>65</v>
      </c>
      <c r="D281" s="3" t="s">
        <v>66</v>
      </c>
      <c r="E281" s="3" t="s">
        <v>64</v>
      </c>
      <c r="F281" s="3">
        <v>1981</v>
      </c>
      <c r="G281" s="3">
        <v>1</v>
      </c>
      <c r="H281" s="2">
        <v>3</v>
      </c>
      <c r="I281" s="4">
        <v>56041557</v>
      </c>
    </row>
    <row r="282" spans="1:9">
      <c r="A282" s="5">
        <v>10000281</v>
      </c>
      <c r="B282" s="3" t="s">
        <v>9</v>
      </c>
      <c r="C282" s="3" t="s">
        <v>67</v>
      </c>
      <c r="D282" s="3" t="s">
        <v>68</v>
      </c>
      <c r="E282" s="3" t="s">
        <v>63</v>
      </c>
      <c r="F282" s="3">
        <v>2015</v>
      </c>
      <c r="G282" s="3">
        <v>1</v>
      </c>
      <c r="H282" s="2">
        <v>2</v>
      </c>
      <c r="I282" s="4">
        <v>13436590</v>
      </c>
    </row>
    <row r="283" spans="1:9">
      <c r="A283" s="5">
        <v>10000282</v>
      </c>
      <c r="B283" s="3" t="s">
        <v>12</v>
      </c>
      <c r="C283" s="3" t="s">
        <v>67</v>
      </c>
      <c r="D283" s="3" t="s">
        <v>66</v>
      </c>
      <c r="E283" s="3" t="s">
        <v>64</v>
      </c>
      <c r="F283" s="3">
        <v>1982</v>
      </c>
      <c r="G283" s="3">
        <v>3</v>
      </c>
      <c r="H283" s="2">
        <v>5</v>
      </c>
      <c r="I283" s="4">
        <v>40993620</v>
      </c>
    </row>
    <row r="284" spans="1:9">
      <c r="A284" s="5">
        <v>10000283</v>
      </c>
      <c r="B284" s="3" t="s">
        <v>12</v>
      </c>
      <c r="C284" s="3" t="s">
        <v>67</v>
      </c>
      <c r="D284" s="3" t="s">
        <v>66</v>
      </c>
      <c r="E284" s="3" t="s">
        <v>64</v>
      </c>
      <c r="F284" s="3">
        <v>2002</v>
      </c>
      <c r="G284" s="3">
        <v>4</v>
      </c>
      <c r="H284" s="2">
        <v>5</v>
      </c>
      <c r="I284" s="4">
        <v>55008004</v>
      </c>
    </row>
    <row r="285" spans="1:9">
      <c r="A285" s="5">
        <v>10000284</v>
      </c>
      <c r="B285" s="3" t="s">
        <v>12</v>
      </c>
      <c r="C285" s="3" t="s">
        <v>67</v>
      </c>
      <c r="D285" s="3" t="s">
        <v>69</v>
      </c>
      <c r="E285" s="3" t="s">
        <v>63</v>
      </c>
      <c r="F285" s="3">
        <v>1999</v>
      </c>
      <c r="G285" s="3">
        <v>4</v>
      </c>
      <c r="H285" s="2">
        <v>0</v>
      </c>
      <c r="I285" s="4">
        <v>5786044</v>
      </c>
    </row>
    <row r="286" spans="1:9">
      <c r="A286" s="5">
        <v>10000285</v>
      </c>
      <c r="B286" s="3" t="s">
        <v>13</v>
      </c>
      <c r="C286" s="3" t="s">
        <v>65</v>
      </c>
      <c r="D286" s="3" t="s">
        <v>66</v>
      </c>
      <c r="E286" s="3" t="s">
        <v>64</v>
      </c>
      <c r="F286" s="3">
        <v>2010</v>
      </c>
      <c r="G286" s="3">
        <v>3</v>
      </c>
      <c r="H286" s="2">
        <v>4</v>
      </c>
      <c r="I286" s="4">
        <v>39565346</v>
      </c>
    </row>
    <row r="287" spans="1:9">
      <c r="A287" s="5">
        <v>10000286</v>
      </c>
      <c r="B287" s="3" t="s">
        <v>14</v>
      </c>
      <c r="C287" s="3" t="s">
        <v>65</v>
      </c>
      <c r="D287" s="3" t="s">
        <v>66</v>
      </c>
      <c r="E287" s="3" t="s">
        <v>64</v>
      </c>
      <c r="F287" s="3">
        <v>1995</v>
      </c>
      <c r="G287" s="3">
        <v>5</v>
      </c>
      <c r="H287" s="2">
        <v>3</v>
      </c>
      <c r="I287" s="4">
        <v>51223696</v>
      </c>
    </row>
    <row r="288" spans="1:9">
      <c r="A288" s="5">
        <v>10000287</v>
      </c>
      <c r="B288" s="3" t="s">
        <v>12</v>
      </c>
      <c r="C288" s="3" t="s">
        <v>67</v>
      </c>
      <c r="D288" s="3" t="s">
        <v>66</v>
      </c>
      <c r="E288" s="3" t="s">
        <v>64</v>
      </c>
      <c r="F288" s="3">
        <v>2011</v>
      </c>
      <c r="G288" s="3">
        <v>2</v>
      </c>
      <c r="H288" s="2">
        <v>4</v>
      </c>
      <c r="I288" s="4">
        <v>53965260</v>
      </c>
    </row>
    <row r="289" spans="1:9">
      <c r="A289" s="5">
        <v>10000288</v>
      </c>
      <c r="B289" s="3" t="s">
        <v>11</v>
      </c>
      <c r="C289" s="3" t="s">
        <v>65</v>
      </c>
      <c r="D289" s="3" t="s">
        <v>69</v>
      </c>
      <c r="E289" s="3" t="s">
        <v>64</v>
      </c>
      <c r="F289" s="3">
        <v>1994</v>
      </c>
      <c r="G289" s="3">
        <v>3</v>
      </c>
      <c r="H289" s="2">
        <v>3</v>
      </c>
      <c r="I289" s="4">
        <v>4082565</v>
      </c>
    </row>
    <row r="290" spans="1:9">
      <c r="A290" s="5">
        <v>10000289</v>
      </c>
      <c r="B290" s="3" t="s">
        <v>12</v>
      </c>
      <c r="C290" s="3" t="s">
        <v>67</v>
      </c>
      <c r="D290" s="3" t="s">
        <v>69</v>
      </c>
      <c r="E290" s="3" t="s">
        <v>62</v>
      </c>
      <c r="F290" s="3">
        <v>1983</v>
      </c>
      <c r="G290" s="3">
        <v>1</v>
      </c>
      <c r="H290" s="2">
        <v>2</v>
      </c>
      <c r="I290" s="4">
        <v>536980</v>
      </c>
    </row>
    <row r="291" spans="1:9">
      <c r="A291" s="5">
        <v>10000290</v>
      </c>
      <c r="B291" s="3" t="s">
        <v>11</v>
      </c>
      <c r="C291" s="3" t="s">
        <v>65</v>
      </c>
      <c r="D291" s="3" t="s">
        <v>69</v>
      </c>
      <c r="E291" s="3" t="s">
        <v>64</v>
      </c>
      <c r="F291" s="3">
        <v>1990</v>
      </c>
      <c r="G291" s="3">
        <v>4</v>
      </c>
      <c r="H291" s="2">
        <v>5</v>
      </c>
      <c r="I291" s="4">
        <v>5715251</v>
      </c>
    </row>
    <row r="292" spans="1:9">
      <c r="A292" s="5">
        <v>10000291</v>
      </c>
      <c r="B292" s="3" t="s">
        <v>13</v>
      </c>
      <c r="C292" s="3" t="s">
        <v>65</v>
      </c>
      <c r="D292" s="3" t="s">
        <v>68</v>
      </c>
      <c r="E292" s="3" t="s">
        <v>64</v>
      </c>
      <c r="F292" s="3">
        <v>1987</v>
      </c>
      <c r="G292" s="3">
        <v>3</v>
      </c>
      <c r="H292" s="2">
        <v>4</v>
      </c>
      <c r="I292" s="4">
        <v>10374403</v>
      </c>
    </row>
    <row r="293" spans="1:9">
      <c r="A293" s="5">
        <v>10000292</v>
      </c>
      <c r="B293" s="3" t="s">
        <v>11</v>
      </c>
      <c r="C293" s="3" t="s">
        <v>65</v>
      </c>
      <c r="D293" s="3" t="s">
        <v>66</v>
      </c>
      <c r="E293" s="3" t="s">
        <v>64</v>
      </c>
      <c r="F293" s="3">
        <v>1980</v>
      </c>
      <c r="G293" s="3">
        <v>5</v>
      </c>
      <c r="H293" s="2">
        <v>5</v>
      </c>
      <c r="I293" s="4">
        <v>59512442</v>
      </c>
    </row>
    <row r="294" spans="1:9">
      <c r="A294" s="5">
        <v>10000293</v>
      </c>
      <c r="B294" s="3" t="s">
        <v>13</v>
      </c>
      <c r="C294" s="3" t="s">
        <v>65</v>
      </c>
      <c r="D294" s="3" t="s">
        <v>68</v>
      </c>
      <c r="E294" s="3" t="s">
        <v>63</v>
      </c>
      <c r="F294" s="3">
        <v>1980</v>
      </c>
      <c r="G294" s="3">
        <v>3</v>
      </c>
      <c r="H294" s="2">
        <v>2</v>
      </c>
      <c r="I294" s="4">
        <v>14290757</v>
      </c>
    </row>
    <row r="295" spans="1:9">
      <c r="A295" s="5">
        <v>10000294</v>
      </c>
      <c r="B295" s="3" t="s">
        <v>9</v>
      </c>
      <c r="C295" s="3" t="s">
        <v>67</v>
      </c>
      <c r="D295" s="3" t="s">
        <v>66</v>
      </c>
      <c r="E295" s="3" t="s">
        <v>64</v>
      </c>
      <c r="F295" s="3">
        <v>2015</v>
      </c>
      <c r="G295" s="3">
        <v>5</v>
      </c>
      <c r="H295" s="2">
        <v>4</v>
      </c>
      <c r="I295" s="4">
        <v>50752657</v>
      </c>
    </row>
    <row r="296" spans="1:9">
      <c r="A296" s="5">
        <v>10000295</v>
      </c>
      <c r="B296" s="3" t="s">
        <v>12</v>
      </c>
      <c r="C296" s="3" t="s">
        <v>67</v>
      </c>
      <c r="D296" s="3" t="s">
        <v>68</v>
      </c>
      <c r="E296" s="3" t="s">
        <v>64</v>
      </c>
      <c r="F296" s="3">
        <v>2011</v>
      </c>
      <c r="G296" s="3">
        <v>3</v>
      </c>
      <c r="H296" s="2">
        <v>5</v>
      </c>
      <c r="I296" s="4">
        <v>8385127</v>
      </c>
    </row>
    <row r="297" spans="1:9">
      <c r="A297" s="5">
        <v>10000296</v>
      </c>
      <c r="B297" s="3" t="s">
        <v>9</v>
      </c>
      <c r="C297" s="3" t="s">
        <v>67</v>
      </c>
      <c r="D297" s="3" t="s">
        <v>69</v>
      </c>
      <c r="E297" s="3" t="s">
        <v>63</v>
      </c>
      <c r="F297" s="3">
        <v>2018</v>
      </c>
      <c r="G297" s="3">
        <v>2</v>
      </c>
      <c r="H297" s="2">
        <v>2</v>
      </c>
      <c r="I297" s="4">
        <v>4255452</v>
      </c>
    </row>
    <row r="298" spans="1:9">
      <c r="A298" s="5">
        <v>10000297</v>
      </c>
      <c r="B298" s="3" t="s">
        <v>10</v>
      </c>
      <c r="C298" s="3" t="s">
        <v>67</v>
      </c>
      <c r="D298" s="3" t="s">
        <v>68</v>
      </c>
      <c r="E298" s="3" t="s">
        <v>64</v>
      </c>
      <c r="F298" s="3">
        <v>1999</v>
      </c>
      <c r="G298" s="3">
        <v>2</v>
      </c>
      <c r="H298" s="2">
        <v>4</v>
      </c>
      <c r="I298" s="4">
        <v>13562771</v>
      </c>
    </row>
    <row r="299" spans="1:9">
      <c r="A299" s="5">
        <v>10000298</v>
      </c>
      <c r="B299" s="3" t="s">
        <v>9</v>
      </c>
      <c r="C299" s="3" t="s">
        <v>67</v>
      </c>
      <c r="D299" s="3" t="s">
        <v>68</v>
      </c>
      <c r="E299" s="3" t="s">
        <v>64</v>
      </c>
      <c r="F299" s="3">
        <v>2001</v>
      </c>
      <c r="G299" s="3">
        <v>3</v>
      </c>
      <c r="H299" s="2">
        <v>5</v>
      </c>
      <c r="I299" s="4">
        <v>14079776</v>
      </c>
    </row>
    <row r="300" spans="1:9">
      <c r="A300" s="5">
        <v>10000299</v>
      </c>
      <c r="B300" s="3" t="s">
        <v>14</v>
      </c>
      <c r="C300" s="3" t="s">
        <v>65</v>
      </c>
      <c r="D300" s="3" t="s">
        <v>68</v>
      </c>
      <c r="E300" s="3" t="s">
        <v>63</v>
      </c>
      <c r="F300" s="3">
        <v>2011</v>
      </c>
      <c r="G300" s="3">
        <v>2</v>
      </c>
      <c r="H300" s="2">
        <v>0</v>
      </c>
      <c r="I300" s="4">
        <v>18760225</v>
      </c>
    </row>
    <row r="301" spans="1:9">
      <c r="A301" s="5">
        <v>10000300</v>
      </c>
      <c r="B301" s="3" t="s">
        <v>10</v>
      </c>
      <c r="C301" s="3" t="s">
        <v>67</v>
      </c>
      <c r="D301" s="3" t="s">
        <v>68</v>
      </c>
      <c r="E301" s="3" t="s">
        <v>63</v>
      </c>
      <c r="F301" s="3">
        <v>2019</v>
      </c>
      <c r="G301" s="3">
        <v>1</v>
      </c>
      <c r="H301" s="2">
        <v>1</v>
      </c>
      <c r="I301" s="4">
        <v>8355620</v>
      </c>
    </row>
    <row r="302" spans="1:9">
      <c r="A302" s="5">
        <v>10000301</v>
      </c>
      <c r="B302" s="3" t="s">
        <v>12</v>
      </c>
      <c r="C302" s="3" t="s">
        <v>67</v>
      </c>
      <c r="D302" s="3" t="s">
        <v>69</v>
      </c>
      <c r="E302" s="3" t="s">
        <v>63</v>
      </c>
      <c r="F302" s="3">
        <v>2007</v>
      </c>
      <c r="G302" s="3">
        <v>4</v>
      </c>
      <c r="H302" s="2">
        <v>1</v>
      </c>
      <c r="I302" s="4">
        <v>2378736</v>
      </c>
    </row>
    <row r="303" spans="1:9">
      <c r="A303" s="5">
        <v>10000302</v>
      </c>
      <c r="B303" s="3" t="s">
        <v>13</v>
      </c>
      <c r="C303" s="3" t="s">
        <v>65</v>
      </c>
      <c r="D303" s="3" t="s">
        <v>66</v>
      </c>
      <c r="E303" s="3" t="s">
        <v>64</v>
      </c>
      <c r="F303" s="3">
        <v>1981</v>
      </c>
      <c r="G303" s="3">
        <v>2</v>
      </c>
      <c r="H303" s="2">
        <v>5</v>
      </c>
      <c r="I303" s="4">
        <v>54653771</v>
      </c>
    </row>
    <row r="304" spans="1:9">
      <c r="A304" s="5">
        <v>10000303</v>
      </c>
      <c r="B304" s="3" t="s">
        <v>11</v>
      </c>
      <c r="C304" s="3" t="s">
        <v>65</v>
      </c>
      <c r="D304" s="3" t="s">
        <v>69</v>
      </c>
      <c r="E304" s="3" t="s">
        <v>64</v>
      </c>
      <c r="F304" s="3">
        <v>1998</v>
      </c>
      <c r="G304" s="3">
        <v>4</v>
      </c>
      <c r="H304" s="2">
        <v>3</v>
      </c>
      <c r="I304" s="4">
        <v>1130117</v>
      </c>
    </row>
    <row r="305" spans="1:9">
      <c r="A305" s="5">
        <v>10000304</v>
      </c>
      <c r="B305" s="3" t="s">
        <v>9</v>
      </c>
      <c r="C305" s="3" t="s">
        <v>67</v>
      </c>
      <c r="D305" s="3" t="s">
        <v>69</v>
      </c>
      <c r="E305" s="3" t="s">
        <v>64</v>
      </c>
      <c r="F305" s="3">
        <v>1994</v>
      </c>
      <c r="G305" s="3">
        <v>2</v>
      </c>
      <c r="H305" s="2">
        <v>5</v>
      </c>
      <c r="I305" s="4">
        <v>4168661</v>
      </c>
    </row>
    <row r="306" spans="1:9">
      <c r="A306" s="5">
        <v>10000305</v>
      </c>
      <c r="B306" s="3" t="s">
        <v>10</v>
      </c>
      <c r="C306" s="3" t="s">
        <v>67</v>
      </c>
      <c r="D306" s="3" t="s">
        <v>69</v>
      </c>
      <c r="E306" s="3" t="s">
        <v>63</v>
      </c>
      <c r="F306" s="3">
        <v>2019</v>
      </c>
      <c r="G306" s="3">
        <v>3</v>
      </c>
      <c r="H306" s="2">
        <v>0</v>
      </c>
      <c r="I306" s="4">
        <v>4597483</v>
      </c>
    </row>
    <row r="307" spans="1:9">
      <c r="A307" s="5">
        <v>10000306</v>
      </c>
      <c r="B307" s="3" t="s">
        <v>11</v>
      </c>
      <c r="C307" s="3" t="s">
        <v>65</v>
      </c>
      <c r="D307" s="3" t="s">
        <v>68</v>
      </c>
      <c r="E307" s="3" t="s">
        <v>64</v>
      </c>
      <c r="F307" s="3">
        <v>2016</v>
      </c>
      <c r="G307" s="3">
        <v>3</v>
      </c>
      <c r="H307" s="2">
        <v>5</v>
      </c>
      <c r="I307" s="4">
        <v>22256752</v>
      </c>
    </row>
    <row r="308" spans="1:9">
      <c r="A308" s="5">
        <v>10000307</v>
      </c>
      <c r="B308" s="3" t="s">
        <v>12</v>
      </c>
      <c r="C308" s="3" t="s">
        <v>67</v>
      </c>
      <c r="D308" s="3" t="s">
        <v>69</v>
      </c>
      <c r="E308" s="3" t="s">
        <v>64</v>
      </c>
      <c r="F308" s="3">
        <v>1987</v>
      </c>
      <c r="G308" s="3">
        <v>4</v>
      </c>
      <c r="H308" s="2">
        <v>3</v>
      </c>
      <c r="I308" s="4">
        <v>3132470</v>
      </c>
    </row>
    <row r="309" spans="1:9">
      <c r="A309" s="5">
        <v>10000308</v>
      </c>
      <c r="B309" s="3" t="s">
        <v>14</v>
      </c>
      <c r="C309" s="3" t="s">
        <v>65</v>
      </c>
      <c r="D309" s="3" t="s">
        <v>69</v>
      </c>
      <c r="E309" s="3" t="s">
        <v>64</v>
      </c>
      <c r="F309" s="3">
        <v>2004</v>
      </c>
      <c r="G309" s="3">
        <v>4</v>
      </c>
      <c r="H309" s="2">
        <v>5</v>
      </c>
      <c r="I309" s="4">
        <v>1092719</v>
      </c>
    </row>
    <row r="310" spans="1:9">
      <c r="A310" s="5">
        <v>10000309</v>
      </c>
      <c r="B310" s="3" t="s">
        <v>10</v>
      </c>
      <c r="C310" s="3" t="s">
        <v>67</v>
      </c>
      <c r="D310" s="3" t="s">
        <v>66</v>
      </c>
      <c r="E310" s="3" t="s">
        <v>64</v>
      </c>
      <c r="F310" s="3">
        <v>1990</v>
      </c>
      <c r="G310" s="3">
        <v>1</v>
      </c>
      <c r="H310" s="2">
        <v>3</v>
      </c>
      <c r="I310" s="4">
        <v>55452676</v>
      </c>
    </row>
    <row r="311" spans="1:9">
      <c r="A311" s="5">
        <v>10000310</v>
      </c>
      <c r="B311" s="3" t="s">
        <v>14</v>
      </c>
      <c r="C311" s="3" t="s">
        <v>65</v>
      </c>
      <c r="D311" s="3" t="s">
        <v>66</v>
      </c>
      <c r="E311" s="3" t="s">
        <v>64</v>
      </c>
      <c r="F311" s="3">
        <v>2005</v>
      </c>
      <c r="G311" s="3">
        <v>5</v>
      </c>
      <c r="H311" s="2">
        <v>4</v>
      </c>
      <c r="I311" s="4">
        <v>50111038</v>
      </c>
    </row>
    <row r="312" spans="1:9">
      <c r="A312" s="5">
        <v>10000311</v>
      </c>
      <c r="B312" s="3" t="s">
        <v>9</v>
      </c>
      <c r="C312" s="3" t="s">
        <v>67</v>
      </c>
      <c r="D312" s="3" t="s">
        <v>66</v>
      </c>
      <c r="E312" s="3" t="s">
        <v>64</v>
      </c>
      <c r="F312" s="3">
        <v>2003</v>
      </c>
      <c r="G312" s="3">
        <v>2</v>
      </c>
      <c r="H312" s="2">
        <v>4</v>
      </c>
      <c r="I312" s="4">
        <v>53304921</v>
      </c>
    </row>
    <row r="313" spans="1:9">
      <c r="A313" s="5">
        <v>10000312</v>
      </c>
      <c r="B313" s="3" t="s">
        <v>9</v>
      </c>
      <c r="C313" s="3" t="s">
        <v>67</v>
      </c>
      <c r="D313" s="3" t="s">
        <v>66</v>
      </c>
      <c r="E313" s="3" t="s">
        <v>64</v>
      </c>
      <c r="F313" s="3">
        <v>1984</v>
      </c>
      <c r="G313" s="3">
        <v>5</v>
      </c>
      <c r="H313" s="2">
        <v>4</v>
      </c>
      <c r="I313" s="4">
        <v>48280590</v>
      </c>
    </row>
    <row r="314" spans="1:9">
      <c r="A314" s="5">
        <v>10000313</v>
      </c>
      <c r="B314" s="3" t="s">
        <v>13</v>
      </c>
      <c r="C314" s="3" t="s">
        <v>65</v>
      </c>
      <c r="D314" s="3" t="s">
        <v>68</v>
      </c>
      <c r="E314" s="3" t="s">
        <v>64</v>
      </c>
      <c r="F314" s="3">
        <v>2009</v>
      </c>
      <c r="G314" s="3">
        <v>5</v>
      </c>
      <c r="H314" s="2">
        <v>4</v>
      </c>
      <c r="I314" s="4">
        <v>19556624</v>
      </c>
    </row>
    <row r="315" spans="1:9">
      <c r="A315" s="5">
        <v>10000314</v>
      </c>
      <c r="B315" s="3" t="s">
        <v>12</v>
      </c>
      <c r="C315" s="3" t="s">
        <v>67</v>
      </c>
      <c r="D315" s="3" t="s">
        <v>68</v>
      </c>
      <c r="E315" s="3" t="s">
        <v>63</v>
      </c>
      <c r="F315" s="3">
        <v>2019</v>
      </c>
      <c r="G315" s="3">
        <v>1</v>
      </c>
      <c r="H315" s="2">
        <v>1</v>
      </c>
      <c r="I315" s="4">
        <v>12566265</v>
      </c>
    </row>
    <row r="316" spans="1:9">
      <c r="A316" s="5">
        <v>10000315</v>
      </c>
      <c r="B316" s="3" t="s">
        <v>11</v>
      </c>
      <c r="C316" s="3" t="s">
        <v>65</v>
      </c>
      <c r="D316" s="3" t="s">
        <v>69</v>
      </c>
      <c r="E316" s="3" t="s">
        <v>62</v>
      </c>
      <c r="F316" s="3">
        <v>2004</v>
      </c>
      <c r="G316" s="3">
        <v>1</v>
      </c>
      <c r="H316" s="2">
        <v>1</v>
      </c>
      <c r="I316" s="4">
        <v>433499</v>
      </c>
    </row>
    <row r="317" spans="1:9">
      <c r="A317" s="5">
        <v>10000316</v>
      </c>
      <c r="B317" s="3" t="s">
        <v>11</v>
      </c>
      <c r="C317" s="3" t="s">
        <v>65</v>
      </c>
      <c r="D317" s="3" t="s">
        <v>66</v>
      </c>
      <c r="E317" s="3" t="s">
        <v>64</v>
      </c>
      <c r="F317" s="3">
        <v>1994</v>
      </c>
      <c r="G317" s="3">
        <v>2</v>
      </c>
      <c r="H317" s="2">
        <v>3</v>
      </c>
      <c r="I317" s="4">
        <v>49282790</v>
      </c>
    </row>
    <row r="318" spans="1:9">
      <c r="A318" s="5">
        <v>10000317</v>
      </c>
      <c r="B318" s="3" t="s">
        <v>13</v>
      </c>
      <c r="C318" s="3" t="s">
        <v>65</v>
      </c>
      <c r="D318" s="3" t="s">
        <v>68</v>
      </c>
      <c r="E318" s="3" t="s">
        <v>63</v>
      </c>
      <c r="F318" s="3">
        <v>1994</v>
      </c>
      <c r="G318" s="3">
        <v>3</v>
      </c>
      <c r="H318" s="2">
        <v>1</v>
      </c>
      <c r="I318" s="4">
        <v>17762245</v>
      </c>
    </row>
    <row r="319" spans="1:9">
      <c r="A319" s="5">
        <v>10000318</v>
      </c>
      <c r="B319" s="3" t="s">
        <v>11</v>
      </c>
      <c r="C319" s="3" t="s">
        <v>65</v>
      </c>
      <c r="D319" s="3" t="s">
        <v>68</v>
      </c>
      <c r="E319" s="3" t="s">
        <v>63</v>
      </c>
      <c r="F319" s="3">
        <v>1988</v>
      </c>
      <c r="G319" s="3">
        <v>1</v>
      </c>
      <c r="H319" s="2">
        <v>0</v>
      </c>
      <c r="I319" s="4">
        <v>16478371</v>
      </c>
    </row>
    <row r="320" spans="1:9">
      <c r="A320" s="5">
        <v>10000319</v>
      </c>
      <c r="B320" s="3" t="s">
        <v>13</v>
      </c>
      <c r="C320" s="3" t="s">
        <v>65</v>
      </c>
      <c r="D320" s="3" t="s">
        <v>68</v>
      </c>
      <c r="E320" s="3" t="s">
        <v>63</v>
      </c>
      <c r="F320" s="3">
        <v>1989</v>
      </c>
      <c r="G320" s="3">
        <v>3</v>
      </c>
      <c r="H320" s="2">
        <v>0</v>
      </c>
      <c r="I320" s="4">
        <v>23275381</v>
      </c>
    </row>
    <row r="321" spans="1:9">
      <c r="A321" s="5">
        <v>10000320</v>
      </c>
      <c r="B321" s="3" t="s">
        <v>13</v>
      </c>
      <c r="C321" s="3" t="s">
        <v>65</v>
      </c>
      <c r="D321" s="3" t="s">
        <v>66</v>
      </c>
      <c r="E321" s="3" t="s">
        <v>64</v>
      </c>
      <c r="F321" s="3">
        <v>1998</v>
      </c>
      <c r="G321" s="3">
        <v>2</v>
      </c>
      <c r="H321" s="2">
        <v>5</v>
      </c>
      <c r="I321" s="4">
        <v>50374846</v>
      </c>
    </row>
    <row r="322" spans="1:9">
      <c r="A322" s="5">
        <v>10000321</v>
      </c>
      <c r="B322" s="3" t="s">
        <v>13</v>
      </c>
      <c r="C322" s="3" t="s">
        <v>65</v>
      </c>
      <c r="D322" s="3" t="s">
        <v>69</v>
      </c>
      <c r="E322" s="3" t="s">
        <v>62</v>
      </c>
      <c r="F322" s="3">
        <v>1985</v>
      </c>
      <c r="G322" s="3">
        <v>1</v>
      </c>
      <c r="H322" s="2">
        <v>2</v>
      </c>
      <c r="I322" s="4">
        <v>509898</v>
      </c>
    </row>
    <row r="323" spans="1:9">
      <c r="A323" s="5">
        <v>10000322</v>
      </c>
      <c r="B323" s="3" t="s">
        <v>11</v>
      </c>
      <c r="C323" s="3" t="s">
        <v>65</v>
      </c>
      <c r="D323" s="3" t="s">
        <v>66</v>
      </c>
      <c r="E323" s="3" t="s">
        <v>64</v>
      </c>
      <c r="F323" s="3">
        <v>2002</v>
      </c>
      <c r="G323" s="3">
        <v>1</v>
      </c>
      <c r="H323" s="2">
        <v>5</v>
      </c>
      <c r="I323" s="4">
        <v>59230872</v>
      </c>
    </row>
    <row r="324" spans="1:9">
      <c r="A324" s="5">
        <v>10000323</v>
      </c>
      <c r="B324" s="3" t="s">
        <v>9</v>
      </c>
      <c r="C324" s="3" t="s">
        <v>67</v>
      </c>
      <c r="D324" s="3" t="s">
        <v>68</v>
      </c>
      <c r="E324" s="3" t="s">
        <v>63</v>
      </c>
      <c r="F324" s="3">
        <v>2013</v>
      </c>
      <c r="G324" s="3">
        <v>5</v>
      </c>
      <c r="H324" s="2">
        <v>1</v>
      </c>
      <c r="I324" s="4">
        <v>27433674</v>
      </c>
    </row>
    <row r="325" spans="1:9">
      <c r="A325" s="5">
        <v>10000324</v>
      </c>
      <c r="B325" s="3" t="s">
        <v>11</v>
      </c>
      <c r="C325" s="3" t="s">
        <v>65</v>
      </c>
      <c r="D325" s="3" t="s">
        <v>66</v>
      </c>
      <c r="E325" s="3" t="s">
        <v>64</v>
      </c>
      <c r="F325" s="3">
        <v>1983</v>
      </c>
      <c r="G325" s="3">
        <v>5</v>
      </c>
      <c r="H325" s="2">
        <v>3</v>
      </c>
      <c r="I325" s="4">
        <v>57655975</v>
      </c>
    </row>
    <row r="326" spans="1:9">
      <c r="A326" s="5">
        <v>10000325</v>
      </c>
      <c r="B326" s="3" t="s">
        <v>10</v>
      </c>
      <c r="C326" s="3" t="s">
        <v>67</v>
      </c>
      <c r="D326" s="3" t="s">
        <v>68</v>
      </c>
      <c r="E326" s="3" t="s">
        <v>64</v>
      </c>
      <c r="F326" s="3">
        <v>1997</v>
      </c>
      <c r="G326" s="3">
        <v>1</v>
      </c>
      <c r="H326" s="2">
        <v>3</v>
      </c>
      <c r="I326" s="4">
        <v>21518678</v>
      </c>
    </row>
    <row r="327" spans="1:9">
      <c r="A327" s="5">
        <v>10000326</v>
      </c>
      <c r="B327" s="3" t="s">
        <v>9</v>
      </c>
      <c r="C327" s="3" t="s">
        <v>67</v>
      </c>
      <c r="D327" s="3" t="s">
        <v>66</v>
      </c>
      <c r="E327" s="3" t="s">
        <v>64</v>
      </c>
      <c r="F327" s="3">
        <v>2017</v>
      </c>
      <c r="G327" s="3">
        <v>1</v>
      </c>
      <c r="H327" s="2">
        <v>5</v>
      </c>
      <c r="I327" s="4">
        <v>53078505</v>
      </c>
    </row>
    <row r="328" spans="1:9">
      <c r="A328" s="5">
        <v>10000327</v>
      </c>
      <c r="B328" s="3" t="s">
        <v>12</v>
      </c>
      <c r="C328" s="3" t="s">
        <v>67</v>
      </c>
      <c r="D328" s="3" t="s">
        <v>66</v>
      </c>
      <c r="E328" s="3" t="s">
        <v>64</v>
      </c>
      <c r="F328" s="3">
        <v>2019</v>
      </c>
      <c r="G328" s="3">
        <v>5</v>
      </c>
      <c r="H328" s="2">
        <v>5</v>
      </c>
      <c r="I328" s="4">
        <v>56751405</v>
      </c>
    </row>
    <row r="329" spans="1:9">
      <c r="A329" s="5">
        <v>10000328</v>
      </c>
      <c r="B329" s="3" t="s">
        <v>10</v>
      </c>
      <c r="C329" s="3" t="s">
        <v>67</v>
      </c>
      <c r="D329" s="3" t="s">
        <v>68</v>
      </c>
      <c r="E329" s="3" t="s">
        <v>63</v>
      </c>
      <c r="F329" s="3">
        <v>1989</v>
      </c>
      <c r="G329" s="3">
        <v>3</v>
      </c>
      <c r="H329" s="2">
        <v>2</v>
      </c>
      <c r="I329" s="4">
        <v>12920624</v>
      </c>
    </row>
    <row r="330" spans="1:9">
      <c r="A330" s="5">
        <v>10000329</v>
      </c>
      <c r="B330" s="3" t="s">
        <v>9</v>
      </c>
      <c r="C330" s="3" t="s">
        <v>67</v>
      </c>
      <c r="D330" s="3" t="s">
        <v>66</v>
      </c>
      <c r="E330" s="3" t="s">
        <v>64</v>
      </c>
      <c r="F330" s="3">
        <v>1994</v>
      </c>
      <c r="G330" s="3">
        <v>4</v>
      </c>
      <c r="H330" s="2">
        <v>3</v>
      </c>
      <c r="I330" s="4">
        <v>74342114</v>
      </c>
    </row>
    <row r="331" spans="1:9">
      <c r="A331" s="5">
        <v>10000330</v>
      </c>
      <c r="B331" s="3" t="s">
        <v>13</v>
      </c>
      <c r="C331" s="3" t="s">
        <v>65</v>
      </c>
      <c r="D331" s="3" t="s">
        <v>66</v>
      </c>
      <c r="E331" s="3" t="s">
        <v>64</v>
      </c>
      <c r="F331" s="3">
        <v>1995</v>
      </c>
      <c r="G331" s="3">
        <v>2</v>
      </c>
      <c r="H331" s="2">
        <v>5</v>
      </c>
      <c r="I331" s="4">
        <v>52209849</v>
      </c>
    </row>
    <row r="332" spans="1:9">
      <c r="A332" s="5">
        <v>10000331</v>
      </c>
      <c r="B332" s="3" t="s">
        <v>12</v>
      </c>
      <c r="C332" s="3" t="s">
        <v>67</v>
      </c>
      <c r="D332" s="3" t="s">
        <v>68</v>
      </c>
      <c r="E332" s="3" t="s">
        <v>64</v>
      </c>
      <c r="F332" s="3">
        <v>2020</v>
      </c>
      <c r="G332" s="3">
        <v>2</v>
      </c>
      <c r="H332" s="2">
        <v>4</v>
      </c>
      <c r="I332" s="4">
        <v>18639840</v>
      </c>
    </row>
    <row r="333" spans="1:9">
      <c r="A333" s="5">
        <v>10000332</v>
      </c>
      <c r="B333" s="3" t="s">
        <v>12</v>
      </c>
      <c r="C333" s="3" t="s">
        <v>67</v>
      </c>
      <c r="D333" s="3" t="s">
        <v>69</v>
      </c>
      <c r="E333" s="3" t="s">
        <v>64</v>
      </c>
      <c r="F333" s="3">
        <v>1992</v>
      </c>
      <c r="G333" s="3">
        <v>3</v>
      </c>
      <c r="H333" s="2">
        <v>4</v>
      </c>
      <c r="I333" s="4">
        <v>5603837</v>
      </c>
    </row>
    <row r="334" spans="1:9">
      <c r="A334" s="5">
        <v>10000333</v>
      </c>
      <c r="B334" s="3" t="s">
        <v>10</v>
      </c>
      <c r="C334" s="3" t="s">
        <v>67</v>
      </c>
      <c r="D334" s="3" t="s">
        <v>66</v>
      </c>
      <c r="E334" s="3" t="s">
        <v>64</v>
      </c>
      <c r="F334" s="3">
        <v>2004</v>
      </c>
      <c r="G334" s="3">
        <v>5</v>
      </c>
      <c r="H334" s="2">
        <v>4</v>
      </c>
      <c r="I334" s="4">
        <v>45125774</v>
      </c>
    </row>
    <row r="335" spans="1:9">
      <c r="A335" s="5">
        <v>10000334</v>
      </c>
      <c r="B335" s="3" t="s">
        <v>13</v>
      </c>
      <c r="C335" s="3" t="s">
        <v>65</v>
      </c>
      <c r="D335" s="3" t="s">
        <v>66</v>
      </c>
      <c r="E335" s="3" t="s">
        <v>64</v>
      </c>
      <c r="F335" s="3">
        <v>2022</v>
      </c>
      <c r="G335" s="3">
        <v>1</v>
      </c>
      <c r="H335" s="2">
        <v>5</v>
      </c>
      <c r="I335" s="4">
        <v>54074193</v>
      </c>
    </row>
    <row r="336" spans="1:9">
      <c r="A336" s="5">
        <v>10000335</v>
      </c>
      <c r="B336" s="3" t="s">
        <v>12</v>
      </c>
      <c r="C336" s="3" t="s">
        <v>67</v>
      </c>
      <c r="D336" s="3" t="s">
        <v>66</v>
      </c>
      <c r="E336" s="3" t="s">
        <v>64</v>
      </c>
      <c r="F336" s="3">
        <v>1980</v>
      </c>
      <c r="G336" s="3">
        <v>2</v>
      </c>
      <c r="H336" s="2">
        <v>3</v>
      </c>
      <c r="I336" s="4">
        <v>49303445</v>
      </c>
    </row>
    <row r="337" spans="1:9">
      <c r="A337" s="5">
        <v>10000336</v>
      </c>
      <c r="B337" s="3" t="s">
        <v>12</v>
      </c>
      <c r="C337" s="3" t="s">
        <v>67</v>
      </c>
      <c r="D337" s="3" t="s">
        <v>68</v>
      </c>
      <c r="E337" s="3" t="s">
        <v>64</v>
      </c>
      <c r="F337" s="3">
        <v>1988</v>
      </c>
      <c r="G337" s="3">
        <v>3</v>
      </c>
      <c r="H337" s="2">
        <v>3</v>
      </c>
      <c r="I337" s="4">
        <v>20590985</v>
      </c>
    </row>
    <row r="338" spans="1:9">
      <c r="A338" s="5">
        <v>10000337</v>
      </c>
      <c r="B338" s="3" t="s">
        <v>9</v>
      </c>
      <c r="C338" s="3" t="s">
        <v>67</v>
      </c>
      <c r="D338" s="3" t="s">
        <v>69</v>
      </c>
      <c r="E338" s="3" t="s">
        <v>64</v>
      </c>
      <c r="F338" s="3">
        <v>2022</v>
      </c>
      <c r="G338" s="3">
        <v>1</v>
      </c>
      <c r="H338" s="2">
        <v>4</v>
      </c>
      <c r="I338" s="4">
        <v>3561444</v>
      </c>
    </row>
    <row r="339" spans="1:9">
      <c r="A339" s="5">
        <v>10000338</v>
      </c>
      <c r="B339" s="3" t="s">
        <v>14</v>
      </c>
      <c r="C339" s="3" t="s">
        <v>65</v>
      </c>
      <c r="D339" s="3" t="s">
        <v>66</v>
      </c>
      <c r="E339" s="3" t="s">
        <v>64</v>
      </c>
      <c r="F339" s="3">
        <v>2001</v>
      </c>
      <c r="G339" s="3">
        <v>4</v>
      </c>
      <c r="H339" s="2">
        <v>5</v>
      </c>
      <c r="I339" s="4">
        <v>53686901</v>
      </c>
    </row>
    <row r="340" spans="1:9">
      <c r="A340" s="5">
        <v>10000339</v>
      </c>
      <c r="B340" s="3" t="s">
        <v>14</v>
      </c>
      <c r="C340" s="3" t="s">
        <v>65</v>
      </c>
      <c r="D340" s="3" t="s">
        <v>68</v>
      </c>
      <c r="E340" s="3" t="s">
        <v>64</v>
      </c>
      <c r="F340" s="3">
        <v>2021</v>
      </c>
      <c r="G340" s="3">
        <v>1</v>
      </c>
      <c r="H340" s="2">
        <v>3</v>
      </c>
      <c r="I340" s="4">
        <v>21117833</v>
      </c>
    </row>
    <row r="341" spans="1:9">
      <c r="A341" s="5">
        <v>10000340</v>
      </c>
      <c r="B341" s="3" t="s">
        <v>10</v>
      </c>
      <c r="C341" s="3" t="s">
        <v>67</v>
      </c>
      <c r="D341" s="3" t="s">
        <v>68</v>
      </c>
      <c r="E341" s="3" t="s">
        <v>63</v>
      </c>
      <c r="F341" s="3">
        <v>1980</v>
      </c>
      <c r="G341" s="3">
        <v>4</v>
      </c>
      <c r="H341" s="2">
        <v>1</v>
      </c>
      <c r="I341" s="4">
        <v>15016269</v>
      </c>
    </row>
    <row r="342" spans="1:9">
      <c r="A342" s="5">
        <v>10000341</v>
      </c>
      <c r="B342" s="3" t="s">
        <v>14</v>
      </c>
      <c r="C342" s="3" t="s">
        <v>65</v>
      </c>
      <c r="D342" s="3" t="s">
        <v>66</v>
      </c>
      <c r="E342" s="3" t="s">
        <v>64</v>
      </c>
      <c r="F342" s="3">
        <v>2011</v>
      </c>
      <c r="G342" s="3">
        <v>2</v>
      </c>
      <c r="H342" s="2">
        <v>3</v>
      </c>
      <c r="I342" s="4">
        <v>52395520</v>
      </c>
    </row>
    <row r="343" spans="1:9">
      <c r="A343" s="5">
        <v>10000342</v>
      </c>
      <c r="B343" s="3" t="s">
        <v>10</v>
      </c>
      <c r="C343" s="3" t="s">
        <v>67</v>
      </c>
      <c r="D343" s="3" t="s">
        <v>68</v>
      </c>
      <c r="E343" s="3" t="s">
        <v>63</v>
      </c>
      <c r="F343" s="3">
        <v>1994</v>
      </c>
      <c r="G343" s="3">
        <v>2</v>
      </c>
      <c r="H343" s="2">
        <v>2</v>
      </c>
      <c r="I343" s="4">
        <v>10666386</v>
      </c>
    </row>
    <row r="344" spans="1:9">
      <c r="A344" s="5">
        <v>10000343</v>
      </c>
      <c r="B344" s="3" t="s">
        <v>9</v>
      </c>
      <c r="C344" s="3" t="s">
        <v>67</v>
      </c>
      <c r="D344" s="3" t="s">
        <v>69</v>
      </c>
      <c r="E344" s="3" t="s">
        <v>62</v>
      </c>
      <c r="F344" s="3">
        <v>1993</v>
      </c>
      <c r="G344" s="3">
        <v>1</v>
      </c>
      <c r="H344" s="2">
        <v>0</v>
      </c>
      <c r="I344" s="4">
        <v>446239</v>
      </c>
    </row>
    <row r="345" spans="1:9">
      <c r="A345" s="5">
        <v>10000344</v>
      </c>
      <c r="B345" s="3" t="s">
        <v>12</v>
      </c>
      <c r="C345" s="3" t="s">
        <v>67</v>
      </c>
      <c r="D345" s="3" t="s">
        <v>66</v>
      </c>
      <c r="E345" s="3" t="s">
        <v>64</v>
      </c>
      <c r="F345" s="3">
        <v>2007</v>
      </c>
      <c r="G345" s="3">
        <v>5</v>
      </c>
      <c r="H345" s="2">
        <v>5</v>
      </c>
      <c r="I345" s="4">
        <v>44308196</v>
      </c>
    </row>
    <row r="346" spans="1:9">
      <c r="A346" s="5">
        <v>10000345</v>
      </c>
      <c r="B346" s="3" t="s">
        <v>13</v>
      </c>
      <c r="C346" s="3" t="s">
        <v>65</v>
      </c>
      <c r="D346" s="3" t="s">
        <v>68</v>
      </c>
      <c r="E346" s="3" t="s">
        <v>64</v>
      </c>
      <c r="F346" s="3">
        <v>1984</v>
      </c>
      <c r="G346" s="3">
        <v>1</v>
      </c>
      <c r="H346" s="2">
        <v>3</v>
      </c>
      <c r="I346" s="4">
        <v>13813193</v>
      </c>
    </row>
    <row r="347" spans="1:9">
      <c r="A347" s="5">
        <v>10000346</v>
      </c>
      <c r="B347" s="3" t="s">
        <v>12</v>
      </c>
      <c r="C347" s="3" t="s">
        <v>67</v>
      </c>
      <c r="D347" s="3" t="s">
        <v>69</v>
      </c>
      <c r="E347" s="3" t="s">
        <v>64</v>
      </c>
      <c r="F347" s="3">
        <v>1995</v>
      </c>
      <c r="G347" s="3">
        <v>1</v>
      </c>
      <c r="H347" s="2">
        <v>5</v>
      </c>
      <c r="I347" s="4">
        <v>5976104</v>
      </c>
    </row>
    <row r="348" spans="1:9">
      <c r="A348" s="5">
        <v>10000347</v>
      </c>
      <c r="B348" s="3" t="s">
        <v>11</v>
      </c>
      <c r="C348" s="3" t="s">
        <v>65</v>
      </c>
      <c r="D348" s="3" t="s">
        <v>66</v>
      </c>
      <c r="E348" s="3" t="s">
        <v>64</v>
      </c>
      <c r="F348" s="3">
        <v>1988</v>
      </c>
      <c r="G348" s="3">
        <v>5</v>
      </c>
      <c r="H348" s="2">
        <v>4</v>
      </c>
      <c r="I348" s="4">
        <v>42686669</v>
      </c>
    </row>
    <row r="349" spans="1:9">
      <c r="A349" s="5">
        <v>10000348</v>
      </c>
      <c r="B349" s="3" t="s">
        <v>13</v>
      </c>
      <c r="C349" s="3" t="s">
        <v>65</v>
      </c>
      <c r="D349" s="3" t="s">
        <v>66</v>
      </c>
      <c r="E349" s="3" t="s">
        <v>64</v>
      </c>
      <c r="F349" s="3">
        <v>1996</v>
      </c>
      <c r="G349" s="3">
        <v>4</v>
      </c>
      <c r="H349" s="2">
        <v>5</v>
      </c>
      <c r="I349" s="4">
        <v>44962769</v>
      </c>
    </row>
    <row r="350" spans="1:9">
      <c r="A350" s="5">
        <v>10000349</v>
      </c>
      <c r="B350" s="3" t="s">
        <v>14</v>
      </c>
      <c r="C350" s="3" t="s">
        <v>65</v>
      </c>
      <c r="D350" s="3" t="s">
        <v>69</v>
      </c>
      <c r="E350" s="3" t="s">
        <v>64</v>
      </c>
      <c r="F350" s="3">
        <v>2002</v>
      </c>
      <c r="G350" s="3">
        <v>4</v>
      </c>
      <c r="H350" s="2">
        <v>3</v>
      </c>
      <c r="I350" s="4">
        <v>1886833</v>
      </c>
    </row>
    <row r="351" spans="1:9">
      <c r="A351" s="5">
        <v>10000350</v>
      </c>
      <c r="B351" s="3" t="s">
        <v>12</v>
      </c>
      <c r="C351" s="3" t="s">
        <v>67</v>
      </c>
      <c r="D351" s="3" t="s">
        <v>69</v>
      </c>
      <c r="E351" s="3" t="s">
        <v>62</v>
      </c>
      <c r="F351" s="3">
        <v>2020</v>
      </c>
      <c r="G351" s="3">
        <v>1</v>
      </c>
      <c r="H351" s="2">
        <v>1</v>
      </c>
      <c r="I351" s="4">
        <v>522245</v>
      </c>
    </row>
    <row r="352" spans="1:9">
      <c r="A352" s="5">
        <v>10000351</v>
      </c>
      <c r="B352" s="3" t="s">
        <v>14</v>
      </c>
      <c r="C352" s="3" t="s">
        <v>65</v>
      </c>
      <c r="D352" s="3" t="s">
        <v>66</v>
      </c>
      <c r="E352" s="3" t="s">
        <v>64</v>
      </c>
      <c r="F352" s="3">
        <v>1991</v>
      </c>
      <c r="G352" s="3">
        <v>1</v>
      </c>
      <c r="H352" s="2">
        <v>3</v>
      </c>
      <c r="I352" s="4">
        <v>47885250</v>
      </c>
    </row>
    <row r="353" spans="1:9">
      <c r="A353" s="5">
        <v>10000352</v>
      </c>
      <c r="B353" s="3" t="s">
        <v>13</v>
      </c>
      <c r="C353" s="3" t="s">
        <v>65</v>
      </c>
      <c r="D353" s="3" t="s">
        <v>66</v>
      </c>
      <c r="E353" s="3" t="s">
        <v>64</v>
      </c>
      <c r="F353" s="3">
        <v>1989</v>
      </c>
      <c r="G353" s="3">
        <v>2</v>
      </c>
      <c r="H353" s="2">
        <v>3</v>
      </c>
      <c r="I353" s="4">
        <v>63516533</v>
      </c>
    </row>
    <row r="354" spans="1:9">
      <c r="A354" s="5">
        <v>10000353</v>
      </c>
      <c r="B354" s="3" t="s">
        <v>12</v>
      </c>
      <c r="C354" s="3" t="s">
        <v>67</v>
      </c>
      <c r="D354" s="3" t="s">
        <v>66</v>
      </c>
      <c r="E354" s="3" t="s">
        <v>64</v>
      </c>
      <c r="F354" s="3">
        <v>2009</v>
      </c>
      <c r="G354" s="3">
        <v>2</v>
      </c>
      <c r="H354" s="2">
        <v>3</v>
      </c>
      <c r="I354" s="4">
        <v>50560908</v>
      </c>
    </row>
    <row r="355" spans="1:9">
      <c r="A355" s="5">
        <v>10000354</v>
      </c>
      <c r="B355" s="3" t="s">
        <v>10</v>
      </c>
      <c r="C355" s="3" t="s">
        <v>67</v>
      </c>
      <c r="D355" s="3" t="s">
        <v>69</v>
      </c>
      <c r="E355" s="3" t="s">
        <v>62</v>
      </c>
      <c r="F355" s="3">
        <v>2018</v>
      </c>
      <c r="G355" s="3">
        <v>1</v>
      </c>
      <c r="H355" s="2">
        <v>1</v>
      </c>
      <c r="I355" s="4">
        <v>418135</v>
      </c>
    </row>
    <row r="356" spans="1:9">
      <c r="A356" s="5">
        <v>10000355</v>
      </c>
      <c r="B356" s="3" t="s">
        <v>10</v>
      </c>
      <c r="C356" s="3" t="s">
        <v>67</v>
      </c>
      <c r="D356" s="3" t="s">
        <v>69</v>
      </c>
      <c r="E356" s="3" t="s">
        <v>64</v>
      </c>
      <c r="F356" s="3">
        <v>1990</v>
      </c>
      <c r="G356" s="3">
        <v>4</v>
      </c>
      <c r="H356" s="2">
        <v>5</v>
      </c>
      <c r="I356" s="4">
        <v>5262310</v>
      </c>
    </row>
    <row r="357" spans="1:9">
      <c r="A357" s="5">
        <v>10000356</v>
      </c>
      <c r="B357" s="3" t="s">
        <v>13</v>
      </c>
      <c r="C357" s="3" t="s">
        <v>65</v>
      </c>
      <c r="D357" s="3" t="s">
        <v>66</v>
      </c>
      <c r="E357" s="3" t="s">
        <v>64</v>
      </c>
      <c r="F357" s="3">
        <v>1997</v>
      </c>
      <c r="G357" s="3">
        <v>2</v>
      </c>
      <c r="H357" s="2">
        <v>3</v>
      </c>
      <c r="I357" s="4">
        <v>49092731</v>
      </c>
    </row>
    <row r="358" spans="1:9">
      <c r="A358" s="5">
        <v>10000357</v>
      </c>
      <c r="B358" s="3" t="s">
        <v>14</v>
      </c>
      <c r="C358" s="3" t="s">
        <v>65</v>
      </c>
      <c r="D358" s="3" t="s">
        <v>68</v>
      </c>
      <c r="E358" s="3" t="s">
        <v>64</v>
      </c>
      <c r="F358" s="3">
        <v>2004</v>
      </c>
      <c r="G358" s="3">
        <v>2</v>
      </c>
      <c r="H358" s="2">
        <v>3</v>
      </c>
      <c r="I358" s="4">
        <v>5743491</v>
      </c>
    </row>
    <row r="359" spans="1:9">
      <c r="A359" s="5">
        <v>10000358</v>
      </c>
      <c r="B359" s="3" t="s">
        <v>14</v>
      </c>
      <c r="C359" s="3" t="s">
        <v>65</v>
      </c>
      <c r="D359" s="3" t="s">
        <v>66</v>
      </c>
      <c r="E359" s="3" t="s">
        <v>64</v>
      </c>
      <c r="F359" s="3">
        <v>2005</v>
      </c>
      <c r="G359" s="3">
        <v>1</v>
      </c>
      <c r="H359" s="2">
        <v>4</v>
      </c>
      <c r="I359" s="4">
        <v>42714449</v>
      </c>
    </row>
    <row r="360" spans="1:9">
      <c r="A360" s="5">
        <v>10000359</v>
      </c>
      <c r="B360" s="3" t="s">
        <v>14</v>
      </c>
      <c r="C360" s="3" t="s">
        <v>65</v>
      </c>
      <c r="D360" s="3" t="s">
        <v>68</v>
      </c>
      <c r="E360" s="3" t="s">
        <v>63</v>
      </c>
      <c r="F360" s="3">
        <v>1986</v>
      </c>
      <c r="G360" s="3">
        <v>1</v>
      </c>
      <c r="H360" s="2">
        <v>0</v>
      </c>
      <c r="I360" s="4">
        <v>24533983</v>
      </c>
    </row>
    <row r="361" spans="1:9">
      <c r="A361" s="5">
        <v>10000360</v>
      </c>
      <c r="B361" s="3" t="s">
        <v>10</v>
      </c>
      <c r="C361" s="3" t="s">
        <v>67</v>
      </c>
      <c r="D361" s="3" t="s">
        <v>69</v>
      </c>
      <c r="E361" s="3" t="s">
        <v>62</v>
      </c>
      <c r="F361" s="3">
        <v>2024</v>
      </c>
      <c r="G361" s="3">
        <v>1</v>
      </c>
      <c r="H361" s="2">
        <v>2</v>
      </c>
      <c r="I361" s="4">
        <v>474870</v>
      </c>
    </row>
    <row r="362" spans="1:9">
      <c r="A362" s="5">
        <v>10000361</v>
      </c>
      <c r="B362" s="3" t="s">
        <v>13</v>
      </c>
      <c r="C362" s="3" t="s">
        <v>65</v>
      </c>
      <c r="D362" s="3" t="s">
        <v>68</v>
      </c>
      <c r="E362" s="3" t="s">
        <v>64</v>
      </c>
      <c r="F362" s="3">
        <v>2007</v>
      </c>
      <c r="G362" s="3">
        <v>2</v>
      </c>
      <c r="H362" s="2">
        <v>4</v>
      </c>
      <c r="I362" s="4">
        <v>17777918</v>
      </c>
    </row>
    <row r="363" spans="1:9">
      <c r="A363" s="5">
        <v>10000362</v>
      </c>
      <c r="B363" s="3" t="s">
        <v>14</v>
      </c>
      <c r="C363" s="3" t="s">
        <v>65</v>
      </c>
      <c r="D363" s="3" t="s">
        <v>69</v>
      </c>
      <c r="E363" s="3" t="s">
        <v>63</v>
      </c>
      <c r="F363" s="3">
        <v>2002</v>
      </c>
      <c r="G363" s="3">
        <v>1</v>
      </c>
      <c r="H363" s="2">
        <v>2</v>
      </c>
      <c r="I363" s="4">
        <v>2014762</v>
      </c>
    </row>
    <row r="364" spans="1:9">
      <c r="A364" s="5">
        <v>10000363</v>
      </c>
      <c r="B364" s="3" t="s">
        <v>10</v>
      </c>
      <c r="C364" s="3" t="s">
        <v>67</v>
      </c>
      <c r="D364" s="3" t="s">
        <v>66</v>
      </c>
      <c r="E364" s="3" t="s">
        <v>64</v>
      </c>
      <c r="F364" s="3">
        <v>2015</v>
      </c>
      <c r="G364" s="3">
        <v>3</v>
      </c>
      <c r="H364" s="2">
        <v>4</v>
      </c>
      <c r="I364" s="4">
        <v>48073147</v>
      </c>
    </row>
    <row r="365" spans="1:9">
      <c r="A365" s="5">
        <v>10000364</v>
      </c>
      <c r="B365" s="3" t="s">
        <v>10</v>
      </c>
      <c r="C365" s="3" t="s">
        <v>67</v>
      </c>
      <c r="D365" s="3" t="s">
        <v>69</v>
      </c>
      <c r="E365" s="3" t="s">
        <v>64</v>
      </c>
      <c r="F365" s="3">
        <v>2002</v>
      </c>
      <c r="G365" s="3">
        <v>3</v>
      </c>
      <c r="H365" s="2">
        <v>4</v>
      </c>
      <c r="I365" s="4">
        <v>2622339</v>
      </c>
    </row>
    <row r="366" spans="1:9">
      <c r="A366" s="5">
        <v>10000365</v>
      </c>
      <c r="B366" s="3" t="s">
        <v>13</v>
      </c>
      <c r="C366" s="3" t="s">
        <v>65</v>
      </c>
      <c r="D366" s="3" t="s">
        <v>68</v>
      </c>
      <c r="E366" s="3" t="s">
        <v>63</v>
      </c>
      <c r="F366" s="3">
        <v>1990</v>
      </c>
      <c r="G366" s="3">
        <v>5</v>
      </c>
      <c r="H366" s="2">
        <v>1</v>
      </c>
      <c r="I366" s="4">
        <v>7367681</v>
      </c>
    </row>
    <row r="367" spans="1:9">
      <c r="A367" s="5">
        <v>10000366</v>
      </c>
      <c r="B367" s="3" t="s">
        <v>9</v>
      </c>
      <c r="C367" s="3" t="s">
        <v>67</v>
      </c>
      <c r="D367" s="3" t="s">
        <v>69</v>
      </c>
      <c r="E367" s="3" t="s">
        <v>62</v>
      </c>
      <c r="F367" s="3">
        <v>1996</v>
      </c>
      <c r="G367" s="3">
        <v>1</v>
      </c>
      <c r="H367" s="2">
        <v>1</v>
      </c>
      <c r="I367" s="4">
        <v>449455</v>
      </c>
    </row>
    <row r="368" spans="1:9">
      <c r="A368" s="5">
        <v>10000367</v>
      </c>
      <c r="B368" s="3" t="s">
        <v>9</v>
      </c>
      <c r="C368" s="3" t="s">
        <v>67</v>
      </c>
      <c r="D368" s="3" t="s">
        <v>66</v>
      </c>
      <c r="E368" s="3" t="s">
        <v>64</v>
      </c>
      <c r="F368" s="3">
        <v>2003</v>
      </c>
      <c r="G368" s="3">
        <v>5</v>
      </c>
      <c r="H368" s="2">
        <v>5</v>
      </c>
      <c r="I368" s="4">
        <v>48770723</v>
      </c>
    </row>
    <row r="369" spans="1:9">
      <c r="A369" s="5">
        <v>10000368</v>
      </c>
      <c r="B369" s="3" t="s">
        <v>11</v>
      </c>
      <c r="C369" s="3" t="s">
        <v>65</v>
      </c>
      <c r="D369" s="3" t="s">
        <v>68</v>
      </c>
      <c r="E369" s="3" t="s">
        <v>64</v>
      </c>
      <c r="F369" s="3">
        <v>2014</v>
      </c>
      <c r="G369" s="3">
        <v>2</v>
      </c>
      <c r="H369" s="2">
        <v>5</v>
      </c>
      <c r="I369" s="4">
        <v>11267665</v>
      </c>
    </row>
    <row r="370" spans="1:9">
      <c r="A370" s="5">
        <v>10000369</v>
      </c>
      <c r="B370" s="3" t="s">
        <v>12</v>
      </c>
      <c r="C370" s="3" t="s">
        <v>67</v>
      </c>
      <c r="D370" s="3" t="s">
        <v>66</v>
      </c>
      <c r="E370" s="3" t="s">
        <v>64</v>
      </c>
      <c r="F370" s="3">
        <v>1997</v>
      </c>
      <c r="G370" s="3">
        <v>5</v>
      </c>
      <c r="H370" s="2">
        <v>3</v>
      </c>
      <c r="I370" s="4">
        <v>47958248</v>
      </c>
    </row>
    <row r="371" spans="1:9">
      <c r="A371" s="5">
        <v>10000370</v>
      </c>
      <c r="B371" s="3" t="s">
        <v>13</v>
      </c>
      <c r="C371" s="3" t="s">
        <v>65</v>
      </c>
      <c r="D371" s="3" t="s">
        <v>69</v>
      </c>
      <c r="E371" s="3" t="s">
        <v>63</v>
      </c>
      <c r="F371" s="3">
        <v>2016</v>
      </c>
      <c r="G371" s="3">
        <v>5</v>
      </c>
      <c r="H371" s="2">
        <v>1</v>
      </c>
      <c r="I371" s="4">
        <v>2289418</v>
      </c>
    </row>
    <row r="372" spans="1:9">
      <c r="A372" s="5">
        <v>10000371</v>
      </c>
      <c r="B372" s="3" t="s">
        <v>12</v>
      </c>
      <c r="C372" s="3" t="s">
        <v>67</v>
      </c>
      <c r="D372" s="3" t="s">
        <v>69</v>
      </c>
      <c r="E372" s="3" t="s">
        <v>62</v>
      </c>
      <c r="F372" s="3">
        <v>1990</v>
      </c>
      <c r="G372" s="3">
        <v>1</v>
      </c>
      <c r="H372" s="2">
        <v>1</v>
      </c>
      <c r="I372" s="4">
        <v>629497</v>
      </c>
    </row>
    <row r="373" spans="1:9">
      <c r="A373" s="5">
        <v>10000372</v>
      </c>
      <c r="B373" s="3" t="s">
        <v>9</v>
      </c>
      <c r="C373" s="3" t="s">
        <v>67</v>
      </c>
      <c r="D373" s="3" t="s">
        <v>69</v>
      </c>
      <c r="E373" s="3" t="s">
        <v>62</v>
      </c>
      <c r="F373" s="3">
        <v>2014</v>
      </c>
      <c r="G373" s="3">
        <v>1</v>
      </c>
      <c r="H373" s="2">
        <v>1</v>
      </c>
      <c r="I373" s="4">
        <v>313733</v>
      </c>
    </row>
    <row r="374" spans="1:9">
      <c r="A374" s="5">
        <v>10000373</v>
      </c>
      <c r="B374" s="3" t="s">
        <v>9</v>
      </c>
      <c r="C374" s="3" t="s">
        <v>67</v>
      </c>
      <c r="D374" s="3" t="s">
        <v>69</v>
      </c>
      <c r="E374" s="3" t="s">
        <v>62</v>
      </c>
      <c r="F374" s="3">
        <v>1987</v>
      </c>
      <c r="G374" s="3">
        <v>1</v>
      </c>
      <c r="H374" s="2">
        <v>0</v>
      </c>
      <c r="I374" s="4">
        <v>383145</v>
      </c>
    </row>
    <row r="375" spans="1:9">
      <c r="A375" s="5">
        <v>10000374</v>
      </c>
      <c r="B375" s="3" t="s">
        <v>9</v>
      </c>
      <c r="C375" s="3" t="s">
        <v>67</v>
      </c>
      <c r="D375" s="3" t="s">
        <v>68</v>
      </c>
      <c r="E375" s="3" t="s">
        <v>63</v>
      </c>
      <c r="F375" s="3">
        <v>2012</v>
      </c>
      <c r="G375" s="3">
        <v>2</v>
      </c>
      <c r="H375" s="2">
        <v>2</v>
      </c>
      <c r="I375" s="4">
        <v>11029396</v>
      </c>
    </row>
    <row r="376" spans="1:9">
      <c r="A376" s="5">
        <v>10000375</v>
      </c>
      <c r="B376" s="3" t="s">
        <v>9</v>
      </c>
      <c r="C376" s="3" t="s">
        <v>67</v>
      </c>
      <c r="D376" s="3" t="s">
        <v>69</v>
      </c>
      <c r="E376" s="3" t="s">
        <v>63</v>
      </c>
      <c r="F376" s="3">
        <v>1997</v>
      </c>
      <c r="G376" s="3">
        <v>3</v>
      </c>
      <c r="H376" s="2">
        <v>2</v>
      </c>
      <c r="I376" s="4">
        <v>2649410</v>
      </c>
    </row>
    <row r="377" spans="1:9">
      <c r="A377" s="5">
        <v>10000376</v>
      </c>
      <c r="B377" s="3" t="s">
        <v>12</v>
      </c>
      <c r="C377" s="3" t="s">
        <v>67</v>
      </c>
      <c r="D377" s="3" t="s">
        <v>69</v>
      </c>
      <c r="E377" s="3" t="s">
        <v>62</v>
      </c>
      <c r="F377" s="3">
        <v>1995</v>
      </c>
      <c r="G377" s="3">
        <v>1</v>
      </c>
      <c r="H377" s="2">
        <v>0</v>
      </c>
      <c r="I377" s="4">
        <v>605789</v>
      </c>
    </row>
    <row r="378" spans="1:9">
      <c r="A378" s="5">
        <v>10000377</v>
      </c>
      <c r="B378" s="3" t="s">
        <v>14</v>
      </c>
      <c r="C378" s="3" t="s">
        <v>65</v>
      </c>
      <c r="D378" s="3" t="s">
        <v>66</v>
      </c>
      <c r="E378" s="3" t="s">
        <v>64</v>
      </c>
      <c r="F378" s="3">
        <v>2014</v>
      </c>
      <c r="G378" s="3">
        <v>5</v>
      </c>
      <c r="H378" s="2">
        <v>3</v>
      </c>
      <c r="I378" s="4">
        <v>35175592</v>
      </c>
    </row>
    <row r="379" spans="1:9">
      <c r="A379" s="5">
        <v>10000378</v>
      </c>
      <c r="B379" s="3" t="s">
        <v>14</v>
      </c>
      <c r="C379" s="3" t="s">
        <v>65</v>
      </c>
      <c r="D379" s="3" t="s">
        <v>66</v>
      </c>
      <c r="E379" s="3" t="s">
        <v>64</v>
      </c>
      <c r="F379" s="3">
        <v>2000</v>
      </c>
      <c r="G379" s="3">
        <v>5</v>
      </c>
      <c r="H379" s="2">
        <v>3</v>
      </c>
      <c r="I379" s="4">
        <v>53392242</v>
      </c>
    </row>
    <row r="380" spans="1:9">
      <c r="A380" s="5">
        <v>10000379</v>
      </c>
      <c r="B380" s="3" t="s">
        <v>10</v>
      </c>
      <c r="C380" s="3" t="s">
        <v>67</v>
      </c>
      <c r="D380" s="3" t="s">
        <v>66</v>
      </c>
      <c r="E380" s="3" t="s">
        <v>64</v>
      </c>
      <c r="F380" s="3">
        <v>1980</v>
      </c>
      <c r="G380" s="3">
        <v>2</v>
      </c>
      <c r="H380" s="2">
        <v>5</v>
      </c>
      <c r="I380" s="4">
        <v>45551419</v>
      </c>
    </row>
    <row r="381" spans="1:9">
      <c r="A381" s="5">
        <v>10000380</v>
      </c>
      <c r="B381" s="3" t="s">
        <v>11</v>
      </c>
      <c r="C381" s="3" t="s">
        <v>65</v>
      </c>
      <c r="D381" s="3" t="s">
        <v>68</v>
      </c>
      <c r="E381" s="3" t="s">
        <v>64</v>
      </c>
      <c r="F381" s="3">
        <v>2003</v>
      </c>
      <c r="G381" s="3">
        <v>1</v>
      </c>
      <c r="H381" s="2">
        <v>4</v>
      </c>
      <c r="I381" s="4">
        <v>11104678</v>
      </c>
    </row>
    <row r="382" spans="1:9">
      <c r="A382" s="5">
        <v>10000381</v>
      </c>
      <c r="B382" s="3" t="s">
        <v>10</v>
      </c>
      <c r="C382" s="3" t="s">
        <v>67</v>
      </c>
      <c r="D382" s="3" t="s">
        <v>68</v>
      </c>
      <c r="E382" s="3" t="s">
        <v>63</v>
      </c>
      <c r="F382" s="3">
        <v>2022</v>
      </c>
      <c r="G382" s="3">
        <v>3</v>
      </c>
      <c r="H382" s="2">
        <v>1</v>
      </c>
      <c r="I382" s="4">
        <v>10655136</v>
      </c>
    </row>
    <row r="383" spans="1:9">
      <c r="A383" s="5">
        <v>10000382</v>
      </c>
      <c r="B383" s="3" t="s">
        <v>10</v>
      </c>
      <c r="C383" s="3" t="s">
        <v>67</v>
      </c>
      <c r="D383" s="3" t="s">
        <v>69</v>
      </c>
      <c r="E383" s="3" t="s">
        <v>63</v>
      </c>
      <c r="F383" s="3">
        <v>1992</v>
      </c>
      <c r="G383" s="3">
        <v>3</v>
      </c>
      <c r="H383" s="2">
        <v>0</v>
      </c>
      <c r="I383" s="4">
        <v>7119033</v>
      </c>
    </row>
    <row r="384" spans="1:9">
      <c r="A384" s="5">
        <v>10000383</v>
      </c>
      <c r="B384" s="3" t="s">
        <v>10</v>
      </c>
      <c r="C384" s="3" t="s">
        <v>67</v>
      </c>
      <c r="D384" s="3" t="s">
        <v>68</v>
      </c>
      <c r="E384" s="3" t="s">
        <v>63</v>
      </c>
      <c r="F384" s="3">
        <v>2021</v>
      </c>
      <c r="G384" s="3">
        <v>2</v>
      </c>
      <c r="H384" s="2">
        <v>1</v>
      </c>
      <c r="I384" s="4">
        <v>16382829</v>
      </c>
    </row>
    <row r="385" spans="1:9">
      <c r="A385" s="5">
        <v>10000384</v>
      </c>
      <c r="B385" s="3" t="s">
        <v>14</v>
      </c>
      <c r="C385" s="3" t="s">
        <v>65</v>
      </c>
      <c r="D385" s="3" t="s">
        <v>68</v>
      </c>
      <c r="E385" s="3" t="s">
        <v>64</v>
      </c>
      <c r="F385" s="3">
        <v>1982</v>
      </c>
      <c r="G385" s="3">
        <v>1</v>
      </c>
      <c r="H385" s="2">
        <v>4</v>
      </c>
      <c r="I385" s="4">
        <v>19147889</v>
      </c>
    </row>
    <row r="386" spans="1:9">
      <c r="A386" s="5">
        <v>10000385</v>
      </c>
      <c r="B386" s="3" t="s">
        <v>14</v>
      </c>
      <c r="C386" s="3" t="s">
        <v>65</v>
      </c>
      <c r="D386" s="3" t="s">
        <v>66</v>
      </c>
      <c r="E386" s="3" t="s">
        <v>64</v>
      </c>
      <c r="F386" s="3">
        <v>2023</v>
      </c>
      <c r="G386" s="3">
        <v>3</v>
      </c>
      <c r="H386" s="2">
        <v>5</v>
      </c>
      <c r="I386" s="4">
        <v>40965324</v>
      </c>
    </row>
    <row r="387" spans="1:9">
      <c r="A387" s="5">
        <v>10000386</v>
      </c>
      <c r="B387" s="3" t="s">
        <v>12</v>
      </c>
      <c r="C387" s="3" t="s">
        <v>67</v>
      </c>
      <c r="D387" s="3" t="s">
        <v>69</v>
      </c>
      <c r="E387" s="3" t="s">
        <v>63</v>
      </c>
      <c r="F387" s="3">
        <v>1994</v>
      </c>
      <c r="G387" s="3">
        <v>2</v>
      </c>
      <c r="H387" s="2">
        <v>2</v>
      </c>
      <c r="I387" s="4">
        <v>4217941</v>
      </c>
    </row>
    <row r="388" spans="1:9">
      <c r="A388" s="5">
        <v>10000387</v>
      </c>
      <c r="B388" s="3" t="s">
        <v>12</v>
      </c>
      <c r="C388" s="3" t="s">
        <v>67</v>
      </c>
      <c r="D388" s="3" t="s">
        <v>68</v>
      </c>
      <c r="E388" s="3" t="s">
        <v>63</v>
      </c>
      <c r="F388" s="3">
        <v>1990</v>
      </c>
      <c r="G388" s="3">
        <v>3</v>
      </c>
      <c r="H388" s="2">
        <v>2</v>
      </c>
      <c r="I388" s="4">
        <v>6264248</v>
      </c>
    </row>
    <row r="389" spans="1:9">
      <c r="A389" s="5">
        <v>10000388</v>
      </c>
      <c r="B389" s="3" t="s">
        <v>9</v>
      </c>
      <c r="C389" s="3" t="s">
        <v>67</v>
      </c>
      <c r="D389" s="3" t="s">
        <v>69</v>
      </c>
      <c r="E389" s="3" t="s">
        <v>64</v>
      </c>
      <c r="F389" s="3">
        <v>2003</v>
      </c>
      <c r="G389" s="3">
        <v>2</v>
      </c>
      <c r="H389" s="2">
        <v>4</v>
      </c>
      <c r="I389" s="4">
        <v>4815961</v>
      </c>
    </row>
    <row r="390" spans="1:9">
      <c r="A390" s="5">
        <v>10000389</v>
      </c>
      <c r="B390" s="3" t="s">
        <v>9</v>
      </c>
      <c r="C390" s="3" t="s">
        <v>67</v>
      </c>
      <c r="D390" s="3" t="s">
        <v>69</v>
      </c>
      <c r="E390" s="3" t="s">
        <v>62</v>
      </c>
      <c r="F390" s="3">
        <v>2014</v>
      </c>
      <c r="G390" s="3">
        <v>1</v>
      </c>
      <c r="H390" s="2">
        <v>2</v>
      </c>
      <c r="I390" s="4">
        <v>387546</v>
      </c>
    </row>
    <row r="391" spans="1:9">
      <c r="A391" s="5">
        <v>10000390</v>
      </c>
      <c r="B391" s="3" t="s">
        <v>10</v>
      </c>
      <c r="C391" s="3" t="s">
        <v>67</v>
      </c>
      <c r="D391" s="3" t="s">
        <v>66</v>
      </c>
      <c r="E391" s="3" t="s">
        <v>64</v>
      </c>
      <c r="F391" s="3">
        <v>2014</v>
      </c>
      <c r="G391" s="3">
        <v>5</v>
      </c>
      <c r="H391" s="2">
        <v>4</v>
      </c>
      <c r="I391" s="4">
        <v>58356177</v>
      </c>
    </row>
    <row r="392" spans="1:9">
      <c r="A392" s="5">
        <v>10000391</v>
      </c>
      <c r="B392" s="3" t="s">
        <v>9</v>
      </c>
      <c r="C392" s="3" t="s">
        <v>67</v>
      </c>
      <c r="D392" s="3" t="s">
        <v>66</v>
      </c>
      <c r="E392" s="3" t="s">
        <v>64</v>
      </c>
      <c r="F392" s="3">
        <v>2015</v>
      </c>
      <c r="G392" s="3">
        <v>3</v>
      </c>
      <c r="H392" s="2">
        <v>5</v>
      </c>
      <c r="I392" s="4">
        <v>46918133</v>
      </c>
    </row>
    <row r="393" spans="1:9">
      <c r="A393" s="5">
        <v>10000392</v>
      </c>
      <c r="B393" s="3" t="s">
        <v>13</v>
      </c>
      <c r="C393" s="3" t="s">
        <v>65</v>
      </c>
      <c r="D393" s="3" t="s">
        <v>69</v>
      </c>
      <c r="E393" s="3" t="s">
        <v>62</v>
      </c>
      <c r="F393" s="3">
        <v>2024</v>
      </c>
      <c r="G393" s="3">
        <v>1</v>
      </c>
      <c r="H393" s="2">
        <v>1</v>
      </c>
      <c r="I393" s="4">
        <v>559471</v>
      </c>
    </row>
    <row r="394" spans="1:9">
      <c r="A394" s="5">
        <v>10000393</v>
      </c>
      <c r="B394" s="3" t="s">
        <v>12</v>
      </c>
      <c r="C394" s="3" t="s">
        <v>67</v>
      </c>
      <c r="D394" s="3" t="s">
        <v>69</v>
      </c>
      <c r="E394" s="3" t="s">
        <v>62</v>
      </c>
      <c r="F394" s="3">
        <v>2004</v>
      </c>
      <c r="G394" s="3">
        <v>1</v>
      </c>
      <c r="H394" s="2">
        <v>2</v>
      </c>
      <c r="I394" s="4">
        <v>581139</v>
      </c>
    </row>
    <row r="395" spans="1:9">
      <c r="A395" s="5">
        <v>10000394</v>
      </c>
      <c r="B395" s="3" t="s">
        <v>9</v>
      </c>
      <c r="C395" s="3" t="s">
        <v>67</v>
      </c>
      <c r="D395" s="3" t="s">
        <v>68</v>
      </c>
      <c r="E395" s="3" t="s">
        <v>64</v>
      </c>
      <c r="F395" s="3">
        <v>1997</v>
      </c>
      <c r="G395" s="3">
        <v>5</v>
      </c>
      <c r="H395" s="2">
        <v>3</v>
      </c>
      <c r="I395" s="4">
        <v>18541838</v>
      </c>
    </row>
    <row r="396" spans="1:9">
      <c r="A396" s="5">
        <v>10000395</v>
      </c>
      <c r="B396" s="3" t="s">
        <v>11</v>
      </c>
      <c r="C396" s="3" t="s">
        <v>65</v>
      </c>
      <c r="D396" s="3" t="s">
        <v>69</v>
      </c>
      <c r="E396" s="3" t="s">
        <v>64</v>
      </c>
      <c r="F396" s="3">
        <v>2000</v>
      </c>
      <c r="G396" s="3">
        <v>5</v>
      </c>
      <c r="H396" s="2">
        <v>3</v>
      </c>
      <c r="I396" s="4">
        <v>4607023</v>
      </c>
    </row>
    <row r="397" spans="1:9">
      <c r="A397" s="5">
        <v>10000396</v>
      </c>
      <c r="B397" s="3" t="s">
        <v>14</v>
      </c>
      <c r="C397" s="3" t="s">
        <v>65</v>
      </c>
      <c r="D397" s="3" t="s">
        <v>66</v>
      </c>
      <c r="E397" s="3" t="s">
        <v>64</v>
      </c>
      <c r="F397" s="3">
        <v>2016</v>
      </c>
      <c r="G397" s="3">
        <v>3</v>
      </c>
      <c r="H397" s="2">
        <v>4</v>
      </c>
      <c r="I397" s="4">
        <v>40708374</v>
      </c>
    </row>
    <row r="398" spans="1:9">
      <c r="A398" s="5">
        <v>10000397</v>
      </c>
      <c r="B398" s="3" t="s">
        <v>14</v>
      </c>
      <c r="C398" s="3" t="s">
        <v>65</v>
      </c>
      <c r="D398" s="3" t="s">
        <v>66</v>
      </c>
      <c r="E398" s="3" t="s">
        <v>64</v>
      </c>
      <c r="F398" s="3">
        <v>2023</v>
      </c>
      <c r="G398" s="3">
        <v>2</v>
      </c>
      <c r="H398" s="2">
        <v>5</v>
      </c>
      <c r="I398" s="4">
        <v>41118938</v>
      </c>
    </row>
    <row r="399" spans="1:9">
      <c r="A399" s="5">
        <v>10000398</v>
      </c>
      <c r="B399" s="3" t="s">
        <v>9</v>
      </c>
      <c r="C399" s="3" t="s">
        <v>67</v>
      </c>
      <c r="D399" s="3" t="s">
        <v>69</v>
      </c>
      <c r="E399" s="3" t="s">
        <v>64</v>
      </c>
      <c r="F399" s="3">
        <v>2022</v>
      </c>
      <c r="G399" s="3">
        <v>5</v>
      </c>
      <c r="H399" s="2">
        <v>5</v>
      </c>
      <c r="I399" s="4">
        <v>3467123</v>
      </c>
    </row>
    <row r="400" spans="1:9">
      <c r="A400" s="5">
        <v>10000399</v>
      </c>
      <c r="B400" s="3" t="s">
        <v>13</v>
      </c>
      <c r="C400" s="3" t="s">
        <v>65</v>
      </c>
      <c r="D400" s="3" t="s">
        <v>68</v>
      </c>
      <c r="E400" s="3" t="s">
        <v>63</v>
      </c>
      <c r="F400" s="3">
        <v>1984</v>
      </c>
      <c r="G400" s="3">
        <v>2</v>
      </c>
      <c r="H400" s="2">
        <v>1</v>
      </c>
      <c r="I400" s="4">
        <v>21708324</v>
      </c>
    </row>
    <row r="401" spans="1:9">
      <c r="A401" s="5">
        <v>10000400</v>
      </c>
      <c r="B401" s="3" t="s">
        <v>9</v>
      </c>
      <c r="C401" s="3" t="s">
        <v>67</v>
      </c>
      <c r="D401" s="3" t="s">
        <v>69</v>
      </c>
      <c r="E401" s="3" t="s">
        <v>62</v>
      </c>
      <c r="F401" s="3">
        <v>2003</v>
      </c>
      <c r="G401" s="3">
        <v>1</v>
      </c>
      <c r="H401" s="2">
        <v>1</v>
      </c>
      <c r="I401" s="4">
        <v>580487</v>
      </c>
    </row>
    <row r="402" spans="1:9">
      <c r="A402" s="5">
        <v>10000401</v>
      </c>
      <c r="B402" s="3" t="s">
        <v>12</v>
      </c>
      <c r="C402" s="3" t="s">
        <v>67</v>
      </c>
      <c r="D402" s="3" t="s">
        <v>68</v>
      </c>
      <c r="E402" s="3" t="s">
        <v>64</v>
      </c>
      <c r="F402" s="3">
        <v>1983</v>
      </c>
      <c r="G402" s="3">
        <v>2</v>
      </c>
      <c r="H402" s="2">
        <v>4</v>
      </c>
      <c r="I402" s="4">
        <v>15074262</v>
      </c>
    </row>
    <row r="403" spans="1:9">
      <c r="A403" s="5">
        <v>10000402</v>
      </c>
      <c r="B403" s="3" t="s">
        <v>12</v>
      </c>
      <c r="C403" s="3" t="s">
        <v>67</v>
      </c>
      <c r="D403" s="3" t="s">
        <v>69</v>
      </c>
      <c r="E403" s="3" t="s">
        <v>64</v>
      </c>
      <c r="F403" s="3">
        <v>2016</v>
      </c>
      <c r="G403" s="3">
        <v>3</v>
      </c>
      <c r="H403" s="2">
        <v>3</v>
      </c>
      <c r="I403" s="4">
        <v>3698524</v>
      </c>
    </row>
    <row r="404" spans="1:9">
      <c r="A404" s="5">
        <v>10000403</v>
      </c>
      <c r="B404" s="3" t="s">
        <v>9</v>
      </c>
      <c r="C404" s="3" t="s">
        <v>67</v>
      </c>
      <c r="D404" s="3" t="s">
        <v>66</v>
      </c>
      <c r="E404" s="3" t="s">
        <v>64</v>
      </c>
      <c r="F404" s="3">
        <v>2000</v>
      </c>
      <c r="G404" s="3">
        <v>1</v>
      </c>
      <c r="H404" s="2">
        <v>3</v>
      </c>
      <c r="I404" s="4">
        <v>35327926</v>
      </c>
    </row>
    <row r="405" spans="1:9">
      <c r="A405" s="5">
        <v>10000404</v>
      </c>
      <c r="B405" s="3" t="s">
        <v>12</v>
      </c>
      <c r="C405" s="3" t="s">
        <v>67</v>
      </c>
      <c r="D405" s="3" t="s">
        <v>68</v>
      </c>
      <c r="E405" s="3" t="s">
        <v>63</v>
      </c>
      <c r="F405" s="3">
        <v>2023</v>
      </c>
      <c r="G405" s="3">
        <v>5</v>
      </c>
      <c r="H405" s="2">
        <v>0</v>
      </c>
      <c r="I405" s="4">
        <v>4410681</v>
      </c>
    </row>
    <row r="406" spans="1:9">
      <c r="A406" s="5">
        <v>10000405</v>
      </c>
      <c r="B406" s="3" t="s">
        <v>14</v>
      </c>
      <c r="C406" s="3" t="s">
        <v>65</v>
      </c>
      <c r="D406" s="3" t="s">
        <v>68</v>
      </c>
      <c r="E406" s="3" t="s">
        <v>63</v>
      </c>
      <c r="F406" s="3">
        <v>2004</v>
      </c>
      <c r="G406" s="3">
        <v>2</v>
      </c>
      <c r="H406" s="2">
        <v>0</v>
      </c>
      <c r="I406" s="4">
        <v>15468405</v>
      </c>
    </row>
    <row r="407" spans="1:9">
      <c r="A407" s="5">
        <v>10000406</v>
      </c>
      <c r="B407" s="3" t="s">
        <v>9</v>
      </c>
      <c r="C407" s="3" t="s">
        <v>67</v>
      </c>
      <c r="D407" s="3" t="s">
        <v>66</v>
      </c>
      <c r="E407" s="3" t="s">
        <v>64</v>
      </c>
      <c r="F407" s="3">
        <v>2022</v>
      </c>
      <c r="G407" s="3">
        <v>2</v>
      </c>
      <c r="H407" s="2">
        <v>3</v>
      </c>
      <c r="I407" s="4">
        <v>45366610</v>
      </c>
    </row>
    <row r="408" spans="1:9">
      <c r="A408" s="5">
        <v>10000407</v>
      </c>
      <c r="B408" s="3" t="s">
        <v>13</v>
      </c>
      <c r="C408" s="3" t="s">
        <v>65</v>
      </c>
      <c r="D408" s="3" t="s">
        <v>69</v>
      </c>
      <c r="E408" s="3" t="s">
        <v>63</v>
      </c>
      <c r="F408" s="3">
        <v>1986</v>
      </c>
      <c r="G408" s="3">
        <v>1</v>
      </c>
      <c r="H408" s="2">
        <v>0</v>
      </c>
      <c r="I408" s="4">
        <v>4576409</v>
      </c>
    </row>
    <row r="409" spans="1:9">
      <c r="A409" s="5">
        <v>10000408</v>
      </c>
      <c r="B409" s="3" t="s">
        <v>14</v>
      </c>
      <c r="C409" s="3" t="s">
        <v>65</v>
      </c>
      <c r="D409" s="3" t="s">
        <v>68</v>
      </c>
      <c r="E409" s="3" t="s">
        <v>63</v>
      </c>
      <c r="F409" s="3">
        <v>1983</v>
      </c>
      <c r="G409" s="3">
        <v>2</v>
      </c>
      <c r="H409" s="2">
        <v>1</v>
      </c>
      <c r="I409" s="4">
        <v>22690466</v>
      </c>
    </row>
    <row r="410" spans="1:9">
      <c r="A410" s="5">
        <v>10000409</v>
      </c>
      <c r="B410" s="3" t="s">
        <v>9</v>
      </c>
      <c r="C410" s="3" t="s">
        <v>67</v>
      </c>
      <c r="D410" s="3" t="s">
        <v>69</v>
      </c>
      <c r="E410" s="3" t="s">
        <v>63</v>
      </c>
      <c r="F410" s="3">
        <v>1983</v>
      </c>
      <c r="G410" s="3">
        <v>3</v>
      </c>
      <c r="H410" s="2">
        <v>1</v>
      </c>
      <c r="I410" s="4">
        <v>2263086</v>
      </c>
    </row>
    <row r="411" spans="1:9">
      <c r="A411" s="5">
        <v>10000410</v>
      </c>
      <c r="B411" s="3" t="s">
        <v>10</v>
      </c>
      <c r="C411" s="3" t="s">
        <v>67</v>
      </c>
      <c r="D411" s="3" t="s">
        <v>69</v>
      </c>
      <c r="E411" s="3" t="s">
        <v>64</v>
      </c>
      <c r="F411" s="3">
        <v>2009</v>
      </c>
      <c r="G411" s="3">
        <v>1</v>
      </c>
      <c r="H411" s="2">
        <v>5</v>
      </c>
      <c r="I411" s="4">
        <v>6571264</v>
      </c>
    </row>
    <row r="412" spans="1:9">
      <c r="A412" s="5">
        <v>10000411</v>
      </c>
      <c r="B412" s="3" t="s">
        <v>12</v>
      </c>
      <c r="C412" s="3" t="s">
        <v>67</v>
      </c>
      <c r="D412" s="3" t="s">
        <v>66</v>
      </c>
      <c r="E412" s="3" t="s">
        <v>64</v>
      </c>
      <c r="F412" s="3">
        <v>2016</v>
      </c>
      <c r="G412" s="3">
        <v>2</v>
      </c>
      <c r="H412" s="2">
        <v>4</v>
      </c>
      <c r="I412" s="4">
        <v>41424922</v>
      </c>
    </row>
    <row r="413" spans="1:9">
      <c r="A413" s="5">
        <v>10000412</v>
      </c>
      <c r="B413" s="3" t="s">
        <v>10</v>
      </c>
      <c r="C413" s="3" t="s">
        <v>67</v>
      </c>
      <c r="D413" s="3" t="s">
        <v>68</v>
      </c>
      <c r="E413" s="3" t="s">
        <v>63</v>
      </c>
      <c r="F413" s="3">
        <v>1989</v>
      </c>
      <c r="G413" s="3">
        <v>2</v>
      </c>
      <c r="H413" s="2">
        <v>0</v>
      </c>
      <c r="I413" s="4">
        <v>16355312</v>
      </c>
    </row>
    <row r="414" spans="1:9">
      <c r="A414" s="5">
        <v>10000413</v>
      </c>
      <c r="B414" s="3" t="s">
        <v>12</v>
      </c>
      <c r="C414" s="3" t="s">
        <v>67</v>
      </c>
      <c r="D414" s="3" t="s">
        <v>66</v>
      </c>
      <c r="E414" s="3" t="s">
        <v>64</v>
      </c>
      <c r="F414" s="3">
        <v>2007</v>
      </c>
      <c r="G414" s="3">
        <v>2</v>
      </c>
      <c r="H414" s="2">
        <v>5</v>
      </c>
      <c r="I414" s="4">
        <v>61830477</v>
      </c>
    </row>
    <row r="415" spans="1:9">
      <c r="A415" s="5">
        <v>10000414</v>
      </c>
      <c r="B415" s="3" t="s">
        <v>12</v>
      </c>
      <c r="C415" s="3" t="s">
        <v>67</v>
      </c>
      <c r="D415" s="3" t="s">
        <v>66</v>
      </c>
      <c r="E415" s="3" t="s">
        <v>64</v>
      </c>
      <c r="F415" s="3">
        <v>2003</v>
      </c>
      <c r="G415" s="3">
        <v>4</v>
      </c>
      <c r="H415" s="2">
        <v>3</v>
      </c>
      <c r="I415" s="4">
        <v>57008003</v>
      </c>
    </row>
    <row r="416" spans="1:9">
      <c r="A416" s="5">
        <v>10000415</v>
      </c>
      <c r="B416" s="3" t="s">
        <v>11</v>
      </c>
      <c r="C416" s="3" t="s">
        <v>65</v>
      </c>
      <c r="D416" s="3" t="s">
        <v>69</v>
      </c>
      <c r="E416" s="3" t="s">
        <v>63</v>
      </c>
      <c r="F416" s="3">
        <v>2012</v>
      </c>
      <c r="G416" s="3">
        <v>2</v>
      </c>
      <c r="H416" s="2">
        <v>0</v>
      </c>
      <c r="I416" s="4">
        <v>4806205</v>
      </c>
    </row>
    <row r="417" spans="1:9">
      <c r="A417" s="5">
        <v>10000416</v>
      </c>
      <c r="B417" s="3" t="s">
        <v>9</v>
      </c>
      <c r="C417" s="3" t="s">
        <v>67</v>
      </c>
      <c r="D417" s="3" t="s">
        <v>68</v>
      </c>
      <c r="E417" s="3" t="s">
        <v>64</v>
      </c>
      <c r="F417" s="3">
        <v>2001</v>
      </c>
      <c r="G417" s="3">
        <v>3</v>
      </c>
      <c r="H417" s="2">
        <v>5</v>
      </c>
      <c r="I417" s="4">
        <v>15902483</v>
      </c>
    </row>
    <row r="418" spans="1:9">
      <c r="A418" s="5">
        <v>10000417</v>
      </c>
      <c r="B418" s="3" t="s">
        <v>10</v>
      </c>
      <c r="C418" s="3" t="s">
        <v>67</v>
      </c>
      <c r="D418" s="3" t="s">
        <v>68</v>
      </c>
      <c r="E418" s="3" t="s">
        <v>63</v>
      </c>
      <c r="F418" s="3">
        <v>2010</v>
      </c>
      <c r="G418" s="3">
        <v>5</v>
      </c>
      <c r="H418" s="2">
        <v>2</v>
      </c>
      <c r="I418" s="4">
        <v>17584335</v>
      </c>
    </row>
    <row r="419" spans="1:9">
      <c r="A419" s="5">
        <v>10000418</v>
      </c>
      <c r="B419" s="3" t="s">
        <v>13</v>
      </c>
      <c r="C419" s="3" t="s">
        <v>65</v>
      </c>
      <c r="D419" s="3" t="s">
        <v>69</v>
      </c>
      <c r="E419" s="3" t="s">
        <v>62</v>
      </c>
      <c r="F419" s="3">
        <v>1986</v>
      </c>
      <c r="G419" s="3">
        <v>1</v>
      </c>
      <c r="H419" s="2">
        <v>0</v>
      </c>
      <c r="I419" s="4">
        <v>527658</v>
      </c>
    </row>
    <row r="420" spans="1:9">
      <c r="A420" s="5">
        <v>10000419</v>
      </c>
      <c r="B420" s="3" t="s">
        <v>11</v>
      </c>
      <c r="C420" s="3" t="s">
        <v>65</v>
      </c>
      <c r="D420" s="3" t="s">
        <v>69</v>
      </c>
      <c r="E420" s="3" t="s">
        <v>63</v>
      </c>
      <c r="F420" s="3">
        <v>2014</v>
      </c>
      <c r="G420" s="3">
        <v>3</v>
      </c>
      <c r="H420" s="2">
        <v>2</v>
      </c>
      <c r="I420" s="4">
        <v>3892744</v>
      </c>
    </row>
    <row r="421" spans="1:9">
      <c r="A421" s="5">
        <v>10000420</v>
      </c>
      <c r="B421" s="3" t="s">
        <v>10</v>
      </c>
      <c r="C421" s="3" t="s">
        <v>67</v>
      </c>
      <c r="D421" s="3" t="s">
        <v>66</v>
      </c>
      <c r="E421" s="3" t="s">
        <v>64</v>
      </c>
      <c r="F421" s="3">
        <v>1980</v>
      </c>
      <c r="G421" s="3">
        <v>2</v>
      </c>
      <c r="H421" s="2">
        <v>3</v>
      </c>
      <c r="I421" s="4">
        <v>45360638</v>
      </c>
    </row>
    <row r="422" spans="1:9">
      <c r="A422" s="5">
        <v>10000421</v>
      </c>
      <c r="B422" s="3" t="s">
        <v>10</v>
      </c>
      <c r="C422" s="3" t="s">
        <v>67</v>
      </c>
      <c r="D422" s="3" t="s">
        <v>69</v>
      </c>
      <c r="E422" s="3" t="s">
        <v>64</v>
      </c>
      <c r="F422" s="3">
        <v>2003</v>
      </c>
      <c r="G422" s="3">
        <v>3</v>
      </c>
      <c r="H422" s="2">
        <v>3</v>
      </c>
      <c r="I422" s="4">
        <v>1874079</v>
      </c>
    </row>
    <row r="423" spans="1:9">
      <c r="A423" s="5">
        <v>10000422</v>
      </c>
      <c r="B423" s="3" t="s">
        <v>12</v>
      </c>
      <c r="C423" s="3" t="s">
        <v>67</v>
      </c>
      <c r="D423" s="3" t="s">
        <v>69</v>
      </c>
      <c r="E423" s="3" t="s">
        <v>62</v>
      </c>
      <c r="F423" s="3">
        <v>2002</v>
      </c>
      <c r="G423" s="3">
        <v>1</v>
      </c>
      <c r="H423" s="2">
        <v>2</v>
      </c>
      <c r="I423" s="4">
        <v>556760</v>
      </c>
    </row>
    <row r="424" spans="1:9">
      <c r="A424" s="5">
        <v>10000423</v>
      </c>
      <c r="B424" s="3" t="s">
        <v>12</v>
      </c>
      <c r="C424" s="3" t="s">
        <v>67</v>
      </c>
      <c r="D424" s="3" t="s">
        <v>68</v>
      </c>
      <c r="E424" s="3" t="s">
        <v>63</v>
      </c>
      <c r="F424" s="3">
        <v>2000</v>
      </c>
      <c r="G424" s="3">
        <v>4</v>
      </c>
      <c r="H424" s="2">
        <v>1</v>
      </c>
      <c r="I424" s="4">
        <v>14207501</v>
      </c>
    </row>
    <row r="425" spans="1:9">
      <c r="A425" s="5">
        <v>10000424</v>
      </c>
      <c r="B425" s="3" t="s">
        <v>12</v>
      </c>
      <c r="C425" s="3" t="s">
        <v>67</v>
      </c>
      <c r="D425" s="3" t="s">
        <v>69</v>
      </c>
      <c r="E425" s="3" t="s">
        <v>64</v>
      </c>
      <c r="F425" s="3">
        <v>1999</v>
      </c>
      <c r="G425" s="3">
        <v>5</v>
      </c>
      <c r="H425" s="2">
        <v>5</v>
      </c>
      <c r="I425" s="4">
        <v>3831930</v>
      </c>
    </row>
    <row r="426" spans="1:9">
      <c r="A426" s="5">
        <v>10000425</v>
      </c>
      <c r="B426" s="3" t="s">
        <v>9</v>
      </c>
      <c r="C426" s="3" t="s">
        <v>67</v>
      </c>
      <c r="D426" s="3" t="s">
        <v>68</v>
      </c>
      <c r="E426" s="3" t="s">
        <v>64</v>
      </c>
      <c r="F426" s="3">
        <v>2008</v>
      </c>
      <c r="G426" s="3">
        <v>5</v>
      </c>
      <c r="H426" s="2">
        <v>4</v>
      </c>
      <c r="I426" s="4">
        <v>15948089</v>
      </c>
    </row>
    <row r="427" spans="1:9">
      <c r="A427" s="5">
        <v>10000426</v>
      </c>
      <c r="B427" s="3" t="s">
        <v>13</v>
      </c>
      <c r="C427" s="3" t="s">
        <v>65</v>
      </c>
      <c r="D427" s="3" t="s">
        <v>66</v>
      </c>
      <c r="E427" s="3" t="s">
        <v>64</v>
      </c>
      <c r="F427" s="3">
        <v>1992</v>
      </c>
      <c r="G427" s="3">
        <v>4</v>
      </c>
      <c r="H427" s="2">
        <v>3</v>
      </c>
      <c r="I427" s="4">
        <v>58443700</v>
      </c>
    </row>
    <row r="428" spans="1:9">
      <c r="A428" s="5">
        <v>10000427</v>
      </c>
      <c r="B428" s="3" t="s">
        <v>9</v>
      </c>
      <c r="C428" s="3" t="s">
        <v>67</v>
      </c>
      <c r="D428" s="3" t="s">
        <v>69</v>
      </c>
      <c r="E428" s="3" t="s">
        <v>64</v>
      </c>
      <c r="F428" s="3">
        <v>1984</v>
      </c>
      <c r="G428" s="3">
        <v>1</v>
      </c>
      <c r="H428" s="2">
        <v>3</v>
      </c>
      <c r="I428" s="4">
        <v>5700609</v>
      </c>
    </row>
    <row r="429" spans="1:9">
      <c r="A429" s="5">
        <v>10000428</v>
      </c>
      <c r="B429" s="3" t="s">
        <v>13</v>
      </c>
      <c r="C429" s="3" t="s">
        <v>65</v>
      </c>
      <c r="D429" s="3" t="s">
        <v>69</v>
      </c>
      <c r="E429" s="3" t="s">
        <v>62</v>
      </c>
      <c r="F429" s="3">
        <v>2004</v>
      </c>
      <c r="G429" s="3">
        <v>1</v>
      </c>
      <c r="H429" s="2">
        <v>0</v>
      </c>
      <c r="I429" s="4">
        <v>527953</v>
      </c>
    </row>
    <row r="430" spans="1:9">
      <c r="A430" s="5">
        <v>10000429</v>
      </c>
      <c r="B430" s="3" t="s">
        <v>11</v>
      </c>
      <c r="C430" s="3" t="s">
        <v>65</v>
      </c>
      <c r="D430" s="3" t="s">
        <v>68</v>
      </c>
      <c r="E430" s="3" t="s">
        <v>63</v>
      </c>
      <c r="F430" s="3">
        <v>1996</v>
      </c>
      <c r="G430" s="3">
        <v>2</v>
      </c>
      <c r="H430" s="2">
        <v>1</v>
      </c>
      <c r="I430" s="4">
        <v>18416917</v>
      </c>
    </row>
    <row r="431" spans="1:9">
      <c r="A431" s="5">
        <v>10000430</v>
      </c>
      <c r="B431" s="3" t="s">
        <v>10</v>
      </c>
      <c r="C431" s="3" t="s">
        <v>67</v>
      </c>
      <c r="D431" s="3" t="s">
        <v>69</v>
      </c>
      <c r="E431" s="3" t="s">
        <v>64</v>
      </c>
      <c r="F431" s="3">
        <v>2007</v>
      </c>
      <c r="G431" s="3">
        <v>3</v>
      </c>
      <c r="H431" s="2">
        <v>3</v>
      </c>
      <c r="I431" s="4">
        <v>2091061</v>
      </c>
    </row>
    <row r="432" spans="1:9">
      <c r="A432" s="5">
        <v>10000431</v>
      </c>
      <c r="B432" s="3" t="s">
        <v>9</v>
      </c>
      <c r="C432" s="3" t="s">
        <v>67</v>
      </c>
      <c r="D432" s="3" t="s">
        <v>68</v>
      </c>
      <c r="E432" s="3" t="s">
        <v>64</v>
      </c>
      <c r="F432" s="3">
        <v>2003</v>
      </c>
      <c r="G432" s="3">
        <v>2</v>
      </c>
      <c r="H432" s="2">
        <v>4</v>
      </c>
      <c r="I432" s="4">
        <v>22040688</v>
      </c>
    </row>
    <row r="433" spans="1:9">
      <c r="A433" s="5">
        <v>10000432</v>
      </c>
      <c r="B433" s="3" t="s">
        <v>12</v>
      </c>
      <c r="C433" s="3" t="s">
        <v>67</v>
      </c>
      <c r="D433" s="3" t="s">
        <v>66</v>
      </c>
      <c r="E433" s="3" t="s">
        <v>64</v>
      </c>
      <c r="F433" s="3">
        <v>2004</v>
      </c>
      <c r="G433" s="3">
        <v>1</v>
      </c>
      <c r="H433" s="2">
        <v>5</v>
      </c>
      <c r="I433" s="4">
        <v>49755436</v>
      </c>
    </row>
    <row r="434" spans="1:9">
      <c r="A434" s="5">
        <v>10000433</v>
      </c>
      <c r="B434" s="3" t="s">
        <v>14</v>
      </c>
      <c r="C434" s="3" t="s">
        <v>65</v>
      </c>
      <c r="D434" s="3" t="s">
        <v>69</v>
      </c>
      <c r="E434" s="3" t="s">
        <v>62</v>
      </c>
      <c r="F434" s="3">
        <v>1983</v>
      </c>
      <c r="G434" s="3">
        <v>1</v>
      </c>
      <c r="H434" s="2">
        <v>1</v>
      </c>
      <c r="I434" s="4">
        <v>546485</v>
      </c>
    </row>
    <row r="435" spans="1:9">
      <c r="A435" s="5">
        <v>10000434</v>
      </c>
      <c r="B435" s="3" t="s">
        <v>13</v>
      </c>
      <c r="C435" s="3" t="s">
        <v>65</v>
      </c>
      <c r="D435" s="3" t="s">
        <v>68</v>
      </c>
      <c r="E435" s="3" t="s">
        <v>63</v>
      </c>
      <c r="F435" s="3">
        <v>2022</v>
      </c>
      <c r="G435" s="3">
        <v>1</v>
      </c>
      <c r="H435" s="2">
        <v>2</v>
      </c>
      <c r="I435" s="4">
        <v>14747940</v>
      </c>
    </row>
    <row r="436" spans="1:9">
      <c r="A436" s="5">
        <v>10000435</v>
      </c>
      <c r="B436" s="3" t="s">
        <v>9</v>
      </c>
      <c r="C436" s="3" t="s">
        <v>67</v>
      </c>
      <c r="D436" s="3" t="s">
        <v>68</v>
      </c>
      <c r="E436" s="3" t="s">
        <v>63</v>
      </c>
      <c r="F436" s="3">
        <v>2010</v>
      </c>
      <c r="G436" s="3">
        <v>1</v>
      </c>
      <c r="H436" s="2">
        <v>1</v>
      </c>
      <c r="I436" s="4">
        <v>23132542</v>
      </c>
    </row>
    <row r="437" spans="1:9">
      <c r="A437" s="5">
        <v>10000436</v>
      </c>
      <c r="B437" s="3" t="s">
        <v>13</v>
      </c>
      <c r="C437" s="3" t="s">
        <v>65</v>
      </c>
      <c r="D437" s="3" t="s">
        <v>69</v>
      </c>
      <c r="E437" s="3" t="s">
        <v>63</v>
      </c>
      <c r="F437" s="3">
        <v>2021</v>
      </c>
      <c r="G437" s="3">
        <v>4</v>
      </c>
      <c r="H437" s="2">
        <v>1</v>
      </c>
      <c r="I437" s="4">
        <v>6577832</v>
      </c>
    </row>
    <row r="438" spans="1:9">
      <c r="A438" s="5">
        <v>10000437</v>
      </c>
      <c r="B438" s="3" t="s">
        <v>9</v>
      </c>
      <c r="C438" s="3" t="s">
        <v>67</v>
      </c>
      <c r="D438" s="3" t="s">
        <v>66</v>
      </c>
      <c r="E438" s="3" t="s">
        <v>64</v>
      </c>
      <c r="F438" s="3">
        <v>1996</v>
      </c>
      <c r="G438" s="3">
        <v>4</v>
      </c>
      <c r="H438" s="2">
        <v>3</v>
      </c>
      <c r="I438" s="4">
        <v>46735229</v>
      </c>
    </row>
    <row r="439" spans="1:9">
      <c r="A439" s="5">
        <v>10000438</v>
      </c>
      <c r="B439" s="3" t="s">
        <v>11</v>
      </c>
      <c r="C439" s="3" t="s">
        <v>65</v>
      </c>
      <c r="D439" s="3" t="s">
        <v>69</v>
      </c>
      <c r="E439" s="3" t="s">
        <v>63</v>
      </c>
      <c r="F439" s="3">
        <v>2024</v>
      </c>
      <c r="G439" s="3">
        <v>4</v>
      </c>
      <c r="H439" s="2">
        <v>2</v>
      </c>
      <c r="I439" s="4">
        <v>3808887</v>
      </c>
    </row>
    <row r="440" spans="1:9">
      <c r="A440" s="5">
        <v>10000439</v>
      </c>
      <c r="B440" s="3" t="s">
        <v>10</v>
      </c>
      <c r="C440" s="3" t="s">
        <v>67</v>
      </c>
      <c r="D440" s="3" t="s">
        <v>68</v>
      </c>
      <c r="E440" s="3" t="s">
        <v>64</v>
      </c>
      <c r="F440" s="3">
        <v>1983</v>
      </c>
      <c r="G440" s="3">
        <v>4</v>
      </c>
      <c r="H440" s="2">
        <v>3</v>
      </c>
      <c r="I440" s="4">
        <v>16211522</v>
      </c>
    </row>
    <row r="441" spans="1:9">
      <c r="A441" s="5">
        <v>10000440</v>
      </c>
      <c r="B441" s="3" t="s">
        <v>14</v>
      </c>
      <c r="C441" s="3" t="s">
        <v>65</v>
      </c>
      <c r="D441" s="3" t="s">
        <v>69</v>
      </c>
      <c r="E441" s="3" t="s">
        <v>62</v>
      </c>
      <c r="F441" s="3">
        <v>1993</v>
      </c>
      <c r="G441" s="3">
        <v>1</v>
      </c>
      <c r="H441" s="2">
        <v>0</v>
      </c>
      <c r="I441" s="4">
        <v>377487</v>
      </c>
    </row>
    <row r="442" spans="1:9">
      <c r="A442" s="5">
        <v>10000441</v>
      </c>
      <c r="B442" s="3" t="s">
        <v>9</v>
      </c>
      <c r="C442" s="3" t="s">
        <v>67</v>
      </c>
      <c r="D442" s="3" t="s">
        <v>69</v>
      </c>
      <c r="E442" s="3" t="s">
        <v>62</v>
      </c>
      <c r="F442" s="3">
        <v>1999</v>
      </c>
      <c r="G442" s="3">
        <v>1</v>
      </c>
      <c r="H442" s="2">
        <v>1</v>
      </c>
      <c r="I442" s="4">
        <v>526768</v>
      </c>
    </row>
    <row r="443" spans="1:9">
      <c r="A443" s="5">
        <v>10000442</v>
      </c>
      <c r="B443" s="3" t="s">
        <v>9</v>
      </c>
      <c r="C443" s="3" t="s">
        <v>67</v>
      </c>
      <c r="D443" s="3" t="s">
        <v>69</v>
      </c>
      <c r="E443" s="3" t="s">
        <v>64</v>
      </c>
      <c r="F443" s="3">
        <v>2007</v>
      </c>
      <c r="G443" s="3">
        <v>4</v>
      </c>
      <c r="H443" s="2">
        <v>4</v>
      </c>
      <c r="I443" s="4">
        <v>2744189</v>
      </c>
    </row>
    <row r="444" spans="1:9">
      <c r="A444" s="5">
        <v>10000443</v>
      </c>
      <c r="B444" s="3" t="s">
        <v>9</v>
      </c>
      <c r="C444" s="3" t="s">
        <v>67</v>
      </c>
      <c r="D444" s="3" t="s">
        <v>68</v>
      </c>
      <c r="E444" s="3" t="s">
        <v>63</v>
      </c>
      <c r="F444" s="3">
        <v>2014</v>
      </c>
      <c r="G444" s="3">
        <v>2</v>
      </c>
      <c r="H444" s="2">
        <v>1</v>
      </c>
      <c r="I444" s="4">
        <v>14218748</v>
      </c>
    </row>
    <row r="445" spans="1:9">
      <c r="A445" s="5">
        <v>10000444</v>
      </c>
      <c r="B445" s="3" t="s">
        <v>12</v>
      </c>
      <c r="C445" s="3" t="s">
        <v>67</v>
      </c>
      <c r="D445" s="3" t="s">
        <v>66</v>
      </c>
      <c r="E445" s="3" t="s">
        <v>64</v>
      </c>
      <c r="F445" s="3">
        <v>2023</v>
      </c>
      <c r="G445" s="3">
        <v>1</v>
      </c>
      <c r="H445" s="2">
        <v>4</v>
      </c>
      <c r="I445" s="4">
        <v>57306267</v>
      </c>
    </row>
    <row r="446" spans="1:9">
      <c r="A446" s="5">
        <v>10000445</v>
      </c>
      <c r="B446" s="3" t="s">
        <v>9</v>
      </c>
      <c r="C446" s="3" t="s">
        <v>67</v>
      </c>
      <c r="D446" s="3" t="s">
        <v>69</v>
      </c>
      <c r="E446" s="3" t="s">
        <v>64</v>
      </c>
      <c r="F446" s="3">
        <v>2024</v>
      </c>
      <c r="G446" s="3">
        <v>1</v>
      </c>
      <c r="H446" s="2">
        <v>4</v>
      </c>
      <c r="I446" s="4">
        <v>6297217</v>
      </c>
    </row>
    <row r="447" spans="1:9">
      <c r="A447" s="5">
        <v>10000446</v>
      </c>
      <c r="B447" s="3" t="s">
        <v>12</v>
      </c>
      <c r="C447" s="3" t="s">
        <v>67</v>
      </c>
      <c r="D447" s="3" t="s">
        <v>69</v>
      </c>
      <c r="E447" s="3" t="s">
        <v>63</v>
      </c>
      <c r="F447" s="3">
        <v>1988</v>
      </c>
      <c r="G447" s="3">
        <v>2</v>
      </c>
      <c r="H447" s="2">
        <v>2</v>
      </c>
      <c r="I447" s="4">
        <v>5892856</v>
      </c>
    </row>
    <row r="448" spans="1:9">
      <c r="A448" s="5">
        <v>10000447</v>
      </c>
      <c r="B448" s="3" t="s">
        <v>10</v>
      </c>
      <c r="C448" s="3" t="s">
        <v>67</v>
      </c>
      <c r="D448" s="3" t="s">
        <v>68</v>
      </c>
      <c r="E448" s="3" t="s">
        <v>64</v>
      </c>
      <c r="F448" s="3">
        <v>2016</v>
      </c>
      <c r="G448" s="3">
        <v>2</v>
      </c>
      <c r="H448" s="2">
        <v>5</v>
      </c>
      <c r="I448" s="4">
        <v>14306104</v>
      </c>
    </row>
    <row r="449" spans="1:9">
      <c r="A449" s="5">
        <v>10000448</v>
      </c>
      <c r="B449" s="3" t="s">
        <v>11</v>
      </c>
      <c r="C449" s="3" t="s">
        <v>65</v>
      </c>
      <c r="D449" s="3" t="s">
        <v>68</v>
      </c>
      <c r="E449" s="3" t="s">
        <v>63</v>
      </c>
      <c r="F449" s="3">
        <v>2007</v>
      </c>
      <c r="G449" s="3">
        <v>1</v>
      </c>
      <c r="H449" s="2">
        <v>1</v>
      </c>
      <c r="I449" s="4">
        <v>6630248</v>
      </c>
    </row>
    <row r="450" spans="1:9">
      <c r="A450" s="5">
        <v>10000449</v>
      </c>
      <c r="B450" s="3" t="s">
        <v>9</v>
      </c>
      <c r="C450" s="3" t="s">
        <v>67</v>
      </c>
      <c r="D450" s="3" t="s">
        <v>68</v>
      </c>
      <c r="E450" s="3" t="s">
        <v>64</v>
      </c>
      <c r="F450" s="3">
        <v>2005</v>
      </c>
      <c r="G450" s="3">
        <v>4</v>
      </c>
      <c r="H450" s="2">
        <v>3</v>
      </c>
      <c r="I450" s="4">
        <v>20988668</v>
      </c>
    </row>
    <row r="451" spans="1:9">
      <c r="A451" s="5">
        <v>10000450</v>
      </c>
      <c r="B451" s="3" t="s">
        <v>14</v>
      </c>
      <c r="C451" s="3" t="s">
        <v>65</v>
      </c>
      <c r="D451" s="3" t="s">
        <v>69</v>
      </c>
      <c r="E451" s="3" t="s">
        <v>63</v>
      </c>
      <c r="F451" s="3">
        <v>1984</v>
      </c>
      <c r="G451" s="3">
        <v>2</v>
      </c>
      <c r="H451" s="2">
        <v>1</v>
      </c>
      <c r="I451" s="4">
        <v>4055938</v>
      </c>
    </row>
    <row r="452" spans="1:9">
      <c r="A452" s="5">
        <v>10000451</v>
      </c>
      <c r="B452" s="3" t="s">
        <v>11</v>
      </c>
      <c r="C452" s="3" t="s">
        <v>65</v>
      </c>
      <c r="D452" s="3" t="s">
        <v>66</v>
      </c>
      <c r="E452" s="3" t="s">
        <v>64</v>
      </c>
      <c r="F452" s="3">
        <v>1990</v>
      </c>
      <c r="G452" s="3">
        <v>1</v>
      </c>
      <c r="H452" s="2">
        <v>4</v>
      </c>
      <c r="I452" s="4">
        <v>41972682</v>
      </c>
    </row>
    <row r="453" spans="1:9">
      <c r="A453" s="5">
        <v>10000452</v>
      </c>
      <c r="B453" s="3" t="s">
        <v>13</v>
      </c>
      <c r="C453" s="3" t="s">
        <v>65</v>
      </c>
      <c r="D453" s="3" t="s">
        <v>66</v>
      </c>
      <c r="E453" s="3" t="s">
        <v>64</v>
      </c>
      <c r="F453" s="3">
        <v>1982</v>
      </c>
      <c r="G453" s="3">
        <v>5</v>
      </c>
      <c r="H453" s="2">
        <v>3</v>
      </c>
      <c r="I453" s="4">
        <v>54006172</v>
      </c>
    </row>
    <row r="454" spans="1:9">
      <c r="A454" s="5">
        <v>10000453</v>
      </c>
      <c r="B454" s="3" t="s">
        <v>13</v>
      </c>
      <c r="C454" s="3" t="s">
        <v>65</v>
      </c>
      <c r="D454" s="3" t="s">
        <v>66</v>
      </c>
      <c r="E454" s="3" t="s">
        <v>64</v>
      </c>
      <c r="F454" s="3">
        <v>2012</v>
      </c>
      <c r="G454" s="3">
        <v>5</v>
      </c>
      <c r="H454" s="2">
        <v>5</v>
      </c>
      <c r="I454" s="4">
        <v>37864183</v>
      </c>
    </row>
    <row r="455" spans="1:9">
      <c r="A455" s="5">
        <v>10000454</v>
      </c>
      <c r="B455" s="3" t="s">
        <v>9</v>
      </c>
      <c r="C455" s="3" t="s">
        <v>67</v>
      </c>
      <c r="D455" s="3" t="s">
        <v>69</v>
      </c>
      <c r="E455" s="3" t="s">
        <v>64</v>
      </c>
      <c r="F455" s="3">
        <v>1981</v>
      </c>
      <c r="G455" s="3">
        <v>4</v>
      </c>
      <c r="H455" s="2">
        <v>4</v>
      </c>
      <c r="I455" s="4">
        <v>2817568</v>
      </c>
    </row>
    <row r="456" spans="1:9">
      <c r="A456" s="5">
        <v>10000455</v>
      </c>
      <c r="B456" s="3" t="s">
        <v>12</v>
      </c>
      <c r="C456" s="3" t="s">
        <v>67</v>
      </c>
      <c r="D456" s="3" t="s">
        <v>68</v>
      </c>
      <c r="E456" s="3" t="s">
        <v>63</v>
      </c>
      <c r="F456" s="3">
        <v>1986</v>
      </c>
      <c r="G456" s="3">
        <v>5</v>
      </c>
      <c r="H456" s="2">
        <v>1</v>
      </c>
      <c r="I456" s="4">
        <v>11356129</v>
      </c>
    </row>
    <row r="457" spans="1:9">
      <c r="A457" s="5">
        <v>10000456</v>
      </c>
      <c r="B457" s="3" t="s">
        <v>12</v>
      </c>
      <c r="C457" s="3" t="s">
        <v>67</v>
      </c>
      <c r="D457" s="3" t="s">
        <v>66</v>
      </c>
      <c r="E457" s="3" t="s">
        <v>64</v>
      </c>
      <c r="F457" s="3">
        <v>1984</v>
      </c>
      <c r="G457" s="3">
        <v>5</v>
      </c>
      <c r="H457" s="2">
        <v>5</v>
      </c>
      <c r="I457" s="4">
        <v>44980347</v>
      </c>
    </row>
    <row r="458" spans="1:9">
      <c r="A458" s="5">
        <v>10000457</v>
      </c>
      <c r="B458" s="3" t="s">
        <v>11</v>
      </c>
      <c r="C458" s="3" t="s">
        <v>65</v>
      </c>
      <c r="D458" s="3" t="s">
        <v>66</v>
      </c>
      <c r="E458" s="3" t="s">
        <v>64</v>
      </c>
      <c r="F458" s="3">
        <v>1987</v>
      </c>
      <c r="G458" s="3">
        <v>3</v>
      </c>
      <c r="H458" s="2">
        <v>4</v>
      </c>
      <c r="I458" s="4">
        <v>38391252</v>
      </c>
    </row>
    <row r="459" spans="1:9">
      <c r="A459" s="5">
        <v>10000458</v>
      </c>
      <c r="B459" s="3" t="s">
        <v>12</v>
      </c>
      <c r="C459" s="3" t="s">
        <v>67</v>
      </c>
      <c r="D459" s="3" t="s">
        <v>68</v>
      </c>
      <c r="E459" s="3" t="s">
        <v>64</v>
      </c>
      <c r="F459" s="3">
        <v>1982</v>
      </c>
      <c r="G459" s="3">
        <v>4</v>
      </c>
      <c r="H459" s="2">
        <v>4</v>
      </c>
      <c r="I459" s="4">
        <v>24101171</v>
      </c>
    </row>
    <row r="460" spans="1:9">
      <c r="A460" s="5">
        <v>10000459</v>
      </c>
      <c r="B460" s="3" t="s">
        <v>9</v>
      </c>
      <c r="C460" s="3" t="s">
        <v>67</v>
      </c>
      <c r="D460" s="3" t="s">
        <v>68</v>
      </c>
      <c r="E460" s="3" t="s">
        <v>63</v>
      </c>
      <c r="F460" s="3">
        <v>2014</v>
      </c>
      <c r="G460" s="3">
        <v>2</v>
      </c>
      <c r="H460" s="2">
        <v>2</v>
      </c>
      <c r="I460" s="4">
        <v>15883260</v>
      </c>
    </row>
    <row r="461" spans="1:9">
      <c r="A461" s="5">
        <v>10000460</v>
      </c>
      <c r="B461" s="3" t="s">
        <v>10</v>
      </c>
      <c r="C461" s="3" t="s">
        <v>67</v>
      </c>
      <c r="D461" s="3" t="s">
        <v>68</v>
      </c>
      <c r="E461" s="3" t="s">
        <v>64</v>
      </c>
      <c r="F461" s="3">
        <v>2006</v>
      </c>
      <c r="G461" s="3">
        <v>1</v>
      </c>
      <c r="H461" s="2">
        <v>3</v>
      </c>
      <c r="I461" s="4">
        <v>14993087</v>
      </c>
    </row>
    <row r="462" spans="1:9">
      <c r="A462" s="5">
        <v>10000461</v>
      </c>
      <c r="B462" s="3" t="s">
        <v>9</v>
      </c>
      <c r="C462" s="3" t="s">
        <v>67</v>
      </c>
      <c r="D462" s="3" t="s">
        <v>66</v>
      </c>
      <c r="E462" s="3" t="s">
        <v>64</v>
      </c>
      <c r="F462" s="3">
        <v>1990</v>
      </c>
      <c r="G462" s="3">
        <v>4</v>
      </c>
      <c r="H462" s="2">
        <v>5</v>
      </c>
      <c r="I462" s="4">
        <v>52686448</v>
      </c>
    </row>
    <row r="463" spans="1:9">
      <c r="A463" s="5">
        <v>10000462</v>
      </c>
      <c r="B463" s="3" t="s">
        <v>11</v>
      </c>
      <c r="C463" s="3" t="s">
        <v>65</v>
      </c>
      <c r="D463" s="3" t="s">
        <v>66</v>
      </c>
      <c r="E463" s="3" t="s">
        <v>64</v>
      </c>
      <c r="F463" s="3">
        <v>2019</v>
      </c>
      <c r="G463" s="3">
        <v>5</v>
      </c>
      <c r="H463" s="2">
        <v>5</v>
      </c>
      <c r="I463" s="4">
        <v>42711223</v>
      </c>
    </row>
    <row r="464" spans="1:9">
      <c r="A464" s="5">
        <v>10000463</v>
      </c>
      <c r="B464" s="3" t="s">
        <v>11</v>
      </c>
      <c r="C464" s="3" t="s">
        <v>65</v>
      </c>
      <c r="D464" s="3" t="s">
        <v>68</v>
      </c>
      <c r="E464" s="3" t="s">
        <v>64</v>
      </c>
      <c r="F464" s="3">
        <v>2024</v>
      </c>
      <c r="G464" s="3">
        <v>1</v>
      </c>
      <c r="H464" s="2">
        <v>3</v>
      </c>
      <c r="I464" s="4">
        <v>20050332</v>
      </c>
    </row>
    <row r="465" spans="1:9">
      <c r="A465" s="5">
        <v>10000464</v>
      </c>
      <c r="B465" s="3" t="s">
        <v>11</v>
      </c>
      <c r="C465" s="3" t="s">
        <v>65</v>
      </c>
      <c r="D465" s="3" t="s">
        <v>66</v>
      </c>
      <c r="E465" s="3" t="s">
        <v>64</v>
      </c>
      <c r="F465" s="3">
        <v>2023</v>
      </c>
      <c r="G465" s="3">
        <v>2</v>
      </c>
      <c r="H465" s="2">
        <v>3</v>
      </c>
      <c r="I465" s="4">
        <v>46337239</v>
      </c>
    </row>
    <row r="466" spans="1:9">
      <c r="A466" s="5">
        <v>10000465</v>
      </c>
      <c r="B466" s="3" t="s">
        <v>9</v>
      </c>
      <c r="C466" s="3" t="s">
        <v>67</v>
      </c>
      <c r="D466" s="3" t="s">
        <v>69</v>
      </c>
      <c r="E466" s="3" t="s">
        <v>64</v>
      </c>
      <c r="F466" s="3">
        <v>1982</v>
      </c>
      <c r="G466" s="3">
        <v>5</v>
      </c>
      <c r="H466" s="2">
        <v>5</v>
      </c>
      <c r="I466" s="4">
        <v>1417289</v>
      </c>
    </row>
    <row r="467" spans="1:9">
      <c r="A467" s="5">
        <v>10000466</v>
      </c>
      <c r="B467" s="3" t="s">
        <v>11</v>
      </c>
      <c r="C467" s="3" t="s">
        <v>65</v>
      </c>
      <c r="D467" s="3" t="s">
        <v>66</v>
      </c>
      <c r="E467" s="3" t="s">
        <v>64</v>
      </c>
      <c r="F467" s="3">
        <v>2018</v>
      </c>
      <c r="G467" s="3">
        <v>2</v>
      </c>
      <c r="H467" s="2">
        <v>4</v>
      </c>
      <c r="I467" s="4">
        <v>54013621</v>
      </c>
    </row>
    <row r="468" spans="1:9">
      <c r="A468" s="5">
        <v>10000467</v>
      </c>
      <c r="B468" s="3" t="s">
        <v>13</v>
      </c>
      <c r="C468" s="3" t="s">
        <v>65</v>
      </c>
      <c r="D468" s="3" t="s">
        <v>69</v>
      </c>
      <c r="E468" s="3" t="s">
        <v>62</v>
      </c>
      <c r="F468" s="3">
        <v>2002</v>
      </c>
      <c r="G468" s="3">
        <v>1</v>
      </c>
      <c r="H468" s="2">
        <v>0</v>
      </c>
      <c r="I468" s="4">
        <v>508666</v>
      </c>
    </row>
    <row r="469" spans="1:9">
      <c r="A469" s="5">
        <v>10000468</v>
      </c>
      <c r="B469" s="3" t="s">
        <v>14</v>
      </c>
      <c r="C469" s="3" t="s">
        <v>65</v>
      </c>
      <c r="D469" s="3" t="s">
        <v>68</v>
      </c>
      <c r="E469" s="3" t="s">
        <v>64</v>
      </c>
      <c r="F469" s="3">
        <v>2018</v>
      </c>
      <c r="G469" s="3">
        <v>2</v>
      </c>
      <c r="H469" s="2">
        <v>3</v>
      </c>
      <c r="I469" s="4">
        <v>21597003</v>
      </c>
    </row>
    <row r="470" spans="1:9">
      <c r="A470" s="5">
        <v>10000469</v>
      </c>
      <c r="B470" s="3" t="s">
        <v>10</v>
      </c>
      <c r="C470" s="3" t="s">
        <v>67</v>
      </c>
      <c r="D470" s="3" t="s">
        <v>66</v>
      </c>
      <c r="E470" s="3" t="s">
        <v>64</v>
      </c>
      <c r="F470" s="3">
        <v>1980</v>
      </c>
      <c r="G470" s="3">
        <v>5</v>
      </c>
      <c r="H470" s="2">
        <v>3</v>
      </c>
      <c r="I470" s="4">
        <v>62236768</v>
      </c>
    </row>
    <row r="471" spans="1:9">
      <c r="A471" s="5">
        <v>10000470</v>
      </c>
      <c r="B471" s="3" t="s">
        <v>12</v>
      </c>
      <c r="C471" s="3" t="s">
        <v>67</v>
      </c>
      <c r="D471" s="3" t="s">
        <v>68</v>
      </c>
      <c r="E471" s="3" t="s">
        <v>63</v>
      </c>
      <c r="F471" s="3">
        <v>2002</v>
      </c>
      <c r="G471" s="3">
        <v>2</v>
      </c>
      <c r="H471" s="2">
        <v>2</v>
      </c>
      <c r="I471" s="4">
        <v>15299345</v>
      </c>
    </row>
    <row r="472" spans="1:9">
      <c r="A472" s="5">
        <v>10000471</v>
      </c>
      <c r="B472" s="3" t="s">
        <v>13</v>
      </c>
      <c r="C472" s="3" t="s">
        <v>65</v>
      </c>
      <c r="D472" s="3" t="s">
        <v>66</v>
      </c>
      <c r="E472" s="3" t="s">
        <v>64</v>
      </c>
      <c r="F472" s="3">
        <v>2006</v>
      </c>
      <c r="G472" s="3">
        <v>4</v>
      </c>
      <c r="H472" s="2">
        <v>3</v>
      </c>
      <c r="I472" s="4">
        <v>41962277</v>
      </c>
    </row>
    <row r="473" spans="1:9">
      <c r="A473" s="5">
        <v>10000472</v>
      </c>
      <c r="B473" s="3" t="s">
        <v>14</v>
      </c>
      <c r="C473" s="3" t="s">
        <v>65</v>
      </c>
      <c r="D473" s="3" t="s">
        <v>69</v>
      </c>
      <c r="E473" s="3" t="s">
        <v>64</v>
      </c>
      <c r="F473" s="3">
        <v>2015</v>
      </c>
      <c r="G473" s="3">
        <v>5</v>
      </c>
      <c r="H473" s="2">
        <v>3</v>
      </c>
      <c r="I473" s="4">
        <v>3694166</v>
      </c>
    </row>
    <row r="474" spans="1:9">
      <c r="A474" s="5">
        <v>10000473</v>
      </c>
      <c r="B474" s="3" t="s">
        <v>10</v>
      </c>
      <c r="C474" s="3" t="s">
        <v>67</v>
      </c>
      <c r="D474" s="3" t="s">
        <v>68</v>
      </c>
      <c r="E474" s="3" t="s">
        <v>63</v>
      </c>
      <c r="F474" s="3">
        <v>2010</v>
      </c>
      <c r="G474" s="3">
        <v>2</v>
      </c>
      <c r="H474" s="2">
        <v>0</v>
      </c>
      <c r="I474" s="4">
        <v>20444985</v>
      </c>
    </row>
    <row r="475" spans="1:9">
      <c r="A475" s="5">
        <v>10000474</v>
      </c>
      <c r="B475" s="3" t="s">
        <v>10</v>
      </c>
      <c r="C475" s="3" t="s">
        <v>67</v>
      </c>
      <c r="D475" s="3" t="s">
        <v>66</v>
      </c>
      <c r="E475" s="3" t="s">
        <v>64</v>
      </c>
      <c r="F475" s="3">
        <v>1996</v>
      </c>
      <c r="G475" s="3">
        <v>2</v>
      </c>
      <c r="H475" s="2">
        <v>5</v>
      </c>
      <c r="I475" s="4">
        <v>36261760</v>
      </c>
    </row>
    <row r="476" spans="1:9">
      <c r="A476" s="5">
        <v>10000475</v>
      </c>
      <c r="B476" s="3" t="s">
        <v>12</v>
      </c>
      <c r="C476" s="3" t="s">
        <v>67</v>
      </c>
      <c r="D476" s="3" t="s">
        <v>69</v>
      </c>
      <c r="E476" s="3" t="s">
        <v>63</v>
      </c>
      <c r="F476" s="3">
        <v>2022</v>
      </c>
      <c r="G476" s="3">
        <v>2</v>
      </c>
      <c r="H476" s="2">
        <v>0</v>
      </c>
      <c r="I476" s="4">
        <v>4213906</v>
      </c>
    </row>
    <row r="477" spans="1:9">
      <c r="A477" s="5">
        <v>10000476</v>
      </c>
      <c r="B477" s="3" t="s">
        <v>11</v>
      </c>
      <c r="C477" s="3" t="s">
        <v>65</v>
      </c>
      <c r="D477" s="3" t="s">
        <v>66</v>
      </c>
      <c r="E477" s="3" t="s">
        <v>64</v>
      </c>
      <c r="F477" s="3">
        <v>2009</v>
      </c>
      <c r="G477" s="3">
        <v>5</v>
      </c>
      <c r="H477" s="2">
        <v>3</v>
      </c>
      <c r="I477" s="4">
        <v>69387029</v>
      </c>
    </row>
    <row r="478" spans="1:9">
      <c r="A478" s="5">
        <v>10000477</v>
      </c>
      <c r="B478" s="3" t="s">
        <v>12</v>
      </c>
      <c r="C478" s="3" t="s">
        <v>67</v>
      </c>
      <c r="D478" s="3" t="s">
        <v>69</v>
      </c>
      <c r="E478" s="3" t="s">
        <v>63</v>
      </c>
      <c r="F478" s="3">
        <v>1994</v>
      </c>
      <c r="G478" s="3">
        <v>1</v>
      </c>
      <c r="H478" s="2">
        <v>2</v>
      </c>
      <c r="I478" s="4">
        <v>5293105</v>
      </c>
    </row>
    <row r="479" spans="1:9">
      <c r="A479" s="5">
        <v>10000478</v>
      </c>
      <c r="B479" s="3" t="s">
        <v>9</v>
      </c>
      <c r="C479" s="3" t="s">
        <v>67</v>
      </c>
      <c r="D479" s="3" t="s">
        <v>69</v>
      </c>
      <c r="E479" s="3" t="s">
        <v>62</v>
      </c>
      <c r="F479" s="3">
        <v>1984</v>
      </c>
      <c r="G479" s="3">
        <v>1</v>
      </c>
      <c r="H479" s="2">
        <v>1</v>
      </c>
      <c r="I479" s="4">
        <v>601972</v>
      </c>
    </row>
    <row r="480" spans="1:9">
      <c r="A480" s="5">
        <v>10000479</v>
      </c>
      <c r="B480" s="3" t="s">
        <v>12</v>
      </c>
      <c r="C480" s="3" t="s">
        <v>67</v>
      </c>
      <c r="D480" s="3" t="s">
        <v>66</v>
      </c>
      <c r="E480" s="3" t="s">
        <v>64</v>
      </c>
      <c r="F480" s="3">
        <v>2006</v>
      </c>
      <c r="G480" s="3">
        <v>5</v>
      </c>
      <c r="H480" s="2">
        <v>3</v>
      </c>
      <c r="I480" s="4">
        <v>59799697</v>
      </c>
    </row>
    <row r="481" spans="1:9">
      <c r="A481" s="5">
        <v>10000480</v>
      </c>
      <c r="B481" s="3" t="s">
        <v>13</v>
      </c>
      <c r="C481" s="3" t="s">
        <v>65</v>
      </c>
      <c r="D481" s="3" t="s">
        <v>66</v>
      </c>
      <c r="E481" s="3" t="s">
        <v>64</v>
      </c>
      <c r="F481" s="3">
        <v>2019</v>
      </c>
      <c r="G481" s="3">
        <v>5</v>
      </c>
      <c r="H481" s="2">
        <v>5</v>
      </c>
      <c r="I481" s="4">
        <v>45110635</v>
      </c>
    </row>
    <row r="482" spans="1:9">
      <c r="A482" s="5">
        <v>10000481</v>
      </c>
      <c r="B482" s="3" t="s">
        <v>13</v>
      </c>
      <c r="C482" s="3" t="s">
        <v>65</v>
      </c>
      <c r="D482" s="3" t="s">
        <v>68</v>
      </c>
      <c r="E482" s="3" t="s">
        <v>64</v>
      </c>
      <c r="F482" s="3">
        <v>1999</v>
      </c>
      <c r="G482" s="3">
        <v>1</v>
      </c>
      <c r="H482" s="2">
        <v>5</v>
      </c>
      <c r="I482" s="4">
        <v>10513060</v>
      </c>
    </row>
    <row r="483" spans="1:9">
      <c r="A483" s="5">
        <v>10000482</v>
      </c>
      <c r="B483" s="3" t="s">
        <v>10</v>
      </c>
      <c r="C483" s="3" t="s">
        <v>67</v>
      </c>
      <c r="D483" s="3" t="s">
        <v>68</v>
      </c>
      <c r="E483" s="3" t="s">
        <v>63</v>
      </c>
      <c r="F483" s="3">
        <v>1980</v>
      </c>
      <c r="G483" s="3">
        <v>4</v>
      </c>
      <c r="H483" s="2">
        <v>0</v>
      </c>
      <c r="I483" s="4">
        <v>15148003</v>
      </c>
    </row>
    <row r="484" spans="1:9">
      <c r="A484" s="5">
        <v>10000483</v>
      </c>
      <c r="B484" s="3" t="s">
        <v>9</v>
      </c>
      <c r="C484" s="3" t="s">
        <v>67</v>
      </c>
      <c r="D484" s="3" t="s">
        <v>69</v>
      </c>
      <c r="E484" s="3" t="s">
        <v>62</v>
      </c>
      <c r="F484" s="3">
        <v>2008</v>
      </c>
      <c r="G484" s="3">
        <v>1</v>
      </c>
      <c r="H484" s="2">
        <v>0</v>
      </c>
      <c r="I484" s="4">
        <v>607573</v>
      </c>
    </row>
    <row r="485" spans="1:9">
      <c r="A485" s="5">
        <v>10000484</v>
      </c>
      <c r="B485" s="3" t="s">
        <v>13</v>
      </c>
      <c r="C485" s="3" t="s">
        <v>65</v>
      </c>
      <c r="D485" s="3" t="s">
        <v>68</v>
      </c>
      <c r="E485" s="3" t="s">
        <v>64</v>
      </c>
      <c r="F485" s="3">
        <v>1999</v>
      </c>
      <c r="G485" s="3">
        <v>3</v>
      </c>
      <c r="H485" s="2">
        <v>5</v>
      </c>
      <c r="I485" s="4">
        <v>11128301</v>
      </c>
    </row>
    <row r="486" spans="1:9">
      <c r="A486" s="5">
        <v>10000485</v>
      </c>
      <c r="B486" s="3" t="s">
        <v>9</v>
      </c>
      <c r="C486" s="3" t="s">
        <v>67</v>
      </c>
      <c r="D486" s="3" t="s">
        <v>66</v>
      </c>
      <c r="E486" s="3" t="s">
        <v>64</v>
      </c>
      <c r="F486" s="3">
        <v>1991</v>
      </c>
      <c r="G486" s="3">
        <v>3</v>
      </c>
      <c r="H486" s="2">
        <v>4</v>
      </c>
      <c r="I486" s="4">
        <v>54630213</v>
      </c>
    </row>
    <row r="487" spans="1:9">
      <c r="A487" s="5">
        <v>10000486</v>
      </c>
      <c r="B487" s="3" t="s">
        <v>9</v>
      </c>
      <c r="C487" s="3" t="s">
        <v>67</v>
      </c>
      <c r="D487" s="3" t="s">
        <v>66</v>
      </c>
      <c r="E487" s="3" t="s">
        <v>64</v>
      </c>
      <c r="F487" s="3">
        <v>2022</v>
      </c>
      <c r="G487" s="3">
        <v>2</v>
      </c>
      <c r="H487" s="2">
        <v>4</v>
      </c>
      <c r="I487" s="4">
        <v>26835350</v>
      </c>
    </row>
    <row r="488" spans="1:9">
      <c r="A488" s="5">
        <v>10000487</v>
      </c>
      <c r="B488" s="3" t="s">
        <v>12</v>
      </c>
      <c r="C488" s="3" t="s">
        <v>67</v>
      </c>
      <c r="D488" s="3" t="s">
        <v>66</v>
      </c>
      <c r="E488" s="3" t="s">
        <v>64</v>
      </c>
      <c r="F488" s="3">
        <v>1999</v>
      </c>
      <c r="G488" s="3">
        <v>1</v>
      </c>
      <c r="H488" s="2">
        <v>3</v>
      </c>
      <c r="I488" s="4">
        <v>57208252</v>
      </c>
    </row>
    <row r="489" spans="1:9">
      <c r="A489" s="5">
        <v>10000488</v>
      </c>
      <c r="B489" s="3" t="s">
        <v>13</v>
      </c>
      <c r="C489" s="3" t="s">
        <v>65</v>
      </c>
      <c r="D489" s="3" t="s">
        <v>66</v>
      </c>
      <c r="E489" s="3" t="s">
        <v>64</v>
      </c>
      <c r="F489" s="3">
        <v>1999</v>
      </c>
      <c r="G489" s="3">
        <v>2</v>
      </c>
      <c r="H489" s="2">
        <v>3</v>
      </c>
      <c r="I489" s="4">
        <v>57781868</v>
      </c>
    </row>
    <row r="490" spans="1:9">
      <c r="A490" s="5">
        <v>10000489</v>
      </c>
      <c r="B490" s="3" t="s">
        <v>12</v>
      </c>
      <c r="C490" s="3" t="s">
        <v>67</v>
      </c>
      <c r="D490" s="3" t="s">
        <v>69</v>
      </c>
      <c r="E490" s="3" t="s">
        <v>62</v>
      </c>
      <c r="F490" s="3">
        <v>1984</v>
      </c>
      <c r="G490" s="3">
        <v>1</v>
      </c>
      <c r="H490" s="2">
        <v>1</v>
      </c>
      <c r="I490" s="4">
        <v>573387</v>
      </c>
    </row>
    <row r="491" spans="1:9">
      <c r="A491" s="5">
        <v>10000490</v>
      </c>
      <c r="B491" s="3" t="s">
        <v>12</v>
      </c>
      <c r="C491" s="3" t="s">
        <v>67</v>
      </c>
      <c r="D491" s="3" t="s">
        <v>68</v>
      </c>
      <c r="E491" s="3" t="s">
        <v>64</v>
      </c>
      <c r="F491" s="3">
        <v>1980</v>
      </c>
      <c r="G491" s="3">
        <v>3</v>
      </c>
      <c r="H491" s="2">
        <v>5</v>
      </c>
      <c r="I491" s="4">
        <v>10450352</v>
      </c>
    </row>
    <row r="492" spans="1:9">
      <c r="A492" s="5">
        <v>10000491</v>
      </c>
      <c r="B492" s="3" t="s">
        <v>12</v>
      </c>
      <c r="C492" s="3" t="s">
        <v>67</v>
      </c>
      <c r="D492" s="3" t="s">
        <v>66</v>
      </c>
      <c r="E492" s="3" t="s">
        <v>64</v>
      </c>
      <c r="F492" s="3">
        <v>1996</v>
      </c>
      <c r="G492" s="3">
        <v>4</v>
      </c>
      <c r="H492" s="2">
        <v>3</v>
      </c>
      <c r="I492" s="4">
        <v>58643448</v>
      </c>
    </row>
    <row r="493" spans="1:9">
      <c r="A493" s="5">
        <v>10000492</v>
      </c>
      <c r="B493" s="3" t="s">
        <v>12</v>
      </c>
      <c r="C493" s="3" t="s">
        <v>67</v>
      </c>
      <c r="D493" s="3" t="s">
        <v>69</v>
      </c>
      <c r="E493" s="3" t="s">
        <v>64</v>
      </c>
      <c r="F493" s="3">
        <v>2003</v>
      </c>
      <c r="G493" s="3">
        <v>1</v>
      </c>
      <c r="H493" s="2">
        <v>3</v>
      </c>
      <c r="I493" s="4">
        <v>1583685</v>
      </c>
    </row>
    <row r="494" spans="1:9">
      <c r="A494" s="5">
        <v>10000493</v>
      </c>
      <c r="B494" s="3" t="s">
        <v>9</v>
      </c>
      <c r="C494" s="3" t="s">
        <v>67</v>
      </c>
      <c r="D494" s="3" t="s">
        <v>68</v>
      </c>
      <c r="E494" s="3" t="s">
        <v>64</v>
      </c>
      <c r="F494" s="3">
        <v>2009</v>
      </c>
      <c r="G494" s="3">
        <v>3</v>
      </c>
      <c r="H494" s="2">
        <v>3</v>
      </c>
      <c r="I494" s="4">
        <v>13496101</v>
      </c>
    </row>
    <row r="495" spans="1:9">
      <c r="A495" s="5">
        <v>10000494</v>
      </c>
      <c r="B495" s="3" t="s">
        <v>14</v>
      </c>
      <c r="C495" s="3" t="s">
        <v>65</v>
      </c>
      <c r="D495" s="3" t="s">
        <v>69</v>
      </c>
      <c r="E495" s="3" t="s">
        <v>62</v>
      </c>
      <c r="F495" s="3">
        <v>1991</v>
      </c>
      <c r="G495" s="3">
        <v>1</v>
      </c>
      <c r="H495" s="2">
        <v>0</v>
      </c>
      <c r="I495" s="4">
        <v>391800</v>
      </c>
    </row>
    <row r="496" spans="1:9">
      <c r="A496" s="5">
        <v>10000495</v>
      </c>
      <c r="B496" s="3" t="s">
        <v>10</v>
      </c>
      <c r="C496" s="3" t="s">
        <v>67</v>
      </c>
      <c r="D496" s="3" t="s">
        <v>66</v>
      </c>
      <c r="E496" s="3" t="s">
        <v>64</v>
      </c>
      <c r="F496" s="3">
        <v>1990</v>
      </c>
      <c r="G496" s="3">
        <v>2</v>
      </c>
      <c r="H496" s="2">
        <v>4</v>
      </c>
      <c r="I496" s="4">
        <v>47489783</v>
      </c>
    </row>
    <row r="497" spans="1:9">
      <c r="A497" s="5">
        <v>10000496</v>
      </c>
      <c r="B497" s="3" t="s">
        <v>14</v>
      </c>
      <c r="C497" s="3" t="s">
        <v>65</v>
      </c>
      <c r="D497" s="3" t="s">
        <v>66</v>
      </c>
      <c r="E497" s="3" t="s">
        <v>64</v>
      </c>
      <c r="F497" s="3">
        <v>1989</v>
      </c>
      <c r="G497" s="3">
        <v>4</v>
      </c>
      <c r="H497" s="2">
        <v>4</v>
      </c>
      <c r="I497" s="4">
        <v>42713355</v>
      </c>
    </row>
    <row r="498" spans="1:9">
      <c r="A498" s="5">
        <v>10000497</v>
      </c>
      <c r="B498" s="3" t="s">
        <v>12</v>
      </c>
      <c r="C498" s="3" t="s">
        <v>67</v>
      </c>
      <c r="D498" s="3" t="s">
        <v>68</v>
      </c>
      <c r="E498" s="3" t="s">
        <v>63</v>
      </c>
      <c r="F498" s="3">
        <v>1980</v>
      </c>
      <c r="G498" s="3">
        <v>3</v>
      </c>
      <c r="H498" s="2">
        <v>0</v>
      </c>
      <c r="I498" s="4">
        <v>11042210</v>
      </c>
    </row>
    <row r="499" spans="1:9">
      <c r="A499" s="5">
        <v>10000498</v>
      </c>
      <c r="B499" s="3" t="s">
        <v>10</v>
      </c>
      <c r="C499" s="3" t="s">
        <v>67</v>
      </c>
      <c r="D499" s="3" t="s">
        <v>68</v>
      </c>
      <c r="E499" s="3" t="s">
        <v>64</v>
      </c>
      <c r="F499" s="3">
        <v>2018</v>
      </c>
      <c r="G499" s="3">
        <v>2</v>
      </c>
      <c r="H499" s="2">
        <v>5</v>
      </c>
      <c r="I499" s="4">
        <v>11382335</v>
      </c>
    </row>
    <row r="500" spans="1:9">
      <c r="A500" s="5">
        <v>10000499</v>
      </c>
      <c r="B500" s="3" t="s">
        <v>9</v>
      </c>
      <c r="C500" s="3" t="s">
        <v>67</v>
      </c>
      <c r="D500" s="3" t="s">
        <v>66</v>
      </c>
      <c r="E500" s="3" t="s">
        <v>64</v>
      </c>
      <c r="F500" s="3">
        <v>1999</v>
      </c>
      <c r="G500" s="3">
        <v>3</v>
      </c>
      <c r="H500" s="2">
        <v>4</v>
      </c>
      <c r="I500" s="4">
        <v>42582486</v>
      </c>
    </row>
    <row r="501" spans="1:9">
      <c r="A501" s="5">
        <v>10000500</v>
      </c>
      <c r="B501" s="3" t="s">
        <v>13</v>
      </c>
      <c r="C501" s="3" t="s">
        <v>65</v>
      </c>
      <c r="D501" s="3" t="s">
        <v>68</v>
      </c>
      <c r="E501" s="3" t="s">
        <v>64</v>
      </c>
      <c r="F501" s="3">
        <v>2001</v>
      </c>
      <c r="G501" s="3">
        <v>2</v>
      </c>
      <c r="H501" s="2">
        <v>5</v>
      </c>
      <c r="I501" s="4">
        <v>19310428</v>
      </c>
    </row>
    <row r="502" spans="1:9">
      <c r="A502" s="5">
        <v>10000501</v>
      </c>
      <c r="B502" s="3" t="s">
        <v>13</v>
      </c>
      <c r="C502" s="3" t="s">
        <v>65</v>
      </c>
      <c r="D502" s="3" t="s">
        <v>68</v>
      </c>
      <c r="E502" s="3" t="s">
        <v>64</v>
      </c>
      <c r="F502" s="3">
        <v>1985</v>
      </c>
      <c r="G502" s="3">
        <v>1</v>
      </c>
      <c r="H502" s="2">
        <v>4</v>
      </c>
      <c r="I502" s="4">
        <v>16334385</v>
      </c>
    </row>
    <row r="503" spans="1:9">
      <c r="A503" s="5">
        <v>10000502</v>
      </c>
      <c r="B503" s="3" t="s">
        <v>11</v>
      </c>
      <c r="C503" s="3" t="s">
        <v>65</v>
      </c>
      <c r="D503" s="3" t="s">
        <v>68</v>
      </c>
      <c r="E503" s="3" t="s">
        <v>63</v>
      </c>
      <c r="F503" s="3">
        <v>1987</v>
      </c>
      <c r="G503" s="3">
        <v>3</v>
      </c>
      <c r="H503" s="2">
        <v>2</v>
      </c>
      <c r="I503" s="4">
        <v>11172515</v>
      </c>
    </row>
    <row r="504" spans="1:9">
      <c r="A504" s="5">
        <v>10000503</v>
      </c>
      <c r="B504" s="3" t="s">
        <v>11</v>
      </c>
      <c r="C504" s="3" t="s">
        <v>65</v>
      </c>
      <c r="D504" s="3" t="s">
        <v>66</v>
      </c>
      <c r="E504" s="3" t="s">
        <v>64</v>
      </c>
      <c r="F504" s="3">
        <v>1996</v>
      </c>
      <c r="G504" s="3">
        <v>1</v>
      </c>
      <c r="H504" s="2">
        <v>4</v>
      </c>
      <c r="I504" s="4">
        <v>47309923</v>
      </c>
    </row>
    <row r="505" spans="1:9">
      <c r="A505" s="5">
        <v>10000504</v>
      </c>
      <c r="B505" s="3" t="s">
        <v>9</v>
      </c>
      <c r="C505" s="3" t="s">
        <v>67</v>
      </c>
      <c r="D505" s="3" t="s">
        <v>66</v>
      </c>
      <c r="E505" s="3" t="s">
        <v>64</v>
      </c>
      <c r="F505" s="3">
        <v>1984</v>
      </c>
      <c r="G505" s="3">
        <v>4</v>
      </c>
      <c r="H505" s="2">
        <v>3</v>
      </c>
      <c r="I505" s="4">
        <v>50158576</v>
      </c>
    </row>
    <row r="506" spans="1:9">
      <c r="A506" s="5">
        <v>10000505</v>
      </c>
      <c r="B506" s="3" t="s">
        <v>14</v>
      </c>
      <c r="C506" s="3" t="s">
        <v>65</v>
      </c>
      <c r="D506" s="3" t="s">
        <v>69</v>
      </c>
      <c r="E506" s="3" t="s">
        <v>62</v>
      </c>
      <c r="F506" s="3">
        <v>1993</v>
      </c>
      <c r="G506" s="3">
        <v>1</v>
      </c>
      <c r="H506" s="2">
        <v>2</v>
      </c>
      <c r="I506" s="4">
        <v>491342</v>
      </c>
    </row>
    <row r="507" spans="1:9">
      <c r="A507" s="5">
        <v>10000506</v>
      </c>
      <c r="B507" s="3" t="s">
        <v>9</v>
      </c>
      <c r="C507" s="3" t="s">
        <v>67</v>
      </c>
      <c r="D507" s="3" t="s">
        <v>68</v>
      </c>
      <c r="E507" s="3" t="s">
        <v>64</v>
      </c>
      <c r="F507" s="3">
        <v>2000</v>
      </c>
      <c r="G507" s="3">
        <v>5</v>
      </c>
      <c r="H507" s="2">
        <v>3</v>
      </c>
      <c r="I507" s="4">
        <v>19273645</v>
      </c>
    </row>
    <row r="508" spans="1:9">
      <c r="A508" s="5">
        <v>10000507</v>
      </c>
      <c r="B508" s="3" t="s">
        <v>14</v>
      </c>
      <c r="C508" s="3" t="s">
        <v>65</v>
      </c>
      <c r="D508" s="3" t="s">
        <v>68</v>
      </c>
      <c r="E508" s="3" t="s">
        <v>63</v>
      </c>
      <c r="F508" s="3">
        <v>1983</v>
      </c>
      <c r="G508" s="3">
        <v>1</v>
      </c>
      <c r="H508" s="2">
        <v>1</v>
      </c>
      <c r="I508" s="4">
        <v>17475120</v>
      </c>
    </row>
    <row r="509" spans="1:9">
      <c r="A509" s="5">
        <v>10000508</v>
      </c>
      <c r="B509" s="3" t="s">
        <v>14</v>
      </c>
      <c r="C509" s="3" t="s">
        <v>65</v>
      </c>
      <c r="D509" s="3" t="s">
        <v>68</v>
      </c>
      <c r="E509" s="3" t="s">
        <v>63</v>
      </c>
      <c r="F509" s="3">
        <v>1994</v>
      </c>
      <c r="G509" s="3">
        <v>4</v>
      </c>
      <c r="H509" s="2">
        <v>1</v>
      </c>
      <c r="I509" s="4">
        <v>15042000</v>
      </c>
    </row>
    <row r="510" spans="1:9">
      <c r="A510" s="5">
        <v>10000509</v>
      </c>
      <c r="B510" s="3" t="s">
        <v>9</v>
      </c>
      <c r="C510" s="3" t="s">
        <v>67</v>
      </c>
      <c r="D510" s="3" t="s">
        <v>66</v>
      </c>
      <c r="E510" s="3" t="s">
        <v>64</v>
      </c>
      <c r="F510" s="3">
        <v>2002</v>
      </c>
      <c r="G510" s="3">
        <v>1</v>
      </c>
      <c r="H510" s="2">
        <v>3</v>
      </c>
      <c r="I510" s="4">
        <v>61112808</v>
      </c>
    </row>
    <row r="511" spans="1:9">
      <c r="A511" s="5">
        <v>10000510</v>
      </c>
      <c r="B511" s="3" t="s">
        <v>10</v>
      </c>
      <c r="C511" s="3" t="s">
        <v>67</v>
      </c>
      <c r="D511" s="3" t="s">
        <v>69</v>
      </c>
      <c r="E511" s="3" t="s">
        <v>63</v>
      </c>
      <c r="F511" s="3">
        <v>2012</v>
      </c>
      <c r="G511" s="3">
        <v>1</v>
      </c>
      <c r="H511" s="2">
        <v>0</v>
      </c>
      <c r="I511" s="4">
        <v>3750460</v>
      </c>
    </row>
    <row r="512" spans="1:9">
      <c r="A512" s="5">
        <v>10000511</v>
      </c>
      <c r="B512" s="3" t="s">
        <v>11</v>
      </c>
      <c r="C512" s="3" t="s">
        <v>65</v>
      </c>
      <c r="D512" s="3" t="s">
        <v>68</v>
      </c>
      <c r="E512" s="3" t="s">
        <v>63</v>
      </c>
      <c r="F512" s="3">
        <v>1988</v>
      </c>
      <c r="G512" s="3">
        <v>1</v>
      </c>
      <c r="H512" s="2">
        <v>0</v>
      </c>
      <c r="I512" s="4">
        <v>5667051</v>
      </c>
    </row>
    <row r="513" spans="1:9">
      <c r="A513" s="5">
        <v>10000512</v>
      </c>
      <c r="B513" s="3" t="s">
        <v>10</v>
      </c>
      <c r="C513" s="3" t="s">
        <v>67</v>
      </c>
      <c r="D513" s="3" t="s">
        <v>66</v>
      </c>
      <c r="E513" s="3" t="s">
        <v>64</v>
      </c>
      <c r="F513" s="3">
        <v>2012</v>
      </c>
      <c r="G513" s="3">
        <v>4</v>
      </c>
      <c r="H513" s="2">
        <v>3</v>
      </c>
      <c r="I513" s="4">
        <v>50479394</v>
      </c>
    </row>
    <row r="514" spans="1:9">
      <c r="A514" s="5">
        <v>10000513</v>
      </c>
      <c r="B514" s="3" t="s">
        <v>11</v>
      </c>
      <c r="C514" s="3" t="s">
        <v>65</v>
      </c>
      <c r="D514" s="3" t="s">
        <v>66</v>
      </c>
      <c r="E514" s="3" t="s">
        <v>64</v>
      </c>
      <c r="F514" s="3">
        <v>2016</v>
      </c>
      <c r="G514" s="3">
        <v>2</v>
      </c>
      <c r="H514" s="2">
        <v>3</v>
      </c>
      <c r="I514" s="4">
        <v>48407786</v>
      </c>
    </row>
    <row r="515" spans="1:9">
      <c r="A515" s="5">
        <v>10000514</v>
      </c>
      <c r="B515" s="3" t="s">
        <v>14</v>
      </c>
      <c r="C515" s="3" t="s">
        <v>65</v>
      </c>
      <c r="D515" s="3" t="s">
        <v>66</v>
      </c>
      <c r="E515" s="3" t="s">
        <v>64</v>
      </c>
      <c r="F515" s="3">
        <v>2004</v>
      </c>
      <c r="G515" s="3">
        <v>5</v>
      </c>
      <c r="H515" s="2">
        <v>5</v>
      </c>
      <c r="I515" s="4">
        <v>48777813</v>
      </c>
    </row>
    <row r="516" spans="1:9">
      <c r="A516" s="5">
        <v>10000515</v>
      </c>
      <c r="B516" s="3" t="s">
        <v>12</v>
      </c>
      <c r="C516" s="3" t="s">
        <v>67</v>
      </c>
      <c r="D516" s="3" t="s">
        <v>68</v>
      </c>
      <c r="E516" s="3" t="s">
        <v>63</v>
      </c>
      <c r="F516" s="3">
        <v>2023</v>
      </c>
      <c r="G516" s="3">
        <v>5</v>
      </c>
      <c r="H516" s="2">
        <v>2</v>
      </c>
      <c r="I516" s="4">
        <v>9382501</v>
      </c>
    </row>
    <row r="517" spans="1:9">
      <c r="A517" s="5">
        <v>10000516</v>
      </c>
      <c r="B517" s="3" t="s">
        <v>11</v>
      </c>
      <c r="C517" s="3" t="s">
        <v>65</v>
      </c>
      <c r="D517" s="3" t="s">
        <v>68</v>
      </c>
      <c r="E517" s="3" t="s">
        <v>63</v>
      </c>
      <c r="F517" s="3">
        <v>2019</v>
      </c>
      <c r="G517" s="3">
        <v>4</v>
      </c>
      <c r="H517" s="2">
        <v>0</v>
      </c>
      <c r="I517" s="4">
        <v>18191027</v>
      </c>
    </row>
    <row r="518" spans="1:9">
      <c r="A518" s="5">
        <v>10000517</v>
      </c>
      <c r="B518" s="3" t="s">
        <v>11</v>
      </c>
      <c r="C518" s="3" t="s">
        <v>65</v>
      </c>
      <c r="D518" s="3" t="s">
        <v>68</v>
      </c>
      <c r="E518" s="3" t="s">
        <v>63</v>
      </c>
      <c r="F518" s="3">
        <v>2011</v>
      </c>
      <c r="G518" s="3">
        <v>4</v>
      </c>
      <c r="H518" s="2">
        <v>1</v>
      </c>
      <c r="I518" s="4">
        <v>7247232</v>
      </c>
    </row>
    <row r="519" spans="1:9">
      <c r="A519" s="5">
        <v>10000518</v>
      </c>
      <c r="B519" s="3" t="s">
        <v>14</v>
      </c>
      <c r="C519" s="3" t="s">
        <v>65</v>
      </c>
      <c r="D519" s="3" t="s">
        <v>68</v>
      </c>
      <c r="E519" s="3" t="s">
        <v>63</v>
      </c>
      <c r="F519" s="3">
        <v>1987</v>
      </c>
      <c r="G519" s="3">
        <v>2</v>
      </c>
      <c r="H519" s="2">
        <v>2</v>
      </c>
      <c r="I519" s="4">
        <v>26939207</v>
      </c>
    </row>
    <row r="520" spans="1:9">
      <c r="A520" s="5">
        <v>10000519</v>
      </c>
      <c r="B520" s="3" t="s">
        <v>9</v>
      </c>
      <c r="C520" s="3" t="s">
        <v>67</v>
      </c>
      <c r="D520" s="3" t="s">
        <v>66</v>
      </c>
      <c r="E520" s="3" t="s">
        <v>64</v>
      </c>
      <c r="F520" s="3">
        <v>1990</v>
      </c>
      <c r="G520" s="3">
        <v>5</v>
      </c>
      <c r="H520" s="2">
        <v>5</v>
      </c>
      <c r="I520" s="4">
        <v>71286842</v>
      </c>
    </row>
    <row r="521" spans="1:9">
      <c r="A521" s="5">
        <v>10000520</v>
      </c>
      <c r="B521" s="3" t="s">
        <v>14</v>
      </c>
      <c r="C521" s="3" t="s">
        <v>65</v>
      </c>
      <c r="D521" s="3" t="s">
        <v>68</v>
      </c>
      <c r="E521" s="3" t="s">
        <v>64</v>
      </c>
      <c r="F521" s="3">
        <v>1988</v>
      </c>
      <c r="G521" s="3">
        <v>2</v>
      </c>
      <c r="H521" s="2">
        <v>3</v>
      </c>
      <c r="I521" s="4">
        <v>26035488</v>
      </c>
    </row>
    <row r="522" spans="1:9">
      <c r="A522" s="5">
        <v>10000521</v>
      </c>
      <c r="B522" s="3" t="s">
        <v>12</v>
      </c>
      <c r="C522" s="3" t="s">
        <v>67</v>
      </c>
      <c r="D522" s="3" t="s">
        <v>66</v>
      </c>
      <c r="E522" s="3" t="s">
        <v>64</v>
      </c>
      <c r="F522" s="3">
        <v>2000</v>
      </c>
      <c r="G522" s="3">
        <v>2</v>
      </c>
      <c r="H522" s="2">
        <v>4</v>
      </c>
      <c r="I522" s="4">
        <v>45982974</v>
      </c>
    </row>
    <row r="523" spans="1:9">
      <c r="A523" s="5">
        <v>10000522</v>
      </c>
      <c r="B523" s="3" t="s">
        <v>12</v>
      </c>
      <c r="C523" s="3" t="s">
        <v>67</v>
      </c>
      <c r="D523" s="3" t="s">
        <v>69</v>
      </c>
      <c r="E523" s="3" t="s">
        <v>64</v>
      </c>
      <c r="F523" s="3">
        <v>2007</v>
      </c>
      <c r="G523" s="3">
        <v>2</v>
      </c>
      <c r="H523" s="2">
        <v>4</v>
      </c>
      <c r="I523" s="4">
        <v>3525552</v>
      </c>
    </row>
    <row r="524" spans="1:9">
      <c r="A524" s="5">
        <v>10000523</v>
      </c>
      <c r="B524" s="3" t="s">
        <v>9</v>
      </c>
      <c r="C524" s="3" t="s">
        <v>67</v>
      </c>
      <c r="D524" s="3" t="s">
        <v>66</v>
      </c>
      <c r="E524" s="3" t="s">
        <v>64</v>
      </c>
      <c r="F524" s="3">
        <v>2022</v>
      </c>
      <c r="G524" s="3">
        <v>4</v>
      </c>
      <c r="H524" s="2">
        <v>5</v>
      </c>
      <c r="I524" s="4">
        <v>49188321</v>
      </c>
    </row>
    <row r="525" spans="1:9">
      <c r="A525" s="5">
        <v>10000524</v>
      </c>
      <c r="B525" s="3" t="s">
        <v>12</v>
      </c>
      <c r="C525" s="3" t="s">
        <v>67</v>
      </c>
      <c r="D525" s="3" t="s">
        <v>69</v>
      </c>
      <c r="E525" s="3" t="s">
        <v>62</v>
      </c>
      <c r="F525" s="3">
        <v>2003</v>
      </c>
      <c r="G525" s="3">
        <v>1</v>
      </c>
      <c r="H525" s="2">
        <v>1</v>
      </c>
      <c r="I525" s="4">
        <v>583923</v>
      </c>
    </row>
    <row r="526" spans="1:9">
      <c r="A526" s="5">
        <v>10000525</v>
      </c>
      <c r="B526" s="3" t="s">
        <v>13</v>
      </c>
      <c r="C526" s="3" t="s">
        <v>65</v>
      </c>
      <c r="D526" s="3" t="s">
        <v>68</v>
      </c>
      <c r="E526" s="3" t="s">
        <v>64</v>
      </c>
      <c r="F526" s="3">
        <v>1995</v>
      </c>
      <c r="G526" s="3">
        <v>3</v>
      </c>
      <c r="H526" s="2">
        <v>5</v>
      </c>
      <c r="I526" s="4">
        <v>17584100</v>
      </c>
    </row>
    <row r="527" spans="1:9">
      <c r="A527" s="5">
        <v>10000526</v>
      </c>
      <c r="B527" s="3" t="s">
        <v>9</v>
      </c>
      <c r="C527" s="3" t="s">
        <v>67</v>
      </c>
      <c r="D527" s="3" t="s">
        <v>68</v>
      </c>
      <c r="E527" s="3" t="s">
        <v>63</v>
      </c>
      <c r="F527" s="3">
        <v>2014</v>
      </c>
      <c r="G527" s="3">
        <v>5</v>
      </c>
      <c r="H527" s="2">
        <v>2</v>
      </c>
      <c r="I527" s="4">
        <v>9952297</v>
      </c>
    </row>
    <row r="528" spans="1:9">
      <c r="A528" s="5">
        <v>10000527</v>
      </c>
      <c r="B528" s="3" t="s">
        <v>13</v>
      </c>
      <c r="C528" s="3" t="s">
        <v>65</v>
      </c>
      <c r="D528" s="3" t="s">
        <v>66</v>
      </c>
      <c r="E528" s="3" t="s">
        <v>64</v>
      </c>
      <c r="F528" s="3">
        <v>2008</v>
      </c>
      <c r="G528" s="3">
        <v>1</v>
      </c>
      <c r="H528" s="2">
        <v>5</v>
      </c>
      <c r="I528" s="4">
        <v>60167262</v>
      </c>
    </row>
    <row r="529" spans="1:9">
      <c r="A529" s="5">
        <v>10000528</v>
      </c>
      <c r="B529" s="3" t="s">
        <v>12</v>
      </c>
      <c r="C529" s="3" t="s">
        <v>67</v>
      </c>
      <c r="D529" s="3" t="s">
        <v>69</v>
      </c>
      <c r="E529" s="3" t="s">
        <v>62</v>
      </c>
      <c r="F529" s="3">
        <v>2017</v>
      </c>
      <c r="G529" s="3">
        <v>1</v>
      </c>
      <c r="H529" s="2">
        <v>2</v>
      </c>
      <c r="I529" s="4">
        <v>614745</v>
      </c>
    </row>
    <row r="530" spans="1:9">
      <c r="A530" s="5">
        <v>10000529</v>
      </c>
      <c r="B530" s="3" t="s">
        <v>14</v>
      </c>
      <c r="C530" s="3" t="s">
        <v>65</v>
      </c>
      <c r="D530" s="3" t="s">
        <v>68</v>
      </c>
      <c r="E530" s="3" t="s">
        <v>63</v>
      </c>
      <c r="F530" s="3">
        <v>1984</v>
      </c>
      <c r="G530" s="3">
        <v>5</v>
      </c>
      <c r="H530" s="2">
        <v>2</v>
      </c>
      <c r="I530" s="4">
        <v>21915065</v>
      </c>
    </row>
    <row r="531" spans="1:9">
      <c r="A531" s="5">
        <v>10000530</v>
      </c>
      <c r="B531" s="3" t="s">
        <v>13</v>
      </c>
      <c r="C531" s="3" t="s">
        <v>65</v>
      </c>
      <c r="D531" s="3" t="s">
        <v>68</v>
      </c>
      <c r="E531" s="3" t="s">
        <v>64</v>
      </c>
      <c r="F531" s="3">
        <v>1994</v>
      </c>
      <c r="G531" s="3">
        <v>1</v>
      </c>
      <c r="H531" s="2">
        <v>3</v>
      </c>
      <c r="I531" s="4">
        <v>14393863</v>
      </c>
    </row>
    <row r="532" spans="1:9">
      <c r="A532" s="5">
        <v>10000531</v>
      </c>
      <c r="B532" s="3" t="s">
        <v>14</v>
      </c>
      <c r="C532" s="3" t="s">
        <v>65</v>
      </c>
      <c r="D532" s="3" t="s">
        <v>68</v>
      </c>
      <c r="E532" s="3" t="s">
        <v>63</v>
      </c>
      <c r="F532" s="3">
        <v>2005</v>
      </c>
      <c r="G532" s="3">
        <v>4</v>
      </c>
      <c r="H532" s="2">
        <v>0</v>
      </c>
      <c r="I532" s="4">
        <v>15412444</v>
      </c>
    </row>
    <row r="533" spans="1:9">
      <c r="A533" s="5">
        <v>10000532</v>
      </c>
      <c r="B533" s="3" t="s">
        <v>12</v>
      </c>
      <c r="C533" s="3" t="s">
        <v>67</v>
      </c>
      <c r="D533" s="3" t="s">
        <v>69</v>
      </c>
      <c r="E533" s="3" t="s">
        <v>64</v>
      </c>
      <c r="F533" s="3">
        <v>2000</v>
      </c>
      <c r="G533" s="3">
        <v>2</v>
      </c>
      <c r="H533" s="2">
        <v>5</v>
      </c>
      <c r="I533" s="4">
        <v>6252785</v>
      </c>
    </row>
    <row r="534" spans="1:9">
      <c r="A534" s="5">
        <v>10000533</v>
      </c>
      <c r="B534" s="3" t="s">
        <v>9</v>
      </c>
      <c r="C534" s="3" t="s">
        <v>67</v>
      </c>
      <c r="D534" s="3" t="s">
        <v>69</v>
      </c>
      <c r="E534" s="3" t="s">
        <v>62</v>
      </c>
      <c r="F534" s="3">
        <v>2011</v>
      </c>
      <c r="G534" s="3">
        <v>1</v>
      </c>
      <c r="H534" s="2">
        <v>1</v>
      </c>
      <c r="I534" s="4">
        <v>521449</v>
      </c>
    </row>
    <row r="535" spans="1:9">
      <c r="A535" s="5">
        <v>10000534</v>
      </c>
      <c r="B535" s="3" t="s">
        <v>13</v>
      </c>
      <c r="C535" s="3" t="s">
        <v>65</v>
      </c>
      <c r="D535" s="3" t="s">
        <v>68</v>
      </c>
      <c r="E535" s="3" t="s">
        <v>63</v>
      </c>
      <c r="F535" s="3">
        <v>2024</v>
      </c>
      <c r="G535" s="3">
        <v>3</v>
      </c>
      <c r="H535" s="2">
        <v>0</v>
      </c>
      <c r="I535" s="4">
        <v>3959678</v>
      </c>
    </row>
    <row r="536" spans="1:9">
      <c r="A536" s="5">
        <v>10000535</v>
      </c>
      <c r="B536" s="3" t="s">
        <v>10</v>
      </c>
      <c r="C536" s="3" t="s">
        <v>67</v>
      </c>
      <c r="D536" s="3" t="s">
        <v>69</v>
      </c>
      <c r="E536" s="3" t="s">
        <v>62</v>
      </c>
      <c r="F536" s="3">
        <v>2010</v>
      </c>
      <c r="G536" s="3">
        <v>1</v>
      </c>
      <c r="H536" s="2">
        <v>2</v>
      </c>
      <c r="I536" s="4">
        <v>435075</v>
      </c>
    </row>
    <row r="537" spans="1:9">
      <c r="A537" s="5">
        <v>10000536</v>
      </c>
      <c r="B537" s="3" t="s">
        <v>9</v>
      </c>
      <c r="C537" s="3" t="s">
        <v>67</v>
      </c>
      <c r="D537" s="3" t="s">
        <v>66</v>
      </c>
      <c r="E537" s="3" t="s">
        <v>64</v>
      </c>
      <c r="F537" s="3">
        <v>2010</v>
      </c>
      <c r="G537" s="3">
        <v>2</v>
      </c>
      <c r="H537" s="2">
        <v>5</v>
      </c>
      <c r="I537" s="4">
        <v>48512006</v>
      </c>
    </row>
    <row r="538" spans="1:9">
      <c r="A538" s="5">
        <v>10000537</v>
      </c>
      <c r="B538" s="3" t="s">
        <v>12</v>
      </c>
      <c r="C538" s="3" t="s">
        <v>67</v>
      </c>
      <c r="D538" s="3" t="s">
        <v>66</v>
      </c>
      <c r="E538" s="3" t="s">
        <v>64</v>
      </c>
      <c r="F538" s="3">
        <v>2009</v>
      </c>
      <c r="G538" s="3">
        <v>5</v>
      </c>
      <c r="H538" s="2">
        <v>4</v>
      </c>
      <c r="I538" s="4">
        <v>53608268</v>
      </c>
    </row>
    <row r="539" spans="1:9">
      <c r="A539" s="5">
        <v>10000538</v>
      </c>
      <c r="B539" s="3" t="s">
        <v>12</v>
      </c>
      <c r="C539" s="3" t="s">
        <v>67</v>
      </c>
      <c r="D539" s="3" t="s">
        <v>66</v>
      </c>
      <c r="E539" s="3" t="s">
        <v>64</v>
      </c>
      <c r="F539" s="3">
        <v>1997</v>
      </c>
      <c r="G539" s="3">
        <v>4</v>
      </c>
      <c r="H539" s="2">
        <v>3</v>
      </c>
      <c r="I539" s="4">
        <v>59553908</v>
      </c>
    </row>
    <row r="540" spans="1:9">
      <c r="A540" s="5">
        <v>10000539</v>
      </c>
      <c r="B540" s="3" t="s">
        <v>12</v>
      </c>
      <c r="C540" s="3" t="s">
        <v>67</v>
      </c>
      <c r="D540" s="3" t="s">
        <v>66</v>
      </c>
      <c r="E540" s="3" t="s">
        <v>64</v>
      </c>
      <c r="F540" s="3">
        <v>1988</v>
      </c>
      <c r="G540" s="3">
        <v>3</v>
      </c>
      <c r="H540" s="2">
        <v>4</v>
      </c>
      <c r="I540" s="4">
        <v>41467143</v>
      </c>
    </row>
    <row r="541" spans="1:9">
      <c r="A541" s="5">
        <v>10000540</v>
      </c>
      <c r="B541" s="3" t="s">
        <v>10</v>
      </c>
      <c r="C541" s="3" t="s">
        <v>67</v>
      </c>
      <c r="D541" s="3" t="s">
        <v>66</v>
      </c>
      <c r="E541" s="3" t="s">
        <v>64</v>
      </c>
      <c r="F541" s="3">
        <v>2020</v>
      </c>
      <c r="G541" s="3">
        <v>1</v>
      </c>
      <c r="H541" s="2">
        <v>4</v>
      </c>
      <c r="I541" s="4">
        <v>39045516</v>
      </c>
    </row>
    <row r="542" spans="1:9">
      <c r="A542" s="5">
        <v>10000541</v>
      </c>
      <c r="B542" s="3" t="s">
        <v>11</v>
      </c>
      <c r="C542" s="3" t="s">
        <v>65</v>
      </c>
      <c r="D542" s="3" t="s">
        <v>68</v>
      </c>
      <c r="E542" s="3" t="s">
        <v>64</v>
      </c>
      <c r="F542" s="3">
        <v>1983</v>
      </c>
      <c r="G542" s="3">
        <v>5</v>
      </c>
      <c r="H542" s="2">
        <v>4</v>
      </c>
      <c r="I542" s="4">
        <v>6570646</v>
      </c>
    </row>
    <row r="543" spans="1:9">
      <c r="A543" s="5">
        <v>10000542</v>
      </c>
      <c r="B543" s="3" t="s">
        <v>10</v>
      </c>
      <c r="C543" s="3" t="s">
        <v>67</v>
      </c>
      <c r="D543" s="3" t="s">
        <v>66</v>
      </c>
      <c r="E543" s="3" t="s">
        <v>64</v>
      </c>
      <c r="F543" s="3">
        <v>1983</v>
      </c>
      <c r="G543" s="3">
        <v>3</v>
      </c>
      <c r="H543" s="2">
        <v>4</v>
      </c>
      <c r="I543" s="4">
        <v>58039789</v>
      </c>
    </row>
    <row r="544" spans="1:9">
      <c r="A544" s="5">
        <v>10000543</v>
      </c>
      <c r="B544" s="3" t="s">
        <v>11</v>
      </c>
      <c r="C544" s="3" t="s">
        <v>65</v>
      </c>
      <c r="D544" s="3" t="s">
        <v>68</v>
      </c>
      <c r="E544" s="3" t="s">
        <v>64</v>
      </c>
      <c r="F544" s="3">
        <v>1990</v>
      </c>
      <c r="G544" s="3">
        <v>5</v>
      </c>
      <c r="H544" s="2">
        <v>5</v>
      </c>
      <c r="I544" s="4">
        <v>20934596</v>
      </c>
    </row>
    <row r="545" spans="1:9">
      <c r="A545" s="5">
        <v>10000544</v>
      </c>
      <c r="B545" s="3" t="s">
        <v>11</v>
      </c>
      <c r="C545" s="3" t="s">
        <v>65</v>
      </c>
      <c r="D545" s="3" t="s">
        <v>66</v>
      </c>
      <c r="E545" s="3" t="s">
        <v>64</v>
      </c>
      <c r="F545" s="3">
        <v>1995</v>
      </c>
      <c r="G545" s="3">
        <v>5</v>
      </c>
      <c r="H545" s="2">
        <v>5</v>
      </c>
      <c r="I545" s="4">
        <v>47194178</v>
      </c>
    </row>
    <row r="546" spans="1:9">
      <c r="A546" s="5">
        <v>10000545</v>
      </c>
      <c r="B546" s="3" t="s">
        <v>13</v>
      </c>
      <c r="C546" s="3" t="s">
        <v>65</v>
      </c>
      <c r="D546" s="3" t="s">
        <v>69</v>
      </c>
      <c r="E546" s="3" t="s">
        <v>64</v>
      </c>
      <c r="F546" s="3">
        <v>1980</v>
      </c>
      <c r="G546" s="3">
        <v>4</v>
      </c>
      <c r="H546" s="2">
        <v>3</v>
      </c>
      <c r="I546" s="4">
        <v>5075313</v>
      </c>
    </row>
    <row r="547" spans="1:9">
      <c r="A547" s="5">
        <v>10000546</v>
      </c>
      <c r="B547" s="3" t="s">
        <v>13</v>
      </c>
      <c r="C547" s="3" t="s">
        <v>65</v>
      </c>
      <c r="D547" s="3" t="s">
        <v>68</v>
      </c>
      <c r="E547" s="3" t="s">
        <v>63</v>
      </c>
      <c r="F547" s="3">
        <v>1998</v>
      </c>
      <c r="G547" s="3">
        <v>4</v>
      </c>
      <c r="H547" s="2">
        <v>1</v>
      </c>
      <c r="I547" s="4">
        <v>22108833</v>
      </c>
    </row>
    <row r="548" spans="1:9">
      <c r="A548" s="5">
        <v>10000547</v>
      </c>
      <c r="B548" s="3" t="s">
        <v>10</v>
      </c>
      <c r="C548" s="3" t="s">
        <v>67</v>
      </c>
      <c r="D548" s="3" t="s">
        <v>66</v>
      </c>
      <c r="E548" s="3" t="s">
        <v>64</v>
      </c>
      <c r="F548" s="3">
        <v>1987</v>
      </c>
      <c r="G548" s="3">
        <v>4</v>
      </c>
      <c r="H548" s="2">
        <v>5</v>
      </c>
      <c r="I548" s="4">
        <v>61040296</v>
      </c>
    </row>
    <row r="549" spans="1:9">
      <c r="A549" s="5">
        <v>10000548</v>
      </c>
      <c r="B549" s="3" t="s">
        <v>9</v>
      </c>
      <c r="C549" s="3" t="s">
        <v>67</v>
      </c>
      <c r="D549" s="3" t="s">
        <v>69</v>
      </c>
      <c r="E549" s="3" t="s">
        <v>62</v>
      </c>
      <c r="F549" s="3">
        <v>2024</v>
      </c>
      <c r="G549" s="3">
        <v>1</v>
      </c>
      <c r="H549" s="2">
        <v>2</v>
      </c>
      <c r="I549" s="4">
        <v>571994</v>
      </c>
    </row>
    <row r="550" spans="1:9">
      <c r="A550" s="5">
        <v>10000549</v>
      </c>
      <c r="B550" s="3" t="s">
        <v>11</v>
      </c>
      <c r="C550" s="3" t="s">
        <v>65</v>
      </c>
      <c r="D550" s="3" t="s">
        <v>66</v>
      </c>
      <c r="E550" s="3" t="s">
        <v>64</v>
      </c>
      <c r="F550" s="3">
        <v>1984</v>
      </c>
      <c r="G550" s="3">
        <v>2</v>
      </c>
      <c r="H550" s="2">
        <v>3</v>
      </c>
      <c r="I550" s="4">
        <v>43569573</v>
      </c>
    </row>
    <row r="551" spans="1:9">
      <c r="A551" s="5">
        <v>10000550</v>
      </c>
      <c r="B551" s="3" t="s">
        <v>14</v>
      </c>
      <c r="C551" s="3" t="s">
        <v>65</v>
      </c>
      <c r="D551" s="3" t="s">
        <v>66</v>
      </c>
      <c r="E551" s="3" t="s">
        <v>64</v>
      </c>
      <c r="F551" s="3">
        <v>1986</v>
      </c>
      <c r="G551" s="3">
        <v>5</v>
      </c>
      <c r="H551" s="2">
        <v>4</v>
      </c>
      <c r="I551" s="4">
        <v>60750646</v>
      </c>
    </row>
    <row r="552" spans="1:9">
      <c r="A552" s="5">
        <v>10000551</v>
      </c>
      <c r="B552" s="3" t="s">
        <v>9</v>
      </c>
      <c r="C552" s="3" t="s">
        <v>67</v>
      </c>
      <c r="D552" s="3" t="s">
        <v>69</v>
      </c>
      <c r="E552" s="3" t="s">
        <v>63</v>
      </c>
      <c r="F552" s="3">
        <v>1997</v>
      </c>
      <c r="G552" s="3">
        <v>4</v>
      </c>
      <c r="H552" s="2">
        <v>0</v>
      </c>
      <c r="I552" s="4">
        <v>2571649</v>
      </c>
    </row>
    <row r="553" spans="1:9">
      <c r="A553" s="5">
        <v>10000552</v>
      </c>
      <c r="B553" s="3" t="s">
        <v>13</v>
      </c>
      <c r="C553" s="3" t="s">
        <v>65</v>
      </c>
      <c r="D553" s="3" t="s">
        <v>66</v>
      </c>
      <c r="E553" s="3" t="s">
        <v>64</v>
      </c>
      <c r="F553" s="3">
        <v>1983</v>
      </c>
      <c r="G553" s="3">
        <v>3</v>
      </c>
      <c r="H553" s="2">
        <v>5</v>
      </c>
      <c r="I553" s="4">
        <v>52099902</v>
      </c>
    </row>
    <row r="554" spans="1:9">
      <c r="A554" s="5">
        <v>10000553</v>
      </c>
      <c r="B554" s="3" t="s">
        <v>10</v>
      </c>
      <c r="C554" s="3" t="s">
        <v>67</v>
      </c>
      <c r="D554" s="3" t="s">
        <v>66</v>
      </c>
      <c r="E554" s="3" t="s">
        <v>64</v>
      </c>
      <c r="F554" s="3">
        <v>2005</v>
      </c>
      <c r="G554" s="3">
        <v>5</v>
      </c>
      <c r="H554" s="2">
        <v>3</v>
      </c>
      <c r="I554" s="4">
        <v>42891428</v>
      </c>
    </row>
    <row r="555" spans="1:9">
      <c r="A555" s="5">
        <v>10000554</v>
      </c>
      <c r="B555" s="3" t="s">
        <v>12</v>
      </c>
      <c r="C555" s="3" t="s">
        <v>67</v>
      </c>
      <c r="D555" s="3" t="s">
        <v>68</v>
      </c>
      <c r="E555" s="3" t="s">
        <v>63</v>
      </c>
      <c r="F555" s="3">
        <v>2004</v>
      </c>
      <c r="G555" s="3">
        <v>2</v>
      </c>
      <c r="H555" s="2">
        <v>2</v>
      </c>
      <c r="I555" s="4">
        <v>9425853</v>
      </c>
    </row>
    <row r="556" spans="1:9">
      <c r="A556" s="5">
        <v>10000555</v>
      </c>
      <c r="B556" s="3" t="s">
        <v>12</v>
      </c>
      <c r="C556" s="3" t="s">
        <v>67</v>
      </c>
      <c r="D556" s="3" t="s">
        <v>69</v>
      </c>
      <c r="E556" s="3" t="s">
        <v>63</v>
      </c>
      <c r="F556" s="3">
        <v>2007</v>
      </c>
      <c r="G556" s="3">
        <v>3</v>
      </c>
      <c r="H556" s="2">
        <v>2</v>
      </c>
      <c r="I556" s="4">
        <v>3379657</v>
      </c>
    </row>
    <row r="557" spans="1:9">
      <c r="A557" s="5">
        <v>10000556</v>
      </c>
      <c r="B557" s="3" t="s">
        <v>14</v>
      </c>
      <c r="C557" s="3" t="s">
        <v>65</v>
      </c>
      <c r="D557" s="3" t="s">
        <v>66</v>
      </c>
      <c r="E557" s="3" t="s">
        <v>64</v>
      </c>
      <c r="F557" s="3">
        <v>2000</v>
      </c>
      <c r="G557" s="3">
        <v>5</v>
      </c>
      <c r="H557" s="2">
        <v>3</v>
      </c>
      <c r="I557" s="4">
        <v>27447804</v>
      </c>
    </row>
    <row r="558" spans="1:9">
      <c r="A558" s="5">
        <v>10000557</v>
      </c>
      <c r="B558" s="3" t="s">
        <v>14</v>
      </c>
      <c r="C558" s="3" t="s">
        <v>65</v>
      </c>
      <c r="D558" s="3" t="s">
        <v>69</v>
      </c>
      <c r="E558" s="3" t="s">
        <v>63</v>
      </c>
      <c r="F558" s="3">
        <v>2017</v>
      </c>
      <c r="G558" s="3">
        <v>1</v>
      </c>
      <c r="H558" s="2">
        <v>0</v>
      </c>
      <c r="I558" s="4">
        <v>3317164</v>
      </c>
    </row>
    <row r="559" spans="1:9">
      <c r="A559" s="5">
        <v>10000558</v>
      </c>
      <c r="B559" s="3" t="s">
        <v>14</v>
      </c>
      <c r="C559" s="3" t="s">
        <v>65</v>
      </c>
      <c r="D559" s="3" t="s">
        <v>66</v>
      </c>
      <c r="E559" s="3" t="s">
        <v>64</v>
      </c>
      <c r="F559" s="3">
        <v>2011</v>
      </c>
      <c r="G559" s="3">
        <v>5</v>
      </c>
      <c r="H559" s="2">
        <v>5</v>
      </c>
      <c r="I559" s="4">
        <v>37059982</v>
      </c>
    </row>
    <row r="560" spans="1:9">
      <c r="A560" s="5">
        <v>10000559</v>
      </c>
      <c r="B560" s="3" t="s">
        <v>14</v>
      </c>
      <c r="C560" s="3" t="s">
        <v>65</v>
      </c>
      <c r="D560" s="3" t="s">
        <v>68</v>
      </c>
      <c r="E560" s="3" t="s">
        <v>63</v>
      </c>
      <c r="F560" s="3">
        <v>1999</v>
      </c>
      <c r="G560" s="3">
        <v>4</v>
      </c>
      <c r="H560" s="2">
        <v>1</v>
      </c>
      <c r="I560" s="4">
        <v>17801183</v>
      </c>
    </row>
    <row r="561" spans="1:9">
      <c r="A561" s="5">
        <v>10000560</v>
      </c>
      <c r="B561" s="3" t="s">
        <v>10</v>
      </c>
      <c r="C561" s="3" t="s">
        <v>67</v>
      </c>
      <c r="D561" s="3" t="s">
        <v>69</v>
      </c>
      <c r="E561" s="3" t="s">
        <v>64</v>
      </c>
      <c r="F561" s="3">
        <v>2019</v>
      </c>
      <c r="G561" s="3">
        <v>1</v>
      </c>
      <c r="H561" s="2">
        <v>4</v>
      </c>
      <c r="I561" s="4">
        <v>4008183</v>
      </c>
    </row>
    <row r="562" spans="1:9">
      <c r="A562" s="5">
        <v>10000561</v>
      </c>
      <c r="B562" s="3" t="s">
        <v>12</v>
      </c>
      <c r="C562" s="3" t="s">
        <v>67</v>
      </c>
      <c r="D562" s="3" t="s">
        <v>69</v>
      </c>
      <c r="E562" s="3" t="s">
        <v>63</v>
      </c>
      <c r="F562" s="3">
        <v>1993</v>
      </c>
      <c r="G562" s="3">
        <v>1</v>
      </c>
      <c r="H562" s="2">
        <v>2</v>
      </c>
      <c r="I562" s="4">
        <v>5687575</v>
      </c>
    </row>
    <row r="563" spans="1:9">
      <c r="A563" s="5">
        <v>10000562</v>
      </c>
      <c r="B563" s="3" t="s">
        <v>14</v>
      </c>
      <c r="C563" s="3" t="s">
        <v>65</v>
      </c>
      <c r="D563" s="3" t="s">
        <v>69</v>
      </c>
      <c r="E563" s="3" t="s">
        <v>64</v>
      </c>
      <c r="F563" s="3">
        <v>1988</v>
      </c>
      <c r="G563" s="3">
        <v>5</v>
      </c>
      <c r="H563" s="2">
        <v>5</v>
      </c>
      <c r="I563" s="4">
        <v>4001917</v>
      </c>
    </row>
    <row r="564" spans="1:9">
      <c r="A564" s="5">
        <v>10000563</v>
      </c>
      <c r="B564" s="3" t="s">
        <v>13</v>
      </c>
      <c r="C564" s="3" t="s">
        <v>65</v>
      </c>
      <c r="D564" s="3" t="s">
        <v>68</v>
      </c>
      <c r="E564" s="3" t="s">
        <v>63</v>
      </c>
      <c r="F564" s="3">
        <v>1990</v>
      </c>
      <c r="G564" s="3">
        <v>1</v>
      </c>
      <c r="H564" s="2">
        <v>1</v>
      </c>
      <c r="I564" s="4">
        <v>20941036</v>
      </c>
    </row>
    <row r="565" spans="1:9">
      <c r="A565" s="5">
        <v>10000564</v>
      </c>
      <c r="B565" s="3" t="s">
        <v>10</v>
      </c>
      <c r="C565" s="3" t="s">
        <v>67</v>
      </c>
      <c r="D565" s="3" t="s">
        <v>69</v>
      </c>
      <c r="E565" s="3" t="s">
        <v>62</v>
      </c>
      <c r="F565" s="3">
        <v>2016</v>
      </c>
      <c r="G565" s="3">
        <v>1</v>
      </c>
      <c r="H565" s="2">
        <v>0</v>
      </c>
      <c r="I565" s="4">
        <v>607229</v>
      </c>
    </row>
    <row r="566" spans="1:9">
      <c r="A566" s="5">
        <v>10000565</v>
      </c>
      <c r="B566" s="3" t="s">
        <v>13</v>
      </c>
      <c r="C566" s="3" t="s">
        <v>65</v>
      </c>
      <c r="D566" s="3" t="s">
        <v>66</v>
      </c>
      <c r="E566" s="3" t="s">
        <v>64</v>
      </c>
      <c r="F566" s="3">
        <v>2013</v>
      </c>
      <c r="G566" s="3">
        <v>2</v>
      </c>
      <c r="H566" s="2">
        <v>3</v>
      </c>
      <c r="I566" s="4">
        <v>37728754</v>
      </c>
    </row>
    <row r="567" spans="1:9">
      <c r="A567" s="5">
        <v>10000566</v>
      </c>
      <c r="B567" s="3" t="s">
        <v>11</v>
      </c>
      <c r="C567" s="3" t="s">
        <v>65</v>
      </c>
      <c r="D567" s="3" t="s">
        <v>69</v>
      </c>
      <c r="E567" s="3" t="s">
        <v>64</v>
      </c>
      <c r="F567" s="3">
        <v>2014</v>
      </c>
      <c r="G567" s="3">
        <v>5</v>
      </c>
      <c r="H567" s="2">
        <v>5</v>
      </c>
      <c r="I567" s="4">
        <v>2383715</v>
      </c>
    </row>
    <row r="568" spans="1:9">
      <c r="A568" s="5">
        <v>10000567</v>
      </c>
      <c r="B568" s="3" t="s">
        <v>9</v>
      </c>
      <c r="C568" s="3" t="s">
        <v>67</v>
      </c>
      <c r="D568" s="3" t="s">
        <v>69</v>
      </c>
      <c r="E568" s="3" t="s">
        <v>62</v>
      </c>
      <c r="F568" s="3">
        <v>1986</v>
      </c>
      <c r="G568" s="3">
        <v>1</v>
      </c>
      <c r="H568" s="2">
        <v>0</v>
      </c>
      <c r="I568" s="4">
        <v>454055</v>
      </c>
    </row>
    <row r="569" spans="1:9">
      <c r="A569" s="5">
        <v>10000568</v>
      </c>
      <c r="B569" s="3" t="s">
        <v>9</v>
      </c>
      <c r="C569" s="3" t="s">
        <v>67</v>
      </c>
      <c r="D569" s="3" t="s">
        <v>66</v>
      </c>
      <c r="E569" s="3" t="s">
        <v>64</v>
      </c>
      <c r="F569" s="3">
        <v>1991</v>
      </c>
      <c r="G569" s="3">
        <v>1</v>
      </c>
      <c r="H569" s="2">
        <v>4</v>
      </c>
      <c r="I569" s="4">
        <v>39967056</v>
      </c>
    </row>
    <row r="570" spans="1:9">
      <c r="A570" s="5">
        <v>10000569</v>
      </c>
      <c r="B570" s="3" t="s">
        <v>9</v>
      </c>
      <c r="C570" s="3" t="s">
        <v>67</v>
      </c>
      <c r="D570" s="3" t="s">
        <v>69</v>
      </c>
      <c r="E570" s="3" t="s">
        <v>62</v>
      </c>
      <c r="F570" s="3">
        <v>1983</v>
      </c>
      <c r="G570" s="3">
        <v>1</v>
      </c>
      <c r="H570" s="2">
        <v>1</v>
      </c>
      <c r="I570" s="4">
        <v>423374</v>
      </c>
    </row>
    <row r="571" spans="1:9">
      <c r="A571" s="5">
        <v>10000570</v>
      </c>
      <c r="B571" s="3" t="s">
        <v>14</v>
      </c>
      <c r="C571" s="3" t="s">
        <v>65</v>
      </c>
      <c r="D571" s="3" t="s">
        <v>69</v>
      </c>
      <c r="E571" s="3" t="s">
        <v>63</v>
      </c>
      <c r="F571" s="3">
        <v>2023</v>
      </c>
      <c r="G571" s="3">
        <v>4</v>
      </c>
      <c r="H571" s="2">
        <v>0</v>
      </c>
      <c r="I571" s="4">
        <v>2269711</v>
      </c>
    </row>
    <row r="572" spans="1:9">
      <c r="A572" s="5">
        <v>10000571</v>
      </c>
      <c r="B572" s="3" t="s">
        <v>9</v>
      </c>
      <c r="C572" s="3" t="s">
        <v>67</v>
      </c>
      <c r="D572" s="3" t="s">
        <v>68</v>
      </c>
      <c r="E572" s="3" t="s">
        <v>64</v>
      </c>
      <c r="F572" s="3">
        <v>2001</v>
      </c>
      <c r="G572" s="3">
        <v>5</v>
      </c>
      <c r="H572" s="2">
        <v>5</v>
      </c>
      <c r="I572" s="4">
        <v>22208880</v>
      </c>
    </row>
    <row r="573" spans="1:9">
      <c r="A573" s="5">
        <v>10000572</v>
      </c>
      <c r="B573" s="3" t="s">
        <v>10</v>
      </c>
      <c r="C573" s="3" t="s">
        <v>67</v>
      </c>
      <c r="D573" s="3" t="s">
        <v>66</v>
      </c>
      <c r="E573" s="3" t="s">
        <v>64</v>
      </c>
      <c r="F573" s="3">
        <v>1997</v>
      </c>
      <c r="G573" s="3">
        <v>4</v>
      </c>
      <c r="H573" s="2">
        <v>5</v>
      </c>
      <c r="I573" s="4">
        <v>29739983</v>
      </c>
    </row>
    <row r="574" spans="1:9">
      <c r="A574" s="5">
        <v>10000573</v>
      </c>
      <c r="B574" s="3" t="s">
        <v>13</v>
      </c>
      <c r="C574" s="3" t="s">
        <v>65</v>
      </c>
      <c r="D574" s="3" t="s">
        <v>66</v>
      </c>
      <c r="E574" s="3" t="s">
        <v>64</v>
      </c>
      <c r="F574" s="3">
        <v>2013</v>
      </c>
      <c r="G574" s="3">
        <v>3</v>
      </c>
      <c r="H574" s="2">
        <v>4</v>
      </c>
      <c r="I574" s="4">
        <v>39753824</v>
      </c>
    </row>
    <row r="575" spans="1:9">
      <c r="A575" s="5">
        <v>10000574</v>
      </c>
      <c r="B575" s="3" t="s">
        <v>13</v>
      </c>
      <c r="C575" s="3" t="s">
        <v>65</v>
      </c>
      <c r="D575" s="3" t="s">
        <v>66</v>
      </c>
      <c r="E575" s="3" t="s">
        <v>64</v>
      </c>
      <c r="F575" s="3">
        <v>1996</v>
      </c>
      <c r="G575" s="3">
        <v>4</v>
      </c>
      <c r="H575" s="2">
        <v>5</v>
      </c>
      <c r="I575" s="4">
        <v>58597980</v>
      </c>
    </row>
    <row r="576" spans="1:9">
      <c r="A576" s="5">
        <v>10000575</v>
      </c>
      <c r="B576" s="3" t="s">
        <v>13</v>
      </c>
      <c r="C576" s="3" t="s">
        <v>65</v>
      </c>
      <c r="D576" s="3" t="s">
        <v>66</v>
      </c>
      <c r="E576" s="3" t="s">
        <v>64</v>
      </c>
      <c r="F576" s="3">
        <v>2002</v>
      </c>
      <c r="G576" s="3">
        <v>3</v>
      </c>
      <c r="H576" s="2">
        <v>4</v>
      </c>
      <c r="I576" s="4">
        <v>46817692</v>
      </c>
    </row>
    <row r="577" spans="1:9">
      <c r="A577" s="5">
        <v>10000576</v>
      </c>
      <c r="B577" s="3" t="s">
        <v>14</v>
      </c>
      <c r="C577" s="3" t="s">
        <v>65</v>
      </c>
      <c r="D577" s="3" t="s">
        <v>68</v>
      </c>
      <c r="E577" s="3" t="s">
        <v>64</v>
      </c>
      <c r="F577" s="3">
        <v>1991</v>
      </c>
      <c r="G577" s="3">
        <v>1</v>
      </c>
      <c r="H577" s="2">
        <v>4</v>
      </c>
      <c r="I577" s="4">
        <v>10419639</v>
      </c>
    </row>
    <row r="578" spans="1:9">
      <c r="A578" s="5">
        <v>10000577</v>
      </c>
      <c r="B578" s="3" t="s">
        <v>9</v>
      </c>
      <c r="C578" s="3" t="s">
        <v>67</v>
      </c>
      <c r="D578" s="3" t="s">
        <v>68</v>
      </c>
      <c r="E578" s="3" t="s">
        <v>63</v>
      </c>
      <c r="F578" s="3">
        <v>1981</v>
      </c>
      <c r="G578" s="3">
        <v>2</v>
      </c>
      <c r="H578" s="2">
        <v>2</v>
      </c>
      <c r="I578" s="4">
        <v>20572994</v>
      </c>
    </row>
    <row r="579" spans="1:9">
      <c r="A579" s="5">
        <v>10000578</v>
      </c>
      <c r="B579" s="3" t="s">
        <v>10</v>
      </c>
      <c r="C579" s="3" t="s">
        <v>67</v>
      </c>
      <c r="D579" s="3" t="s">
        <v>66</v>
      </c>
      <c r="E579" s="3" t="s">
        <v>64</v>
      </c>
      <c r="F579" s="3">
        <v>2000</v>
      </c>
      <c r="G579" s="3">
        <v>3</v>
      </c>
      <c r="H579" s="2">
        <v>4</v>
      </c>
      <c r="I579" s="4">
        <v>60429145</v>
      </c>
    </row>
    <row r="580" spans="1:9">
      <c r="A580" s="5">
        <v>10000579</v>
      </c>
      <c r="B580" s="3" t="s">
        <v>10</v>
      </c>
      <c r="C580" s="3" t="s">
        <v>67</v>
      </c>
      <c r="D580" s="3" t="s">
        <v>69</v>
      </c>
      <c r="E580" s="3" t="s">
        <v>62</v>
      </c>
      <c r="F580" s="3">
        <v>1991</v>
      </c>
      <c r="G580" s="3">
        <v>1</v>
      </c>
      <c r="H580" s="2">
        <v>2</v>
      </c>
      <c r="I580" s="4">
        <v>509127</v>
      </c>
    </row>
    <row r="581" spans="1:9">
      <c r="A581" s="5">
        <v>10000580</v>
      </c>
      <c r="B581" s="3" t="s">
        <v>12</v>
      </c>
      <c r="C581" s="3" t="s">
        <v>67</v>
      </c>
      <c r="D581" s="3" t="s">
        <v>69</v>
      </c>
      <c r="E581" s="3" t="s">
        <v>64</v>
      </c>
      <c r="F581" s="3">
        <v>2001</v>
      </c>
      <c r="G581" s="3">
        <v>2</v>
      </c>
      <c r="H581" s="2">
        <v>3</v>
      </c>
      <c r="I581" s="4">
        <v>4244401</v>
      </c>
    </row>
    <row r="582" spans="1:9">
      <c r="A582" s="5">
        <v>10000581</v>
      </c>
      <c r="B582" s="3" t="s">
        <v>12</v>
      </c>
      <c r="C582" s="3" t="s">
        <v>67</v>
      </c>
      <c r="D582" s="3" t="s">
        <v>69</v>
      </c>
      <c r="E582" s="3" t="s">
        <v>62</v>
      </c>
      <c r="F582" s="3">
        <v>2024</v>
      </c>
      <c r="G582" s="3">
        <v>1</v>
      </c>
      <c r="H582" s="2">
        <v>0</v>
      </c>
      <c r="I582" s="4">
        <v>462013</v>
      </c>
    </row>
    <row r="583" spans="1:9">
      <c r="A583" s="5">
        <v>10000582</v>
      </c>
      <c r="B583" s="3" t="s">
        <v>10</v>
      </c>
      <c r="C583" s="3" t="s">
        <v>67</v>
      </c>
      <c r="D583" s="3" t="s">
        <v>68</v>
      </c>
      <c r="E583" s="3" t="s">
        <v>64</v>
      </c>
      <c r="F583" s="3">
        <v>2022</v>
      </c>
      <c r="G583" s="3">
        <v>4</v>
      </c>
      <c r="H583" s="2">
        <v>5</v>
      </c>
      <c r="I583" s="4">
        <v>13671357</v>
      </c>
    </row>
    <row r="584" spans="1:9">
      <c r="A584" s="5">
        <v>10000583</v>
      </c>
      <c r="B584" s="3" t="s">
        <v>11</v>
      </c>
      <c r="C584" s="3" t="s">
        <v>65</v>
      </c>
      <c r="D584" s="3" t="s">
        <v>66</v>
      </c>
      <c r="E584" s="3" t="s">
        <v>64</v>
      </c>
      <c r="F584" s="3">
        <v>2006</v>
      </c>
      <c r="G584" s="3">
        <v>4</v>
      </c>
      <c r="H584" s="2">
        <v>3</v>
      </c>
      <c r="I584" s="4">
        <v>63225060</v>
      </c>
    </row>
    <row r="585" spans="1:9">
      <c r="A585" s="5">
        <v>10000584</v>
      </c>
      <c r="B585" s="3" t="s">
        <v>13</v>
      </c>
      <c r="C585" s="3" t="s">
        <v>65</v>
      </c>
      <c r="D585" s="3" t="s">
        <v>69</v>
      </c>
      <c r="E585" s="3" t="s">
        <v>63</v>
      </c>
      <c r="F585" s="3">
        <v>2003</v>
      </c>
      <c r="G585" s="3">
        <v>3</v>
      </c>
      <c r="H585" s="2">
        <v>0</v>
      </c>
      <c r="I585" s="4">
        <v>2421873</v>
      </c>
    </row>
    <row r="586" spans="1:9">
      <c r="A586" s="5">
        <v>10000585</v>
      </c>
      <c r="B586" s="3" t="s">
        <v>11</v>
      </c>
      <c r="C586" s="3" t="s">
        <v>65</v>
      </c>
      <c r="D586" s="3" t="s">
        <v>68</v>
      </c>
      <c r="E586" s="3" t="s">
        <v>63</v>
      </c>
      <c r="F586" s="3">
        <v>2020</v>
      </c>
      <c r="G586" s="3">
        <v>2</v>
      </c>
      <c r="H586" s="2">
        <v>0</v>
      </c>
      <c r="I586" s="4">
        <v>5950429</v>
      </c>
    </row>
    <row r="587" spans="1:9">
      <c r="A587" s="5">
        <v>10000586</v>
      </c>
      <c r="B587" s="3" t="s">
        <v>11</v>
      </c>
      <c r="C587" s="3" t="s">
        <v>65</v>
      </c>
      <c r="D587" s="3" t="s">
        <v>68</v>
      </c>
      <c r="E587" s="3" t="s">
        <v>63</v>
      </c>
      <c r="F587" s="3">
        <v>2024</v>
      </c>
      <c r="G587" s="3">
        <v>3</v>
      </c>
      <c r="H587" s="2">
        <v>1</v>
      </c>
      <c r="I587" s="4">
        <v>18603699</v>
      </c>
    </row>
    <row r="588" spans="1:9">
      <c r="A588" s="5">
        <v>10000587</v>
      </c>
      <c r="B588" s="3" t="s">
        <v>14</v>
      </c>
      <c r="C588" s="3" t="s">
        <v>65</v>
      </c>
      <c r="D588" s="3" t="s">
        <v>66</v>
      </c>
      <c r="E588" s="3" t="s">
        <v>64</v>
      </c>
      <c r="F588" s="3">
        <v>2014</v>
      </c>
      <c r="G588" s="3">
        <v>3</v>
      </c>
      <c r="H588" s="2">
        <v>4</v>
      </c>
      <c r="I588" s="4">
        <v>60009373</v>
      </c>
    </row>
    <row r="589" spans="1:9">
      <c r="A589" s="5">
        <v>10000588</v>
      </c>
      <c r="B589" s="3" t="s">
        <v>9</v>
      </c>
      <c r="C589" s="3" t="s">
        <v>67</v>
      </c>
      <c r="D589" s="3" t="s">
        <v>66</v>
      </c>
      <c r="E589" s="3" t="s">
        <v>64</v>
      </c>
      <c r="F589" s="3">
        <v>2002</v>
      </c>
      <c r="G589" s="3">
        <v>1</v>
      </c>
      <c r="H589" s="2">
        <v>4</v>
      </c>
      <c r="I589" s="4">
        <v>59860397</v>
      </c>
    </row>
    <row r="590" spans="1:9">
      <c r="A590" s="5">
        <v>10000589</v>
      </c>
      <c r="B590" s="3" t="s">
        <v>11</v>
      </c>
      <c r="C590" s="3" t="s">
        <v>65</v>
      </c>
      <c r="D590" s="3" t="s">
        <v>69</v>
      </c>
      <c r="E590" s="3" t="s">
        <v>63</v>
      </c>
      <c r="F590" s="3">
        <v>1980</v>
      </c>
      <c r="G590" s="3">
        <v>4</v>
      </c>
      <c r="H590" s="2">
        <v>2</v>
      </c>
      <c r="I590" s="4">
        <v>6144996</v>
      </c>
    </row>
    <row r="591" spans="1:9">
      <c r="A591" s="5">
        <v>10000590</v>
      </c>
      <c r="B591" s="3" t="s">
        <v>11</v>
      </c>
      <c r="C591" s="3" t="s">
        <v>65</v>
      </c>
      <c r="D591" s="3" t="s">
        <v>68</v>
      </c>
      <c r="E591" s="3" t="s">
        <v>63</v>
      </c>
      <c r="F591" s="3">
        <v>1995</v>
      </c>
      <c r="G591" s="3">
        <v>1</v>
      </c>
      <c r="H591" s="2">
        <v>2</v>
      </c>
      <c r="I591" s="4">
        <v>952465</v>
      </c>
    </row>
    <row r="592" spans="1:9">
      <c r="A592" s="5">
        <v>10000591</v>
      </c>
      <c r="B592" s="3" t="s">
        <v>9</v>
      </c>
      <c r="C592" s="3" t="s">
        <v>67</v>
      </c>
      <c r="D592" s="3" t="s">
        <v>66</v>
      </c>
      <c r="E592" s="3" t="s">
        <v>64</v>
      </c>
      <c r="F592" s="3">
        <v>1983</v>
      </c>
      <c r="G592" s="3">
        <v>4</v>
      </c>
      <c r="H592" s="2">
        <v>5</v>
      </c>
      <c r="I592" s="4">
        <v>48735330</v>
      </c>
    </row>
    <row r="593" spans="1:9">
      <c r="A593" s="5">
        <v>10000592</v>
      </c>
      <c r="B593" s="3" t="s">
        <v>9</v>
      </c>
      <c r="C593" s="3" t="s">
        <v>67</v>
      </c>
      <c r="D593" s="3" t="s">
        <v>68</v>
      </c>
      <c r="E593" s="3" t="s">
        <v>63</v>
      </c>
      <c r="F593" s="3">
        <v>2022</v>
      </c>
      <c r="G593" s="3">
        <v>2</v>
      </c>
      <c r="H593" s="2">
        <v>1</v>
      </c>
      <c r="I593" s="4">
        <v>14755422</v>
      </c>
    </row>
    <row r="594" spans="1:9">
      <c r="A594" s="5">
        <v>10000593</v>
      </c>
      <c r="B594" s="3" t="s">
        <v>13</v>
      </c>
      <c r="C594" s="3" t="s">
        <v>65</v>
      </c>
      <c r="D594" s="3" t="s">
        <v>68</v>
      </c>
      <c r="E594" s="3" t="s">
        <v>64</v>
      </c>
      <c r="F594" s="3">
        <v>1998</v>
      </c>
      <c r="G594" s="3">
        <v>5</v>
      </c>
      <c r="H594" s="2">
        <v>4</v>
      </c>
      <c r="I594" s="4">
        <v>16849385</v>
      </c>
    </row>
    <row r="595" spans="1:9">
      <c r="A595" s="5">
        <v>10000594</v>
      </c>
      <c r="B595" s="3" t="s">
        <v>12</v>
      </c>
      <c r="C595" s="3" t="s">
        <v>67</v>
      </c>
      <c r="D595" s="3" t="s">
        <v>69</v>
      </c>
      <c r="E595" s="3" t="s">
        <v>63</v>
      </c>
      <c r="F595" s="3">
        <v>1993</v>
      </c>
      <c r="G595" s="3">
        <v>1</v>
      </c>
      <c r="H595" s="2">
        <v>0</v>
      </c>
      <c r="I595" s="4">
        <v>3473305</v>
      </c>
    </row>
    <row r="596" spans="1:9">
      <c r="A596" s="5">
        <v>10000595</v>
      </c>
      <c r="B596" s="3" t="s">
        <v>13</v>
      </c>
      <c r="C596" s="3" t="s">
        <v>65</v>
      </c>
      <c r="D596" s="3" t="s">
        <v>69</v>
      </c>
      <c r="E596" s="3" t="s">
        <v>64</v>
      </c>
      <c r="F596" s="3">
        <v>1983</v>
      </c>
      <c r="G596" s="3">
        <v>1</v>
      </c>
      <c r="H596" s="2">
        <v>3</v>
      </c>
      <c r="I596" s="4">
        <v>5334183</v>
      </c>
    </row>
    <row r="597" spans="1:9">
      <c r="A597" s="5">
        <v>10000596</v>
      </c>
      <c r="B597" s="3" t="s">
        <v>12</v>
      </c>
      <c r="C597" s="3" t="s">
        <v>67</v>
      </c>
      <c r="D597" s="3" t="s">
        <v>68</v>
      </c>
      <c r="E597" s="3" t="s">
        <v>63</v>
      </c>
      <c r="F597" s="3">
        <v>2013</v>
      </c>
      <c r="G597" s="3">
        <v>1</v>
      </c>
      <c r="H597" s="2">
        <v>1</v>
      </c>
      <c r="I597" s="4">
        <v>23863858</v>
      </c>
    </row>
    <row r="598" spans="1:9">
      <c r="A598" s="5">
        <v>10000597</v>
      </c>
      <c r="B598" s="3" t="s">
        <v>11</v>
      </c>
      <c r="C598" s="3" t="s">
        <v>65</v>
      </c>
      <c r="D598" s="3" t="s">
        <v>66</v>
      </c>
      <c r="E598" s="3" t="s">
        <v>64</v>
      </c>
      <c r="F598" s="3">
        <v>2023</v>
      </c>
      <c r="G598" s="3">
        <v>5</v>
      </c>
      <c r="H598" s="2">
        <v>3</v>
      </c>
      <c r="I598" s="4">
        <v>45231420</v>
      </c>
    </row>
    <row r="599" spans="1:9">
      <c r="A599" s="5">
        <v>10000598</v>
      </c>
      <c r="B599" s="3" t="s">
        <v>10</v>
      </c>
      <c r="C599" s="3" t="s">
        <v>67</v>
      </c>
      <c r="D599" s="3" t="s">
        <v>69</v>
      </c>
      <c r="E599" s="3" t="s">
        <v>62</v>
      </c>
      <c r="F599" s="3">
        <v>2018</v>
      </c>
      <c r="G599" s="3">
        <v>1</v>
      </c>
      <c r="H599" s="2">
        <v>0</v>
      </c>
      <c r="I599" s="4">
        <v>342763</v>
      </c>
    </row>
    <row r="600" spans="1:9">
      <c r="A600" s="5">
        <v>10000599</v>
      </c>
      <c r="B600" s="3" t="s">
        <v>13</v>
      </c>
      <c r="C600" s="3" t="s">
        <v>65</v>
      </c>
      <c r="D600" s="3" t="s">
        <v>68</v>
      </c>
      <c r="E600" s="3" t="s">
        <v>64</v>
      </c>
      <c r="F600" s="3">
        <v>1994</v>
      </c>
      <c r="G600" s="3">
        <v>1</v>
      </c>
      <c r="H600" s="2">
        <v>5</v>
      </c>
      <c r="I600" s="4">
        <v>18354218</v>
      </c>
    </row>
    <row r="601" spans="1:9">
      <c r="A601" s="5">
        <v>10000600</v>
      </c>
      <c r="B601" s="3" t="s">
        <v>12</v>
      </c>
      <c r="C601" s="3" t="s">
        <v>67</v>
      </c>
      <c r="D601" s="3" t="s">
        <v>68</v>
      </c>
      <c r="E601" s="3" t="s">
        <v>63</v>
      </c>
      <c r="F601" s="3">
        <v>2016</v>
      </c>
      <c r="G601" s="3">
        <v>1</v>
      </c>
      <c r="H601" s="2">
        <v>2</v>
      </c>
      <c r="I601" s="4">
        <v>20895904</v>
      </c>
    </row>
    <row r="602" spans="1:9">
      <c r="A602" s="5">
        <v>10000601</v>
      </c>
      <c r="B602" s="3" t="s">
        <v>11</v>
      </c>
      <c r="C602" s="3" t="s">
        <v>65</v>
      </c>
      <c r="D602" s="3" t="s">
        <v>66</v>
      </c>
      <c r="E602" s="3" t="s">
        <v>64</v>
      </c>
      <c r="F602" s="3">
        <v>2007</v>
      </c>
      <c r="G602" s="3">
        <v>5</v>
      </c>
      <c r="H602" s="2">
        <v>5</v>
      </c>
      <c r="I602" s="4">
        <v>55029983</v>
      </c>
    </row>
    <row r="603" spans="1:9">
      <c r="A603" s="5">
        <v>10000602</v>
      </c>
      <c r="B603" s="3" t="s">
        <v>14</v>
      </c>
      <c r="C603" s="3" t="s">
        <v>65</v>
      </c>
      <c r="D603" s="3" t="s">
        <v>69</v>
      </c>
      <c r="E603" s="3" t="s">
        <v>62</v>
      </c>
      <c r="F603" s="3">
        <v>2005</v>
      </c>
      <c r="G603" s="3">
        <v>1</v>
      </c>
      <c r="H603" s="2">
        <v>2</v>
      </c>
      <c r="I603" s="4">
        <v>520890</v>
      </c>
    </row>
    <row r="604" spans="1:9">
      <c r="A604" s="5">
        <v>10000603</v>
      </c>
      <c r="B604" s="3" t="s">
        <v>13</v>
      </c>
      <c r="C604" s="3" t="s">
        <v>65</v>
      </c>
      <c r="D604" s="3" t="s">
        <v>69</v>
      </c>
      <c r="E604" s="3" t="s">
        <v>62</v>
      </c>
      <c r="F604" s="3">
        <v>1998</v>
      </c>
      <c r="G604" s="3">
        <v>1</v>
      </c>
      <c r="H604" s="2">
        <v>0</v>
      </c>
      <c r="I604" s="4">
        <v>444337</v>
      </c>
    </row>
    <row r="605" spans="1:9">
      <c r="A605" s="5">
        <v>10000604</v>
      </c>
      <c r="B605" s="3" t="s">
        <v>12</v>
      </c>
      <c r="C605" s="3" t="s">
        <v>67</v>
      </c>
      <c r="D605" s="3" t="s">
        <v>66</v>
      </c>
      <c r="E605" s="3" t="s">
        <v>64</v>
      </c>
      <c r="F605" s="3">
        <v>1989</v>
      </c>
      <c r="G605" s="3">
        <v>1</v>
      </c>
      <c r="H605" s="2">
        <v>5</v>
      </c>
      <c r="I605" s="4">
        <v>54942657</v>
      </c>
    </row>
    <row r="606" spans="1:9">
      <c r="A606" s="5">
        <v>10000605</v>
      </c>
      <c r="B606" s="3" t="s">
        <v>13</v>
      </c>
      <c r="C606" s="3" t="s">
        <v>65</v>
      </c>
      <c r="D606" s="3" t="s">
        <v>66</v>
      </c>
      <c r="E606" s="3" t="s">
        <v>64</v>
      </c>
      <c r="F606" s="3">
        <v>1990</v>
      </c>
      <c r="G606" s="3">
        <v>5</v>
      </c>
      <c r="H606" s="2">
        <v>3</v>
      </c>
      <c r="I606" s="4">
        <v>46229764</v>
      </c>
    </row>
    <row r="607" spans="1:9">
      <c r="A607" s="5">
        <v>10000606</v>
      </c>
      <c r="B607" s="3" t="s">
        <v>12</v>
      </c>
      <c r="C607" s="3" t="s">
        <v>67</v>
      </c>
      <c r="D607" s="3" t="s">
        <v>68</v>
      </c>
      <c r="E607" s="3" t="s">
        <v>63</v>
      </c>
      <c r="F607" s="3">
        <v>1987</v>
      </c>
      <c r="G607" s="3">
        <v>4</v>
      </c>
      <c r="H607" s="2">
        <v>1</v>
      </c>
      <c r="I607" s="4">
        <v>13860243</v>
      </c>
    </row>
    <row r="608" spans="1:9">
      <c r="A608" s="5">
        <v>10000607</v>
      </c>
      <c r="B608" s="3" t="s">
        <v>9</v>
      </c>
      <c r="C608" s="3" t="s">
        <v>67</v>
      </c>
      <c r="D608" s="3" t="s">
        <v>68</v>
      </c>
      <c r="E608" s="3" t="s">
        <v>64</v>
      </c>
      <c r="F608" s="3">
        <v>1982</v>
      </c>
      <c r="G608" s="3">
        <v>2</v>
      </c>
      <c r="H608" s="2">
        <v>4</v>
      </c>
      <c r="I608" s="4">
        <v>18730245</v>
      </c>
    </row>
    <row r="609" spans="1:9">
      <c r="A609" s="5">
        <v>10000608</v>
      </c>
      <c r="B609" s="3" t="s">
        <v>11</v>
      </c>
      <c r="C609" s="3" t="s">
        <v>65</v>
      </c>
      <c r="D609" s="3" t="s">
        <v>66</v>
      </c>
      <c r="E609" s="3" t="s">
        <v>64</v>
      </c>
      <c r="F609" s="3">
        <v>1991</v>
      </c>
      <c r="G609" s="3">
        <v>2</v>
      </c>
      <c r="H609" s="2">
        <v>5</v>
      </c>
      <c r="I609" s="4">
        <v>40261500</v>
      </c>
    </row>
    <row r="610" spans="1:9">
      <c r="A610" s="5">
        <v>10000609</v>
      </c>
      <c r="B610" s="3" t="s">
        <v>10</v>
      </c>
      <c r="C610" s="3" t="s">
        <v>67</v>
      </c>
      <c r="D610" s="3" t="s">
        <v>69</v>
      </c>
      <c r="E610" s="3" t="s">
        <v>62</v>
      </c>
      <c r="F610" s="3">
        <v>1986</v>
      </c>
      <c r="G610" s="3">
        <v>1</v>
      </c>
      <c r="H610" s="2">
        <v>0</v>
      </c>
      <c r="I610" s="4">
        <v>448671</v>
      </c>
    </row>
    <row r="611" spans="1:9">
      <c r="A611" s="5">
        <v>10000610</v>
      </c>
      <c r="B611" s="3" t="s">
        <v>11</v>
      </c>
      <c r="C611" s="3" t="s">
        <v>65</v>
      </c>
      <c r="D611" s="3" t="s">
        <v>66</v>
      </c>
      <c r="E611" s="3" t="s">
        <v>64</v>
      </c>
      <c r="F611" s="3">
        <v>2012</v>
      </c>
      <c r="G611" s="3">
        <v>2</v>
      </c>
      <c r="H611" s="2">
        <v>5</v>
      </c>
      <c r="I611" s="4">
        <v>41670611</v>
      </c>
    </row>
    <row r="612" spans="1:9">
      <c r="A612" s="5">
        <v>10000611</v>
      </c>
      <c r="B612" s="3" t="s">
        <v>9</v>
      </c>
      <c r="C612" s="3" t="s">
        <v>67</v>
      </c>
      <c r="D612" s="3" t="s">
        <v>66</v>
      </c>
      <c r="E612" s="3" t="s">
        <v>64</v>
      </c>
      <c r="F612" s="3">
        <v>2017</v>
      </c>
      <c r="G612" s="3">
        <v>1</v>
      </c>
      <c r="H612" s="2">
        <v>5</v>
      </c>
      <c r="I612" s="4">
        <v>51491544</v>
      </c>
    </row>
    <row r="613" spans="1:9">
      <c r="A613" s="5">
        <v>10000612</v>
      </c>
      <c r="B613" s="3" t="s">
        <v>12</v>
      </c>
      <c r="C613" s="3" t="s">
        <v>67</v>
      </c>
      <c r="D613" s="3" t="s">
        <v>68</v>
      </c>
      <c r="E613" s="3" t="s">
        <v>64</v>
      </c>
      <c r="F613" s="3">
        <v>1991</v>
      </c>
      <c r="G613" s="3">
        <v>4</v>
      </c>
      <c r="H613" s="2">
        <v>3</v>
      </c>
      <c r="I613" s="4">
        <v>11932960</v>
      </c>
    </row>
    <row r="614" spans="1:9">
      <c r="A614" s="5">
        <v>10000613</v>
      </c>
      <c r="B614" s="3" t="s">
        <v>10</v>
      </c>
      <c r="C614" s="3" t="s">
        <v>67</v>
      </c>
      <c r="D614" s="3" t="s">
        <v>66</v>
      </c>
      <c r="E614" s="3" t="s">
        <v>64</v>
      </c>
      <c r="F614" s="3">
        <v>2010</v>
      </c>
      <c r="G614" s="3">
        <v>2</v>
      </c>
      <c r="H614" s="2">
        <v>3</v>
      </c>
      <c r="I614" s="4">
        <v>61645295</v>
      </c>
    </row>
    <row r="615" spans="1:9">
      <c r="A615" s="5">
        <v>10000614</v>
      </c>
      <c r="B615" s="3" t="s">
        <v>13</v>
      </c>
      <c r="C615" s="3" t="s">
        <v>65</v>
      </c>
      <c r="D615" s="3" t="s">
        <v>66</v>
      </c>
      <c r="E615" s="3" t="s">
        <v>64</v>
      </c>
      <c r="F615" s="3">
        <v>1995</v>
      </c>
      <c r="G615" s="3">
        <v>1</v>
      </c>
      <c r="H615" s="2">
        <v>5</v>
      </c>
      <c r="I615" s="4">
        <v>65698955</v>
      </c>
    </row>
    <row r="616" spans="1:9">
      <c r="A616" s="5">
        <v>10000615</v>
      </c>
      <c r="B616" s="3" t="s">
        <v>9</v>
      </c>
      <c r="C616" s="3" t="s">
        <v>67</v>
      </c>
      <c r="D616" s="3" t="s">
        <v>66</v>
      </c>
      <c r="E616" s="3" t="s">
        <v>64</v>
      </c>
      <c r="F616" s="3">
        <v>1993</v>
      </c>
      <c r="G616" s="3">
        <v>4</v>
      </c>
      <c r="H616" s="2">
        <v>5</v>
      </c>
      <c r="I616" s="4">
        <v>39556785</v>
      </c>
    </row>
    <row r="617" spans="1:9">
      <c r="A617" s="5">
        <v>10000616</v>
      </c>
      <c r="B617" s="3" t="s">
        <v>9</v>
      </c>
      <c r="C617" s="3" t="s">
        <v>67</v>
      </c>
      <c r="D617" s="3" t="s">
        <v>69</v>
      </c>
      <c r="E617" s="3" t="s">
        <v>62</v>
      </c>
      <c r="F617" s="3">
        <v>2024</v>
      </c>
      <c r="G617" s="3">
        <v>1</v>
      </c>
      <c r="H617" s="2">
        <v>2</v>
      </c>
      <c r="I617" s="4">
        <v>484195</v>
      </c>
    </row>
    <row r="618" spans="1:9">
      <c r="A618" s="5">
        <v>10000617</v>
      </c>
      <c r="B618" s="3" t="s">
        <v>13</v>
      </c>
      <c r="C618" s="3" t="s">
        <v>65</v>
      </c>
      <c r="D618" s="3" t="s">
        <v>66</v>
      </c>
      <c r="E618" s="3" t="s">
        <v>64</v>
      </c>
      <c r="F618" s="3">
        <v>2008</v>
      </c>
      <c r="G618" s="3">
        <v>3</v>
      </c>
      <c r="H618" s="2">
        <v>4</v>
      </c>
      <c r="I618" s="4">
        <v>27602954</v>
      </c>
    </row>
    <row r="619" spans="1:9">
      <c r="A619" s="5">
        <v>10000618</v>
      </c>
      <c r="B619" s="3" t="s">
        <v>10</v>
      </c>
      <c r="C619" s="3" t="s">
        <v>67</v>
      </c>
      <c r="D619" s="3" t="s">
        <v>69</v>
      </c>
      <c r="E619" s="3" t="s">
        <v>62</v>
      </c>
      <c r="F619" s="3">
        <v>2020</v>
      </c>
      <c r="G619" s="3">
        <v>1</v>
      </c>
      <c r="H619" s="2">
        <v>2</v>
      </c>
      <c r="I619" s="4">
        <v>572811</v>
      </c>
    </row>
    <row r="620" spans="1:9">
      <c r="A620" s="5">
        <v>10000619</v>
      </c>
      <c r="B620" s="3" t="s">
        <v>14</v>
      </c>
      <c r="C620" s="3" t="s">
        <v>65</v>
      </c>
      <c r="D620" s="3" t="s">
        <v>69</v>
      </c>
      <c r="E620" s="3" t="s">
        <v>63</v>
      </c>
      <c r="F620" s="3">
        <v>2011</v>
      </c>
      <c r="G620" s="3">
        <v>5</v>
      </c>
      <c r="H620" s="2">
        <v>0</v>
      </c>
      <c r="I620" s="4">
        <v>4008884</v>
      </c>
    </row>
    <row r="621" spans="1:9">
      <c r="A621" s="5">
        <v>10000620</v>
      </c>
      <c r="B621" s="3" t="s">
        <v>10</v>
      </c>
      <c r="C621" s="3" t="s">
        <v>67</v>
      </c>
      <c r="D621" s="3" t="s">
        <v>68</v>
      </c>
      <c r="E621" s="3" t="s">
        <v>64</v>
      </c>
      <c r="F621" s="3">
        <v>2022</v>
      </c>
      <c r="G621" s="3">
        <v>1</v>
      </c>
      <c r="H621" s="2">
        <v>4</v>
      </c>
      <c r="I621" s="4">
        <v>16608769</v>
      </c>
    </row>
    <row r="622" spans="1:9">
      <c r="A622" s="5">
        <v>10000621</v>
      </c>
      <c r="B622" s="3" t="s">
        <v>12</v>
      </c>
      <c r="C622" s="3" t="s">
        <v>67</v>
      </c>
      <c r="D622" s="3" t="s">
        <v>66</v>
      </c>
      <c r="E622" s="3" t="s">
        <v>64</v>
      </c>
      <c r="F622" s="3">
        <v>2001</v>
      </c>
      <c r="G622" s="3">
        <v>2</v>
      </c>
      <c r="H622" s="2">
        <v>4</v>
      </c>
      <c r="I622" s="4">
        <v>47905820</v>
      </c>
    </row>
    <row r="623" spans="1:9">
      <c r="A623" s="5">
        <v>10000622</v>
      </c>
      <c r="B623" s="3" t="s">
        <v>12</v>
      </c>
      <c r="C623" s="3" t="s">
        <v>67</v>
      </c>
      <c r="D623" s="3" t="s">
        <v>68</v>
      </c>
      <c r="E623" s="3" t="s">
        <v>64</v>
      </c>
      <c r="F623" s="3">
        <v>1997</v>
      </c>
      <c r="G623" s="3">
        <v>4</v>
      </c>
      <c r="H623" s="2">
        <v>3</v>
      </c>
      <c r="I623" s="4">
        <v>17875627</v>
      </c>
    </row>
    <row r="624" spans="1:9">
      <c r="A624" s="5">
        <v>10000623</v>
      </c>
      <c r="B624" s="3" t="s">
        <v>9</v>
      </c>
      <c r="C624" s="3" t="s">
        <v>67</v>
      </c>
      <c r="D624" s="3" t="s">
        <v>68</v>
      </c>
      <c r="E624" s="3" t="s">
        <v>64</v>
      </c>
      <c r="F624" s="3">
        <v>2016</v>
      </c>
      <c r="G624" s="3">
        <v>2</v>
      </c>
      <c r="H624" s="2">
        <v>4</v>
      </c>
      <c r="I624" s="4">
        <v>846147</v>
      </c>
    </row>
    <row r="625" spans="1:9">
      <c r="A625" s="5">
        <v>10000624</v>
      </c>
      <c r="B625" s="3" t="s">
        <v>10</v>
      </c>
      <c r="C625" s="3" t="s">
        <v>67</v>
      </c>
      <c r="D625" s="3" t="s">
        <v>69</v>
      </c>
      <c r="E625" s="3" t="s">
        <v>64</v>
      </c>
      <c r="F625" s="3">
        <v>1984</v>
      </c>
      <c r="G625" s="3">
        <v>3</v>
      </c>
      <c r="H625" s="2">
        <v>5</v>
      </c>
      <c r="I625" s="4">
        <v>6514703</v>
      </c>
    </row>
    <row r="626" spans="1:9">
      <c r="A626" s="5">
        <v>10000625</v>
      </c>
      <c r="B626" s="3" t="s">
        <v>12</v>
      </c>
      <c r="C626" s="3" t="s">
        <v>67</v>
      </c>
      <c r="D626" s="3" t="s">
        <v>69</v>
      </c>
      <c r="E626" s="3" t="s">
        <v>64</v>
      </c>
      <c r="F626" s="3">
        <v>1996</v>
      </c>
      <c r="G626" s="3">
        <v>5</v>
      </c>
      <c r="H626" s="2">
        <v>4</v>
      </c>
      <c r="I626" s="4">
        <v>4191744</v>
      </c>
    </row>
    <row r="627" spans="1:9">
      <c r="A627" s="5">
        <v>10000626</v>
      </c>
      <c r="B627" s="3" t="s">
        <v>10</v>
      </c>
      <c r="C627" s="3" t="s">
        <v>67</v>
      </c>
      <c r="D627" s="3" t="s">
        <v>66</v>
      </c>
      <c r="E627" s="3" t="s">
        <v>64</v>
      </c>
      <c r="F627" s="3">
        <v>2011</v>
      </c>
      <c r="G627" s="3">
        <v>5</v>
      </c>
      <c r="H627" s="2">
        <v>5</v>
      </c>
      <c r="I627" s="4">
        <v>53527843</v>
      </c>
    </row>
    <row r="628" spans="1:9">
      <c r="A628" s="5">
        <v>10000627</v>
      </c>
      <c r="B628" s="3" t="s">
        <v>9</v>
      </c>
      <c r="C628" s="3" t="s">
        <v>67</v>
      </c>
      <c r="D628" s="3" t="s">
        <v>68</v>
      </c>
      <c r="E628" s="3" t="s">
        <v>64</v>
      </c>
      <c r="F628" s="3">
        <v>1988</v>
      </c>
      <c r="G628" s="3">
        <v>1</v>
      </c>
      <c r="H628" s="2">
        <v>5</v>
      </c>
      <c r="I628" s="4">
        <v>15639474</v>
      </c>
    </row>
    <row r="629" spans="1:9">
      <c r="A629" s="5">
        <v>10000628</v>
      </c>
      <c r="B629" s="3" t="s">
        <v>13</v>
      </c>
      <c r="C629" s="3" t="s">
        <v>65</v>
      </c>
      <c r="D629" s="3" t="s">
        <v>66</v>
      </c>
      <c r="E629" s="3" t="s">
        <v>64</v>
      </c>
      <c r="F629" s="3">
        <v>1992</v>
      </c>
      <c r="G629" s="3">
        <v>4</v>
      </c>
      <c r="H629" s="2">
        <v>3</v>
      </c>
      <c r="I629" s="4">
        <v>46607875</v>
      </c>
    </row>
    <row r="630" spans="1:9">
      <c r="A630" s="5">
        <v>10000629</v>
      </c>
      <c r="B630" s="3" t="s">
        <v>12</v>
      </c>
      <c r="C630" s="3" t="s">
        <v>67</v>
      </c>
      <c r="D630" s="3" t="s">
        <v>66</v>
      </c>
      <c r="E630" s="3" t="s">
        <v>64</v>
      </c>
      <c r="F630" s="3">
        <v>2006</v>
      </c>
      <c r="G630" s="3">
        <v>4</v>
      </c>
      <c r="H630" s="2">
        <v>5</v>
      </c>
      <c r="I630" s="4">
        <v>55220420</v>
      </c>
    </row>
    <row r="631" spans="1:9">
      <c r="A631" s="5">
        <v>10000630</v>
      </c>
      <c r="B631" s="3" t="s">
        <v>12</v>
      </c>
      <c r="C631" s="3" t="s">
        <v>67</v>
      </c>
      <c r="D631" s="3" t="s">
        <v>66</v>
      </c>
      <c r="E631" s="3" t="s">
        <v>64</v>
      </c>
      <c r="F631" s="3">
        <v>1988</v>
      </c>
      <c r="G631" s="3">
        <v>2</v>
      </c>
      <c r="H631" s="2">
        <v>5</v>
      </c>
      <c r="I631" s="4">
        <v>30640379</v>
      </c>
    </row>
    <row r="632" spans="1:9">
      <c r="A632" s="5">
        <v>10000631</v>
      </c>
      <c r="B632" s="3" t="s">
        <v>14</v>
      </c>
      <c r="C632" s="3" t="s">
        <v>65</v>
      </c>
      <c r="D632" s="3" t="s">
        <v>69</v>
      </c>
      <c r="E632" s="3" t="s">
        <v>63</v>
      </c>
      <c r="F632" s="3">
        <v>2008</v>
      </c>
      <c r="G632" s="3">
        <v>2</v>
      </c>
      <c r="H632" s="2">
        <v>1</v>
      </c>
      <c r="I632" s="4">
        <v>5195022</v>
      </c>
    </row>
    <row r="633" spans="1:9">
      <c r="A633" s="5">
        <v>10000632</v>
      </c>
      <c r="B633" s="3" t="s">
        <v>14</v>
      </c>
      <c r="C633" s="3" t="s">
        <v>65</v>
      </c>
      <c r="D633" s="3" t="s">
        <v>69</v>
      </c>
      <c r="E633" s="3" t="s">
        <v>64</v>
      </c>
      <c r="F633" s="3">
        <v>2008</v>
      </c>
      <c r="G633" s="3">
        <v>2</v>
      </c>
      <c r="H633" s="2">
        <v>5</v>
      </c>
      <c r="I633" s="4">
        <v>4446314</v>
      </c>
    </row>
    <row r="634" spans="1:9">
      <c r="A634" s="5">
        <v>10000633</v>
      </c>
      <c r="B634" s="3" t="s">
        <v>9</v>
      </c>
      <c r="C634" s="3" t="s">
        <v>67</v>
      </c>
      <c r="D634" s="3" t="s">
        <v>68</v>
      </c>
      <c r="E634" s="3" t="s">
        <v>63</v>
      </c>
      <c r="F634" s="3">
        <v>1990</v>
      </c>
      <c r="G634" s="3">
        <v>4</v>
      </c>
      <c r="H634" s="2">
        <v>1</v>
      </c>
      <c r="I634" s="4">
        <v>19282915</v>
      </c>
    </row>
    <row r="635" spans="1:9">
      <c r="A635" s="5">
        <v>10000634</v>
      </c>
      <c r="B635" s="3" t="s">
        <v>14</v>
      </c>
      <c r="C635" s="3" t="s">
        <v>65</v>
      </c>
      <c r="D635" s="3" t="s">
        <v>68</v>
      </c>
      <c r="E635" s="3" t="s">
        <v>64</v>
      </c>
      <c r="F635" s="3">
        <v>1983</v>
      </c>
      <c r="G635" s="3">
        <v>4</v>
      </c>
      <c r="H635" s="2">
        <v>4</v>
      </c>
      <c r="I635" s="4">
        <v>15790755</v>
      </c>
    </row>
    <row r="636" spans="1:9">
      <c r="A636" s="5">
        <v>10000635</v>
      </c>
      <c r="B636" s="3" t="s">
        <v>12</v>
      </c>
      <c r="C636" s="3" t="s">
        <v>67</v>
      </c>
      <c r="D636" s="3" t="s">
        <v>66</v>
      </c>
      <c r="E636" s="3" t="s">
        <v>64</v>
      </c>
      <c r="F636" s="3">
        <v>1982</v>
      </c>
      <c r="G636" s="3">
        <v>1</v>
      </c>
      <c r="H636" s="2">
        <v>5</v>
      </c>
      <c r="I636" s="4">
        <v>45345610</v>
      </c>
    </row>
    <row r="637" spans="1:9">
      <c r="A637" s="5">
        <v>10000636</v>
      </c>
      <c r="B637" s="3" t="s">
        <v>14</v>
      </c>
      <c r="C637" s="3" t="s">
        <v>65</v>
      </c>
      <c r="D637" s="3" t="s">
        <v>66</v>
      </c>
      <c r="E637" s="3" t="s">
        <v>64</v>
      </c>
      <c r="F637" s="3">
        <v>1985</v>
      </c>
      <c r="G637" s="3">
        <v>3</v>
      </c>
      <c r="H637" s="2">
        <v>4</v>
      </c>
      <c r="I637" s="4">
        <v>46583975</v>
      </c>
    </row>
    <row r="638" spans="1:9">
      <c r="A638" s="5">
        <v>10000637</v>
      </c>
      <c r="B638" s="3" t="s">
        <v>12</v>
      </c>
      <c r="C638" s="3" t="s">
        <v>67</v>
      </c>
      <c r="D638" s="3" t="s">
        <v>69</v>
      </c>
      <c r="E638" s="3" t="s">
        <v>64</v>
      </c>
      <c r="F638" s="3">
        <v>1985</v>
      </c>
      <c r="G638" s="3">
        <v>3</v>
      </c>
      <c r="H638" s="2">
        <v>5</v>
      </c>
      <c r="I638" s="4">
        <v>5783957</v>
      </c>
    </row>
    <row r="639" spans="1:9">
      <c r="A639" s="5">
        <v>10000638</v>
      </c>
      <c r="B639" s="3" t="s">
        <v>13</v>
      </c>
      <c r="C639" s="3" t="s">
        <v>65</v>
      </c>
      <c r="D639" s="3" t="s">
        <v>66</v>
      </c>
      <c r="E639" s="3" t="s">
        <v>64</v>
      </c>
      <c r="F639" s="3">
        <v>2016</v>
      </c>
      <c r="G639" s="3">
        <v>1</v>
      </c>
      <c r="H639" s="2">
        <v>3</v>
      </c>
      <c r="I639" s="4">
        <v>54324444</v>
      </c>
    </row>
    <row r="640" spans="1:9">
      <c r="A640" s="5">
        <v>10000639</v>
      </c>
      <c r="B640" s="3" t="s">
        <v>13</v>
      </c>
      <c r="C640" s="3" t="s">
        <v>65</v>
      </c>
      <c r="D640" s="3" t="s">
        <v>69</v>
      </c>
      <c r="E640" s="3" t="s">
        <v>63</v>
      </c>
      <c r="F640" s="3">
        <v>1990</v>
      </c>
      <c r="G640" s="3">
        <v>3</v>
      </c>
      <c r="H640" s="2">
        <v>2</v>
      </c>
      <c r="I640" s="4">
        <v>6187117</v>
      </c>
    </row>
    <row r="641" spans="1:9">
      <c r="A641" s="5">
        <v>10000640</v>
      </c>
      <c r="B641" s="3" t="s">
        <v>9</v>
      </c>
      <c r="C641" s="3" t="s">
        <v>67</v>
      </c>
      <c r="D641" s="3" t="s">
        <v>68</v>
      </c>
      <c r="E641" s="3" t="s">
        <v>64</v>
      </c>
      <c r="F641" s="3">
        <v>1986</v>
      </c>
      <c r="G641" s="3">
        <v>5</v>
      </c>
      <c r="H641" s="2">
        <v>4</v>
      </c>
      <c r="I641" s="4">
        <v>14230810</v>
      </c>
    </row>
    <row r="642" spans="1:9">
      <c r="A642" s="5">
        <v>10000641</v>
      </c>
      <c r="B642" s="3" t="s">
        <v>13</v>
      </c>
      <c r="C642" s="3" t="s">
        <v>65</v>
      </c>
      <c r="D642" s="3" t="s">
        <v>68</v>
      </c>
      <c r="E642" s="3" t="s">
        <v>63</v>
      </c>
      <c r="F642" s="3">
        <v>1992</v>
      </c>
      <c r="G642" s="3">
        <v>3</v>
      </c>
      <c r="H642" s="2">
        <v>2</v>
      </c>
      <c r="I642" s="4">
        <v>200000</v>
      </c>
    </row>
    <row r="643" spans="1:9">
      <c r="A643" s="5">
        <v>10000642</v>
      </c>
      <c r="B643" s="3" t="s">
        <v>9</v>
      </c>
      <c r="C643" s="3" t="s">
        <v>67</v>
      </c>
      <c r="D643" s="3" t="s">
        <v>68</v>
      </c>
      <c r="E643" s="3" t="s">
        <v>64</v>
      </c>
      <c r="F643" s="3">
        <v>1998</v>
      </c>
      <c r="G643" s="3">
        <v>4</v>
      </c>
      <c r="H643" s="2">
        <v>4</v>
      </c>
      <c r="I643" s="4">
        <v>2629470</v>
      </c>
    </row>
    <row r="644" spans="1:9">
      <c r="A644" s="5">
        <v>10000643</v>
      </c>
      <c r="B644" s="3" t="s">
        <v>9</v>
      </c>
      <c r="C644" s="3" t="s">
        <v>67</v>
      </c>
      <c r="D644" s="3" t="s">
        <v>69</v>
      </c>
      <c r="E644" s="3" t="s">
        <v>62</v>
      </c>
      <c r="F644" s="3">
        <v>2014</v>
      </c>
      <c r="G644" s="3">
        <v>1</v>
      </c>
      <c r="H644" s="2">
        <v>0</v>
      </c>
      <c r="I644" s="4">
        <v>513797</v>
      </c>
    </row>
    <row r="645" spans="1:9">
      <c r="A645" s="5">
        <v>10000644</v>
      </c>
      <c r="B645" s="3" t="s">
        <v>13</v>
      </c>
      <c r="C645" s="3" t="s">
        <v>65</v>
      </c>
      <c r="D645" s="3" t="s">
        <v>66</v>
      </c>
      <c r="E645" s="3" t="s">
        <v>64</v>
      </c>
      <c r="F645" s="3">
        <v>2023</v>
      </c>
      <c r="G645" s="3">
        <v>1</v>
      </c>
      <c r="H645" s="2">
        <v>3</v>
      </c>
      <c r="I645" s="4">
        <v>62172191</v>
      </c>
    </row>
    <row r="646" spans="1:9">
      <c r="A646" s="5">
        <v>10000645</v>
      </c>
      <c r="B646" s="3" t="s">
        <v>12</v>
      </c>
      <c r="C646" s="3" t="s">
        <v>67</v>
      </c>
      <c r="D646" s="3" t="s">
        <v>66</v>
      </c>
      <c r="E646" s="3" t="s">
        <v>64</v>
      </c>
      <c r="F646" s="3">
        <v>1996</v>
      </c>
      <c r="G646" s="3">
        <v>3</v>
      </c>
      <c r="H646" s="2">
        <v>4</v>
      </c>
      <c r="I646" s="4">
        <v>57243228</v>
      </c>
    </row>
    <row r="647" spans="1:9">
      <c r="A647" s="5">
        <v>10000646</v>
      </c>
      <c r="B647" s="3" t="s">
        <v>9</v>
      </c>
      <c r="C647" s="3" t="s">
        <v>67</v>
      </c>
      <c r="D647" s="3" t="s">
        <v>66</v>
      </c>
      <c r="E647" s="3" t="s">
        <v>64</v>
      </c>
      <c r="F647" s="3">
        <v>2017</v>
      </c>
      <c r="G647" s="3">
        <v>3</v>
      </c>
      <c r="H647" s="2">
        <v>3</v>
      </c>
      <c r="I647" s="4">
        <v>41373753</v>
      </c>
    </row>
    <row r="648" spans="1:9">
      <c r="A648" s="5">
        <v>10000647</v>
      </c>
      <c r="B648" s="3" t="s">
        <v>14</v>
      </c>
      <c r="C648" s="3" t="s">
        <v>65</v>
      </c>
      <c r="D648" s="3" t="s">
        <v>68</v>
      </c>
      <c r="E648" s="3" t="s">
        <v>63</v>
      </c>
      <c r="F648" s="3">
        <v>2022</v>
      </c>
      <c r="G648" s="3">
        <v>4</v>
      </c>
      <c r="H648" s="2">
        <v>0</v>
      </c>
      <c r="I648" s="4">
        <v>9414408</v>
      </c>
    </row>
    <row r="649" spans="1:9">
      <c r="A649" s="5">
        <v>10000648</v>
      </c>
      <c r="B649" s="3" t="s">
        <v>10</v>
      </c>
      <c r="C649" s="3" t="s">
        <v>67</v>
      </c>
      <c r="D649" s="3" t="s">
        <v>68</v>
      </c>
      <c r="E649" s="3" t="s">
        <v>64</v>
      </c>
      <c r="F649" s="3">
        <v>2000</v>
      </c>
      <c r="G649" s="3">
        <v>5</v>
      </c>
      <c r="H649" s="2">
        <v>5</v>
      </c>
      <c r="I649" s="4">
        <v>15046415</v>
      </c>
    </row>
    <row r="650" spans="1:9">
      <c r="A650" s="5">
        <v>10000649</v>
      </c>
      <c r="B650" s="3" t="s">
        <v>11</v>
      </c>
      <c r="C650" s="3" t="s">
        <v>65</v>
      </c>
      <c r="D650" s="3" t="s">
        <v>68</v>
      </c>
      <c r="E650" s="3" t="s">
        <v>64</v>
      </c>
      <c r="F650" s="3">
        <v>2000</v>
      </c>
      <c r="G650" s="3">
        <v>5</v>
      </c>
      <c r="H650" s="2">
        <v>4</v>
      </c>
      <c r="I650" s="4">
        <v>13969456</v>
      </c>
    </row>
    <row r="651" spans="1:9">
      <c r="A651" s="5">
        <v>10000650</v>
      </c>
      <c r="B651" s="3" t="s">
        <v>14</v>
      </c>
      <c r="C651" s="3" t="s">
        <v>65</v>
      </c>
      <c r="D651" s="3" t="s">
        <v>69</v>
      </c>
      <c r="E651" s="3" t="s">
        <v>62</v>
      </c>
      <c r="F651" s="3">
        <v>2014</v>
      </c>
      <c r="G651" s="3">
        <v>1</v>
      </c>
      <c r="H651" s="2">
        <v>2</v>
      </c>
      <c r="I651" s="4">
        <v>358682</v>
      </c>
    </row>
    <row r="652" spans="1:9">
      <c r="A652" s="5">
        <v>10000651</v>
      </c>
      <c r="B652" s="3" t="s">
        <v>10</v>
      </c>
      <c r="C652" s="3" t="s">
        <v>67</v>
      </c>
      <c r="D652" s="3" t="s">
        <v>66</v>
      </c>
      <c r="E652" s="3" t="s">
        <v>64</v>
      </c>
      <c r="F652" s="3">
        <v>2009</v>
      </c>
      <c r="G652" s="3">
        <v>4</v>
      </c>
      <c r="H652" s="2">
        <v>4</v>
      </c>
      <c r="I652" s="4">
        <v>47222950</v>
      </c>
    </row>
    <row r="653" spans="1:9">
      <c r="A653" s="5">
        <v>10000652</v>
      </c>
      <c r="B653" s="3" t="s">
        <v>10</v>
      </c>
      <c r="C653" s="3" t="s">
        <v>67</v>
      </c>
      <c r="D653" s="3" t="s">
        <v>68</v>
      </c>
      <c r="E653" s="3" t="s">
        <v>64</v>
      </c>
      <c r="F653" s="3">
        <v>1981</v>
      </c>
      <c r="G653" s="3">
        <v>3</v>
      </c>
      <c r="H653" s="2">
        <v>4</v>
      </c>
      <c r="I653" s="4">
        <v>19613954</v>
      </c>
    </row>
    <row r="654" spans="1:9">
      <c r="A654" s="5">
        <v>10000653</v>
      </c>
      <c r="B654" s="3" t="s">
        <v>11</v>
      </c>
      <c r="C654" s="3" t="s">
        <v>65</v>
      </c>
      <c r="D654" s="3" t="s">
        <v>69</v>
      </c>
      <c r="E654" s="3" t="s">
        <v>63</v>
      </c>
      <c r="F654" s="3">
        <v>1991</v>
      </c>
      <c r="G654" s="3">
        <v>3</v>
      </c>
      <c r="H654" s="2">
        <v>1</v>
      </c>
      <c r="I654" s="4">
        <v>1706081</v>
      </c>
    </row>
    <row r="655" spans="1:9">
      <c r="A655" s="5">
        <v>10000654</v>
      </c>
      <c r="B655" s="3" t="s">
        <v>12</v>
      </c>
      <c r="C655" s="3" t="s">
        <v>67</v>
      </c>
      <c r="D655" s="3" t="s">
        <v>68</v>
      </c>
      <c r="E655" s="3" t="s">
        <v>63</v>
      </c>
      <c r="F655" s="3">
        <v>2007</v>
      </c>
      <c r="G655" s="3">
        <v>3</v>
      </c>
      <c r="H655" s="2">
        <v>2</v>
      </c>
      <c r="I655" s="4">
        <v>19185968</v>
      </c>
    </row>
    <row r="656" spans="1:9">
      <c r="A656" s="5">
        <v>10000655</v>
      </c>
      <c r="B656" s="3" t="s">
        <v>14</v>
      </c>
      <c r="C656" s="3" t="s">
        <v>65</v>
      </c>
      <c r="D656" s="3" t="s">
        <v>69</v>
      </c>
      <c r="E656" s="3" t="s">
        <v>62</v>
      </c>
      <c r="F656" s="3">
        <v>2016</v>
      </c>
      <c r="G656" s="3">
        <v>1</v>
      </c>
      <c r="H656" s="2">
        <v>1</v>
      </c>
      <c r="I656" s="4">
        <v>405332</v>
      </c>
    </row>
    <row r="657" spans="1:9">
      <c r="A657" s="5">
        <v>10000656</v>
      </c>
      <c r="B657" s="3" t="s">
        <v>10</v>
      </c>
      <c r="C657" s="3" t="s">
        <v>67</v>
      </c>
      <c r="D657" s="3" t="s">
        <v>68</v>
      </c>
      <c r="E657" s="3" t="s">
        <v>63</v>
      </c>
      <c r="F657" s="3">
        <v>2012</v>
      </c>
      <c r="G657" s="3">
        <v>2</v>
      </c>
      <c r="H657" s="2">
        <v>0</v>
      </c>
      <c r="I657" s="4">
        <v>20120091</v>
      </c>
    </row>
    <row r="658" spans="1:9">
      <c r="A658" s="5">
        <v>10000657</v>
      </c>
      <c r="B658" s="3" t="s">
        <v>12</v>
      </c>
      <c r="C658" s="3" t="s">
        <v>67</v>
      </c>
      <c r="D658" s="3" t="s">
        <v>68</v>
      </c>
      <c r="E658" s="3" t="s">
        <v>64</v>
      </c>
      <c r="F658" s="3">
        <v>1982</v>
      </c>
      <c r="G658" s="3">
        <v>5</v>
      </c>
      <c r="H658" s="2">
        <v>4</v>
      </c>
      <c r="I658" s="4">
        <v>11023991</v>
      </c>
    </row>
    <row r="659" spans="1:9">
      <c r="A659" s="5">
        <v>10000658</v>
      </c>
      <c r="B659" s="3" t="s">
        <v>14</v>
      </c>
      <c r="C659" s="3" t="s">
        <v>65</v>
      </c>
      <c r="D659" s="3" t="s">
        <v>68</v>
      </c>
      <c r="E659" s="3" t="s">
        <v>64</v>
      </c>
      <c r="F659" s="3">
        <v>2011</v>
      </c>
      <c r="G659" s="3">
        <v>2</v>
      </c>
      <c r="H659" s="2">
        <v>4</v>
      </c>
      <c r="I659" s="4">
        <v>18346530</v>
      </c>
    </row>
    <row r="660" spans="1:9">
      <c r="A660" s="5">
        <v>10000659</v>
      </c>
      <c r="B660" s="3" t="s">
        <v>9</v>
      </c>
      <c r="C660" s="3" t="s">
        <v>67</v>
      </c>
      <c r="D660" s="3" t="s">
        <v>68</v>
      </c>
      <c r="E660" s="3" t="s">
        <v>64</v>
      </c>
      <c r="F660" s="3">
        <v>1984</v>
      </c>
      <c r="G660" s="3">
        <v>2</v>
      </c>
      <c r="H660" s="2">
        <v>4</v>
      </c>
      <c r="I660" s="4">
        <v>12633714</v>
      </c>
    </row>
    <row r="661" spans="1:9">
      <c r="A661" s="5">
        <v>10000660</v>
      </c>
      <c r="B661" s="3" t="s">
        <v>12</v>
      </c>
      <c r="C661" s="3" t="s">
        <v>67</v>
      </c>
      <c r="D661" s="3" t="s">
        <v>66</v>
      </c>
      <c r="E661" s="3" t="s">
        <v>64</v>
      </c>
      <c r="F661" s="3">
        <v>1991</v>
      </c>
      <c r="G661" s="3">
        <v>4</v>
      </c>
      <c r="H661" s="2">
        <v>4</v>
      </c>
      <c r="I661" s="4">
        <v>28562080</v>
      </c>
    </row>
    <row r="662" spans="1:9">
      <c r="A662" s="5">
        <v>10000661</v>
      </c>
      <c r="B662" s="3" t="s">
        <v>9</v>
      </c>
      <c r="C662" s="3" t="s">
        <v>67</v>
      </c>
      <c r="D662" s="3" t="s">
        <v>69</v>
      </c>
      <c r="E662" s="3" t="s">
        <v>64</v>
      </c>
      <c r="F662" s="3">
        <v>1997</v>
      </c>
      <c r="G662" s="3">
        <v>5</v>
      </c>
      <c r="H662" s="2">
        <v>4</v>
      </c>
      <c r="I662" s="4">
        <v>6310505</v>
      </c>
    </row>
    <row r="663" spans="1:9">
      <c r="A663" s="5">
        <v>10000662</v>
      </c>
      <c r="B663" s="3" t="s">
        <v>9</v>
      </c>
      <c r="C663" s="3" t="s">
        <v>67</v>
      </c>
      <c r="D663" s="3" t="s">
        <v>69</v>
      </c>
      <c r="E663" s="3" t="s">
        <v>62</v>
      </c>
      <c r="F663" s="3">
        <v>1994</v>
      </c>
      <c r="G663" s="3">
        <v>1</v>
      </c>
      <c r="H663" s="2">
        <v>0</v>
      </c>
      <c r="I663" s="4">
        <v>506289</v>
      </c>
    </row>
    <row r="664" spans="1:9">
      <c r="A664" s="5">
        <v>10000663</v>
      </c>
      <c r="B664" s="3" t="s">
        <v>13</v>
      </c>
      <c r="C664" s="3" t="s">
        <v>65</v>
      </c>
      <c r="D664" s="3" t="s">
        <v>69</v>
      </c>
      <c r="E664" s="3" t="s">
        <v>63</v>
      </c>
      <c r="F664" s="3">
        <v>1983</v>
      </c>
      <c r="G664" s="3">
        <v>4</v>
      </c>
      <c r="H664" s="2">
        <v>0</v>
      </c>
      <c r="I664" s="4">
        <v>4967957</v>
      </c>
    </row>
    <row r="665" spans="1:9">
      <c r="A665" s="5">
        <v>10000664</v>
      </c>
      <c r="B665" s="3" t="s">
        <v>10</v>
      </c>
      <c r="C665" s="3" t="s">
        <v>67</v>
      </c>
      <c r="D665" s="3" t="s">
        <v>66</v>
      </c>
      <c r="E665" s="3" t="s">
        <v>64</v>
      </c>
      <c r="F665" s="3">
        <v>1985</v>
      </c>
      <c r="G665" s="3">
        <v>1</v>
      </c>
      <c r="H665" s="2">
        <v>3</v>
      </c>
      <c r="I665" s="4">
        <v>41349619</v>
      </c>
    </row>
    <row r="666" spans="1:9">
      <c r="A666" s="5">
        <v>10000665</v>
      </c>
      <c r="B666" s="3" t="s">
        <v>10</v>
      </c>
      <c r="C666" s="3" t="s">
        <v>67</v>
      </c>
      <c r="D666" s="3" t="s">
        <v>66</v>
      </c>
      <c r="E666" s="3" t="s">
        <v>64</v>
      </c>
      <c r="F666" s="3">
        <v>2006</v>
      </c>
      <c r="G666" s="3">
        <v>3</v>
      </c>
      <c r="H666" s="2">
        <v>5</v>
      </c>
      <c r="I666" s="4">
        <v>56880368</v>
      </c>
    </row>
    <row r="667" spans="1:9">
      <c r="A667" s="5">
        <v>10000666</v>
      </c>
      <c r="B667" s="3" t="s">
        <v>10</v>
      </c>
      <c r="C667" s="3" t="s">
        <v>67</v>
      </c>
      <c r="D667" s="3" t="s">
        <v>68</v>
      </c>
      <c r="E667" s="3" t="s">
        <v>64</v>
      </c>
      <c r="F667" s="3">
        <v>1995</v>
      </c>
      <c r="G667" s="3">
        <v>3</v>
      </c>
      <c r="H667" s="2">
        <v>3</v>
      </c>
      <c r="I667" s="4">
        <v>17712227</v>
      </c>
    </row>
    <row r="668" spans="1:9">
      <c r="A668" s="5">
        <v>10000667</v>
      </c>
      <c r="B668" s="3" t="s">
        <v>13</v>
      </c>
      <c r="C668" s="3" t="s">
        <v>65</v>
      </c>
      <c r="D668" s="3" t="s">
        <v>66</v>
      </c>
      <c r="E668" s="3" t="s">
        <v>64</v>
      </c>
      <c r="F668" s="3">
        <v>1990</v>
      </c>
      <c r="G668" s="3">
        <v>3</v>
      </c>
      <c r="H668" s="2">
        <v>3</v>
      </c>
      <c r="I668" s="4">
        <v>69333515</v>
      </c>
    </row>
    <row r="669" spans="1:9">
      <c r="A669" s="5">
        <v>10000668</v>
      </c>
      <c r="B669" s="3" t="s">
        <v>9</v>
      </c>
      <c r="C669" s="3" t="s">
        <v>67</v>
      </c>
      <c r="D669" s="3" t="s">
        <v>66</v>
      </c>
      <c r="E669" s="3" t="s">
        <v>64</v>
      </c>
      <c r="F669" s="3">
        <v>2016</v>
      </c>
      <c r="G669" s="3">
        <v>1</v>
      </c>
      <c r="H669" s="2">
        <v>4</v>
      </c>
      <c r="I669" s="4">
        <v>59524114</v>
      </c>
    </row>
    <row r="670" spans="1:9">
      <c r="A670" s="5">
        <v>10000669</v>
      </c>
      <c r="B670" s="3" t="s">
        <v>14</v>
      </c>
      <c r="C670" s="3" t="s">
        <v>65</v>
      </c>
      <c r="D670" s="3" t="s">
        <v>69</v>
      </c>
      <c r="E670" s="3" t="s">
        <v>63</v>
      </c>
      <c r="F670" s="3">
        <v>2004</v>
      </c>
      <c r="G670" s="3">
        <v>1</v>
      </c>
      <c r="H670" s="2">
        <v>1</v>
      </c>
      <c r="I670" s="4">
        <v>2834112</v>
      </c>
    </row>
    <row r="671" spans="1:9">
      <c r="A671" s="5">
        <v>10000670</v>
      </c>
      <c r="B671" s="3" t="s">
        <v>13</v>
      </c>
      <c r="C671" s="3" t="s">
        <v>65</v>
      </c>
      <c r="D671" s="3" t="s">
        <v>69</v>
      </c>
      <c r="E671" s="3" t="s">
        <v>64</v>
      </c>
      <c r="F671" s="3">
        <v>2024</v>
      </c>
      <c r="G671" s="3">
        <v>3</v>
      </c>
      <c r="H671" s="2">
        <v>4</v>
      </c>
      <c r="I671" s="4">
        <v>5148048</v>
      </c>
    </row>
    <row r="672" spans="1:9">
      <c r="A672" s="5">
        <v>10000671</v>
      </c>
      <c r="B672" s="3" t="s">
        <v>10</v>
      </c>
      <c r="C672" s="3" t="s">
        <v>67</v>
      </c>
      <c r="D672" s="3" t="s">
        <v>66</v>
      </c>
      <c r="E672" s="3" t="s">
        <v>64</v>
      </c>
      <c r="F672" s="3">
        <v>1989</v>
      </c>
      <c r="G672" s="3">
        <v>5</v>
      </c>
      <c r="H672" s="2">
        <v>3</v>
      </c>
      <c r="I672" s="4">
        <v>50188205</v>
      </c>
    </row>
    <row r="673" spans="1:9">
      <c r="A673" s="5">
        <v>10000672</v>
      </c>
      <c r="B673" s="3" t="s">
        <v>14</v>
      </c>
      <c r="C673" s="3" t="s">
        <v>65</v>
      </c>
      <c r="D673" s="3" t="s">
        <v>66</v>
      </c>
      <c r="E673" s="3" t="s">
        <v>64</v>
      </c>
      <c r="F673" s="3">
        <v>1996</v>
      </c>
      <c r="G673" s="3">
        <v>1</v>
      </c>
      <c r="H673" s="2">
        <v>3</v>
      </c>
      <c r="I673" s="4">
        <v>55031309</v>
      </c>
    </row>
    <row r="674" spans="1:9">
      <c r="A674" s="5">
        <v>10000673</v>
      </c>
      <c r="B674" s="3" t="s">
        <v>9</v>
      </c>
      <c r="C674" s="3" t="s">
        <v>67</v>
      </c>
      <c r="D674" s="3" t="s">
        <v>68</v>
      </c>
      <c r="E674" s="3" t="s">
        <v>63</v>
      </c>
      <c r="F674" s="3">
        <v>2005</v>
      </c>
      <c r="G674" s="3">
        <v>1</v>
      </c>
      <c r="H674" s="2">
        <v>1</v>
      </c>
      <c r="I674" s="4">
        <v>19875490</v>
      </c>
    </row>
    <row r="675" spans="1:9">
      <c r="A675" s="5">
        <v>10000674</v>
      </c>
      <c r="B675" s="3" t="s">
        <v>10</v>
      </c>
      <c r="C675" s="3" t="s">
        <v>67</v>
      </c>
      <c r="D675" s="3" t="s">
        <v>69</v>
      </c>
      <c r="E675" s="3" t="s">
        <v>62</v>
      </c>
      <c r="F675" s="3">
        <v>1996</v>
      </c>
      <c r="G675" s="3">
        <v>1</v>
      </c>
      <c r="H675" s="2">
        <v>1</v>
      </c>
      <c r="I675" s="4">
        <v>482469</v>
      </c>
    </row>
    <row r="676" spans="1:9">
      <c r="A676" s="5">
        <v>10000675</v>
      </c>
      <c r="B676" s="3" t="s">
        <v>9</v>
      </c>
      <c r="C676" s="3" t="s">
        <v>67</v>
      </c>
      <c r="D676" s="3" t="s">
        <v>66</v>
      </c>
      <c r="E676" s="3" t="s">
        <v>64</v>
      </c>
      <c r="F676" s="3">
        <v>1988</v>
      </c>
      <c r="G676" s="3">
        <v>2</v>
      </c>
      <c r="H676" s="2">
        <v>5</v>
      </c>
      <c r="I676" s="4">
        <v>55272458</v>
      </c>
    </row>
    <row r="677" spans="1:9">
      <c r="A677" s="5">
        <v>10000676</v>
      </c>
      <c r="B677" s="3" t="s">
        <v>12</v>
      </c>
      <c r="C677" s="3" t="s">
        <v>67</v>
      </c>
      <c r="D677" s="3" t="s">
        <v>69</v>
      </c>
      <c r="E677" s="3" t="s">
        <v>63</v>
      </c>
      <c r="F677" s="3">
        <v>2003</v>
      </c>
      <c r="G677" s="3">
        <v>5</v>
      </c>
      <c r="H677" s="2">
        <v>2</v>
      </c>
      <c r="I677" s="4">
        <v>2864570</v>
      </c>
    </row>
    <row r="678" spans="1:9">
      <c r="A678" s="5">
        <v>10000677</v>
      </c>
      <c r="B678" s="3" t="s">
        <v>13</v>
      </c>
      <c r="C678" s="3" t="s">
        <v>65</v>
      </c>
      <c r="D678" s="3" t="s">
        <v>68</v>
      </c>
      <c r="E678" s="3" t="s">
        <v>64</v>
      </c>
      <c r="F678" s="3">
        <v>1994</v>
      </c>
      <c r="G678" s="3">
        <v>2</v>
      </c>
      <c r="H678" s="2">
        <v>3</v>
      </c>
      <c r="I678" s="4">
        <v>18500325</v>
      </c>
    </row>
    <row r="679" spans="1:9">
      <c r="A679" s="5">
        <v>10000678</v>
      </c>
      <c r="B679" s="3" t="s">
        <v>11</v>
      </c>
      <c r="C679" s="3" t="s">
        <v>65</v>
      </c>
      <c r="D679" s="3" t="s">
        <v>68</v>
      </c>
      <c r="E679" s="3" t="s">
        <v>64</v>
      </c>
      <c r="F679" s="3">
        <v>1990</v>
      </c>
      <c r="G679" s="3">
        <v>5</v>
      </c>
      <c r="H679" s="2">
        <v>4</v>
      </c>
      <c r="I679" s="4">
        <v>19083587</v>
      </c>
    </row>
    <row r="680" spans="1:9">
      <c r="A680" s="5">
        <v>10000679</v>
      </c>
      <c r="B680" s="3" t="s">
        <v>12</v>
      </c>
      <c r="C680" s="3" t="s">
        <v>67</v>
      </c>
      <c r="D680" s="3" t="s">
        <v>69</v>
      </c>
      <c r="E680" s="3" t="s">
        <v>64</v>
      </c>
      <c r="F680" s="3">
        <v>1988</v>
      </c>
      <c r="G680" s="3">
        <v>4</v>
      </c>
      <c r="H680" s="2">
        <v>4</v>
      </c>
      <c r="I680" s="4">
        <v>5164491</v>
      </c>
    </row>
    <row r="681" spans="1:9">
      <c r="A681" s="5">
        <v>10000680</v>
      </c>
      <c r="B681" s="3" t="s">
        <v>11</v>
      </c>
      <c r="C681" s="3" t="s">
        <v>65</v>
      </c>
      <c r="D681" s="3" t="s">
        <v>69</v>
      </c>
      <c r="E681" s="3" t="s">
        <v>62</v>
      </c>
      <c r="F681" s="3">
        <v>2015</v>
      </c>
      <c r="G681" s="3">
        <v>1</v>
      </c>
      <c r="H681" s="2">
        <v>0</v>
      </c>
      <c r="I681" s="4">
        <v>552042</v>
      </c>
    </row>
    <row r="682" spans="1:9">
      <c r="A682" s="5">
        <v>10000681</v>
      </c>
      <c r="B682" s="3" t="s">
        <v>10</v>
      </c>
      <c r="C682" s="3" t="s">
        <v>67</v>
      </c>
      <c r="D682" s="3" t="s">
        <v>66</v>
      </c>
      <c r="E682" s="3" t="s">
        <v>64</v>
      </c>
      <c r="F682" s="3">
        <v>1987</v>
      </c>
      <c r="G682" s="3">
        <v>2</v>
      </c>
      <c r="H682" s="2">
        <v>5</v>
      </c>
      <c r="I682" s="4">
        <v>49991954</v>
      </c>
    </row>
    <row r="683" spans="1:9">
      <c r="A683" s="5">
        <v>10000682</v>
      </c>
      <c r="B683" s="3" t="s">
        <v>11</v>
      </c>
      <c r="C683" s="3" t="s">
        <v>65</v>
      </c>
      <c r="D683" s="3" t="s">
        <v>69</v>
      </c>
      <c r="E683" s="3" t="s">
        <v>64</v>
      </c>
      <c r="F683" s="3">
        <v>2006</v>
      </c>
      <c r="G683" s="3">
        <v>1</v>
      </c>
      <c r="H683" s="2">
        <v>4</v>
      </c>
      <c r="I683" s="4">
        <v>7555673</v>
      </c>
    </row>
    <row r="684" spans="1:9">
      <c r="A684" s="5">
        <v>10000683</v>
      </c>
      <c r="B684" s="3" t="s">
        <v>13</v>
      </c>
      <c r="C684" s="3" t="s">
        <v>65</v>
      </c>
      <c r="D684" s="3" t="s">
        <v>66</v>
      </c>
      <c r="E684" s="3" t="s">
        <v>64</v>
      </c>
      <c r="F684" s="3">
        <v>1987</v>
      </c>
      <c r="G684" s="3">
        <v>4</v>
      </c>
      <c r="H684" s="2">
        <v>4</v>
      </c>
      <c r="I684" s="4">
        <v>54509664</v>
      </c>
    </row>
    <row r="685" spans="1:9">
      <c r="A685" s="5">
        <v>10000684</v>
      </c>
      <c r="B685" s="3" t="s">
        <v>11</v>
      </c>
      <c r="C685" s="3" t="s">
        <v>65</v>
      </c>
      <c r="D685" s="3" t="s">
        <v>68</v>
      </c>
      <c r="E685" s="3" t="s">
        <v>64</v>
      </c>
      <c r="F685" s="3">
        <v>1981</v>
      </c>
      <c r="G685" s="3">
        <v>4</v>
      </c>
      <c r="H685" s="2">
        <v>3</v>
      </c>
      <c r="I685" s="4">
        <v>9295627</v>
      </c>
    </row>
    <row r="686" spans="1:9">
      <c r="A686" s="5">
        <v>10000685</v>
      </c>
      <c r="B686" s="3" t="s">
        <v>14</v>
      </c>
      <c r="C686" s="3" t="s">
        <v>65</v>
      </c>
      <c r="D686" s="3" t="s">
        <v>69</v>
      </c>
      <c r="E686" s="3" t="s">
        <v>62</v>
      </c>
      <c r="F686" s="3">
        <v>2022</v>
      </c>
      <c r="G686" s="3">
        <v>1</v>
      </c>
      <c r="H686" s="2">
        <v>1</v>
      </c>
      <c r="I686" s="4">
        <v>467767</v>
      </c>
    </row>
    <row r="687" spans="1:9">
      <c r="A687" s="5">
        <v>10000686</v>
      </c>
      <c r="B687" s="3" t="s">
        <v>9</v>
      </c>
      <c r="C687" s="3" t="s">
        <v>67</v>
      </c>
      <c r="D687" s="3" t="s">
        <v>69</v>
      </c>
      <c r="E687" s="3" t="s">
        <v>63</v>
      </c>
      <c r="F687" s="3">
        <v>1983</v>
      </c>
      <c r="G687" s="3">
        <v>5</v>
      </c>
      <c r="H687" s="2">
        <v>2</v>
      </c>
      <c r="I687" s="4">
        <v>6929754</v>
      </c>
    </row>
    <row r="688" spans="1:9">
      <c r="A688" s="5">
        <v>10000687</v>
      </c>
      <c r="B688" s="3" t="s">
        <v>10</v>
      </c>
      <c r="C688" s="3" t="s">
        <v>67</v>
      </c>
      <c r="D688" s="3" t="s">
        <v>68</v>
      </c>
      <c r="E688" s="3" t="s">
        <v>64</v>
      </c>
      <c r="F688" s="3">
        <v>2015</v>
      </c>
      <c r="G688" s="3">
        <v>1</v>
      </c>
      <c r="H688" s="2">
        <v>3</v>
      </c>
      <c r="I688" s="4">
        <v>14673295</v>
      </c>
    </row>
    <row r="689" spans="1:9">
      <c r="A689" s="5">
        <v>10000688</v>
      </c>
      <c r="B689" s="3" t="s">
        <v>10</v>
      </c>
      <c r="C689" s="3" t="s">
        <v>67</v>
      </c>
      <c r="D689" s="3" t="s">
        <v>66</v>
      </c>
      <c r="E689" s="3" t="s">
        <v>64</v>
      </c>
      <c r="F689" s="3">
        <v>2004</v>
      </c>
      <c r="G689" s="3">
        <v>1</v>
      </c>
      <c r="H689" s="2">
        <v>5</v>
      </c>
      <c r="I689" s="4">
        <v>58578698</v>
      </c>
    </row>
    <row r="690" spans="1:9">
      <c r="A690" s="5">
        <v>10000689</v>
      </c>
      <c r="B690" s="3" t="s">
        <v>11</v>
      </c>
      <c r="C690" s="3" t="s">
        <v>65</v>
      </c>
      <c r="D690" s="3" t="s">
        <v>68</v>
      </c>
      <c r="E690" s="3" t="s">
        <v>64</v>
      </c>
      <c r="F690" s="3">
        <v>1995</v>
      </c>
      <c r="G690" s="3">
        <v>4</v>
      </c>
      <c r="H690" s="2">
        <v>3</v>
      </c>
      <c r="I690" s="4">
        <v>15336644</v>
      </c>
    </row>
    <row r="691" spans="1:9">
      <c r="A691" s="5">
        <v>10000690</v>
      </c>
      <c r="B691" s="3" t="s">
        <v>12</v>
      </c>
      <c r="C691" s="3" t="s">
        <v>67</v>
      </c>
      <c r="D691" s="3" t="s">
        <v>69</v>
      </c>
      <c r="E691" s="3" t="s">
        <v>64</v>
      </c>
      <c r="F691" s="3">
        <v>2010</v>
      </c>
      <c r="G691" s="3">
        <v>3</v>
      </c>
      <c r="H691" s="2">
        <v>5</v>
      </c>
      <c r="I691" s="4">
        <v>3645926</v>
      </c>
    </row>
    <row r="692" spans="1:9">
      <c r="A692" s="5">
        <v>10000691</v>
      </c>
      <c r="B692" s="3" t="s">
        <v>12</v>
      </c>
      <c r="C692" s="3" t="s">
        <v>67</v>
      </c>
      <c r="D692" s="3" t="s">
        <v>66</v>
      </c>
      <c r="E692" s="3" t="s">
        <v>64</v>
      </c>
      <c r="F692" s="3">
        <v>1981</v>
      </c>
      <c r="G692" s="3">
        <v>3</v>
      </c>
      <c r="H692" s="2">
        <v>5</v>
      </c>
      <c r="I692" s="4">
        <v>37958392</v>
      </c>
    </row>
    <row r="693" spans="1:9">
      <c r="A693" s="5">
        <v>10000692</v>
      </c>
      <c r="B693" s="3" t="s">
        <v>11</v>
      </c>
      <c r="C693" s="3" t="s">
        <v>65</v>
      </c>
      <c r="D693" s="3" t="s">
        <v>69</v>
      </c>
      <c r="E693" s="3" t="s">
        <v>64</v>
      </c>
      <c r="F693" s="3">
        <v>2019</v>
      </c>
      <c r="G693" s="3">
        <v>1</v>
      </c>
      <c r="H693" s="2">
        <v>3</v>
      </c>
      <c r="I693" s="4">
        <v>3257154</v>
      </c>
    </row>
    <row r="694" spans="1:9">
      <c r="A694" s="5">
        <v>10000693</v>
      </c>
      <c r="B694" s="3" t="s">
        <v>10</v>
      </c>
      <c r="C694" s="3" t="s">
        <v>67</v>
      </c>
      <c r="D694" s="3" t="s">
        <v>68</v>
      </c>
      <c r="E694" s="3" t="s">
        <v>63</v>
      </c>
      <c r="F694" s="3">
        <v>2015</v>
      </c>
      <c r="G694" s="3">
        <v>4</v>
      </c>
      <c r="H694" s="2">
        <v>2</v>
      </c>
      <c r="I694" s="4">
        <v>12993995</v>
      </c>
    </row>
    <row r="695" spans="1:9">
      <c r="A695" s="5">
        <v>10000694</v>
      </c>
      <c r="B695" s="3" t="s">
        <v>12</v>
      </c>
      <c r="C695" s="3" t="s">
        <v>67</v>
      </c>
      <c r="D695" s="3" t="s">
        <v>69</v>
      </c>
      <c r="E695" s="3" t="s">
        <v>63</v>
      </c>
      <c r="F695" s="3">
        <v>2007</v>
      </c>
      <c r="G695" s="3">
        <v>4</v>
      </c>
      <c r="H695" s="2">
        <v>0</v>
      </c>
      <c r="I695" s="4">
        <v>2330494</v>
      </c>
    </row>
    <row r="696" spans="1:9">
      <c r="A696" s="5">
        <v>10000695</v>
      </c>
      <c r="B696" s="3" t="s">
        <v>10</v>
      </c>
      <c r="C696" s="3" t="s">
        <v>67</v>
      </c>
      <c r="D696" s="3" t="s">
        <v>66</v>
      </c>
      <c r="E696" s="3" t="s">
        <v>64</v>
      </c>
      <c r="F696" s="3">
        <v>2002</v>
      </c>
      <c r="G696" s="3">
        <v>2</v>
      </c>
      <c r="H696" s="2">
        <v>4</v>
      </c>
      <c r="I696" s="4">
        <v>49801687</v>
      </c>
    </row>
    <row r="697" spans="1:9">
      <c r="A697" s="5">
        <v>10000696</v>
      </c>
      <c r="B697" s="3" t="s">
        <v>12</v>
      </c>
      <c r="C697" s="3" t="s">
        <v>67</v>
      </c>
      <c r="D697" s="3" t="s">
        <v>68</v>
      </c>
      <c r="E697" s="3" t="s">
        <v>64</v>
      </c>
      <c r="F697" s="3">
        <v>1986</v>
      </c>
      <c r="G697" s="3">
        <v>3</v>
      </c>
      <c r="H697" s="2">
        <v>5</v>
      </c>
      <c r="I697" s="4">
        <v>21779467</v>
      </c>
    </row>
    <row r="698" spans="1:9">
      <c r="A698" s="5">
        <v>10000697</v>
      </c>
      <c r="B698" s="3" t="s">
        <v>13</v>
      </c>
      <c r="C698" s="3" t="s">
        <v>65</v>
      </c>
      <c r="D698" s="3" t="s">
        <v>68</v>
      </c>
      <c r="E698" s="3" t="s">
        <v>64</v>
      </c>
      <c r="F698" s="3">
        <v>1996</v>
      </c>
      <c r="G698" s="3">
        <v>4</v>
      </c>
      <c r="H698" s="2">
        <v>4</v>
      </c>
      <c r="I698" s="4">
        <v>17146285</v>
      </c>
    </row>
    <row r="699" spans="1:9">
      <c r="A699" s="5">
        <v>10000698</v>
      </c>
      <c r="B699" s="3" t="s">
        <v>13</v>
      </c>
      <c r="C699" s="3" t="s">
        <v>65</v>
      </c>
      <c r="D699" s="3" t="s">
        <v>68</v>
      </c>
      <c r="E699" s="3" t="s">
        <v>64</v>
      </c>
      <c r="F699" s="3">
        <v>2014</v>
      </c>
      <c r="G699" s="3">
        <v>5</v>
      </c>
      <c r="H699" s="2">
        <v>4</v>
      </c>
      <c r="I699" s="4">
        <v>25267392</v>
      </c>
    </row>
    <row r="700" spans="1:9">
      <c r="A700" s="5">
        <v>10000699</v>
      </c>
      <c r="B700" s="3" t="s">
        <v>9</v>
      </c>
      <c r="C700" s="3" t="s">
        <v>67</v>
      </c>
      <c r="D700" s="3" t="s">
        <v>69</v>
      </c>
      <c r="E700" s="3" t="s">
        <v>63</v>
      </c>
      <c r="F700" s="3">
        <v>1985</v>
      </c>
      <c r="G700" s="3">
        <v>1</v>
      </c>
      <c r="H700" s="2">
        <v>1</v>
      </c>
      <c r="I700" s="4">
        <v>3533632</v>
      </c>
    </row>
    <row r="701" spans="1:9">
      <c r="A701" s="5">
        <v>10000700</v>
      </c>
      <c r="B701" s="3" t="s">
        <v>12</v>
      </c>
      <c r="C701" s="3" t="s">
        <v>67</v>
      </c>
      <c r="D701" s="3" t="s">
        <v>69</v>
      </c>
      <c r="E701" s="3" t="s">
        <v>64</v>
      </c>
      <c r="F701" s="3">
        <v>2023</v>
      </c>
      <c r="G701" s="3">
        <v>2</v>
      </c>
      <c r="H701" s="2">
        <v>3</v>
      </c>
      <c r="I701" s="4">
        <v>3988119</v>
      </c>
    </row>
    <row r="702" spans="1:9">
      <c r="A702" s="5">
        <v>10000701</v>
      </c>
      <c r="B702" s="3" t="s">
        <v>10</v>
      </c>
      <c r="C702" s="3" t="s">
        <v>67</v>
      </c>
      <c r="D702" s="3" t="s">
        <v>69</v>
      </c>
      <c r="E702" s="3" t="s">
        <v>63</v>
      </c>
      <c r="F702" s="3">
        <v>2000</v>
      </c>
      <c r="G702" s="3">
        <v>4</v>
      </c>
      <c r="H702" s="2">
        <v>2</v>
      </c>
      <c r="I702" s="4">
        <v>200000</v>
      </c>
    </row>
    <row r="703" spans="1:9">
      <c r="A703" s="5">
        <v>10000702</v>
      </c>
      <c r="B703" s="3" t="s">
        <v>11</v>
      </c>
      <c r="C703" s="3" t="s">
        <v>65</v>
      </c>
      <c r="D703" s="3" t="s">
        <v>69</v>
      </c>
      <c r="E703" s="3" t="s">
        <v>63</v>
      </c>
      <c r="F703" s="3">
        <v>2004</v>
      </c>
      <c r="G703" s="3">
        <v>5</v>
      </c>
      <c r="H703" s="2">
        <v>1</v>
      </c>
      <c r="I703" s="4">
        <v>1709778</v>
      </c>
    </row>
    <row r="704" spans="1:9">
      <c r="A704" s="5">
        <v>10000703</v>
      </c>
      <c r="B704" s="3" t="s">
        <v>11</v>
      </c>
      <c r="C704" s="3" t="s">
        <v>65</v>
      </c>
      <c r="D704" s="3" t="s">
        <v>68</v>
      </c>
      <c r="E704" s="3" t="s">
        <v>63</v>
      </c>
      <c r="F704" s="3">
        <v>2021</v>
      </c>
      <c r="G704" s="3">
        <v>2</v>
      </c>
      <c r="H704" s="2">
        <v>1</v>
      </c>
      <c r="I704" s="4">
        <v>18948474</v>
      </c>
    </row>
    <row r="705" spans="1:9">
      <c r="A705" s="5">
        <v>10000704</v>
      </c>
      <c r="B705" s="3" t="s">
        <v>12</v>
      </c>
      <c r="C705" s="3" t="s">
        <v>67</v>
      </c>
      <c r="D705" s="3" t="s">
        <v>69</v>
      </c>
      <c r="E705" s="3" t="s">
        <v>64</v>
      </c>
      <c r="F705" s="3">
        <v>2001</v>
      </c>
      <c r="G705" s="3">
        <v>4</v>
      </c>
      <c r="H705" s="2">
        <v>3</v>
      </c>
      <c r="I705" s="4">
        <v>2838057</v>
      </c>
    </row>
    <row r="706" spans="1:9">
      <c r="A706" s="5">
        <v>10000705</v>
      </c>
      <c r="B706" s="3" t="s">
        <v>13</v>
      </c>
      <c r="C706" s="3" t="s">
        <v>65</v>
      </c>
      <c r="D706" s="3" t="s">
        <v>69</v>
      </c>
      <c r="E706" s="3" t="s">
        <v>63</v>
      </c>
      <c r="F706" s="3">
        <v>1987</v>
      </c>
      <c r="G706" s="3">
        <v>4</v>
      </c>
      <c r="H706" s="2">
        <v>0</v>
      </c>
      <c r="I706" s="4">
        <v>3603470</v>
      </c>
    </row>
    <row r="707" spans="1:9">
      <c r="A707" s="5">
        <v>10000706</v>
      </c>
      <c r="B707" s="3" t="s">
        <v>10</v>
      </c>
      <c r="C707" s="3" t="s">
        <v>67</v>
      </c>
      <c r="D707" s="3" t="s">
        <v>68</v>
      </c>
      <c r="E707" s="3" t="s">
        <v>63</v>
      </c>
      <c r="F707" s="3">
        <v>2023</v>
      </c>
      <c r="G707" s="3">
        <v>4</v>
      </c>
      <c r="H707" s="2">
        <v>0</v>
      </c>
      <c r="I707" s="4">
        <v>18128288</v>
      </c>
    </row>
    <row r="708" spans="1:9">
      <c r="A708" s="5">
        <v>10000707</v>
      </c>
      <c r="B708" s="3" t="s">
        <v>12</v>
      </c>
      <c r="C708" s="3" t="s">
        <v>67</v>
      </c>
      <c r="D708" s="3" t="s">
        <v>66</v>
      </c>
      <c r="E708" s="3" t="s">
        <v>64</v>
      </c>
      <c r="F708" s="3">
        <v>1989</v>
      </c>
      <c r="G708" s="3">
        <v>2</v>
      </c>
      <c r="H708" s="2">
        <v>3</v>
      </c>
      <c r="I708" s="4">
        <v>61240090</v>
      </c>
    </row>
    <row r="709" spans="1:9">
      <c r="A709" s="5">
        <v>10000708</v>
      </c>
      <c r="B709" s="3" t="s">
        <v>12</v>
      </c>
      <c r="C709" s="3" t="s">
        <v>67</v>
      </c>
      <c r="D709" s="3" t="s">
        <v>66</v>
      </c>
      <c r="E709" s="3" t="s">
        <v>64</v>
      </c>
      <c r="F709" s="3">
        <v>1997</v>
      </c>
      <c r="G709" s="3">
        <v>1</v>
      </c>
      <c r="H709" s="2">
        <v>3</v>
      </c>
      <c r="I709" s="4">
        <v>55175884</v>
      </c>
    </row>
    <row r="710" spans="1:9">
      <c r="A710" s="5">
        <v>10000709</v>
      </c>
      <c r="B710" s="3" t="s">
        <v>13</v>
      </c>
      <c r="C710" s="3" t="s">
        <v>65</v>
      </c>
      <c r="D710" s="3" t="s">
        <v>69</v>
      </c>
      <c r="E710" s="3" t="s">
        <v>63</v>
      </c>
      <c r="F710" s="3">
        <v>2001</v>
      </c>
      <c r="G710" s="3">
        <v>3</v>
      </c>
      <c r="H710" s="2">
        <v>2</v>
      </c>
      <c r="I710" s="4">
        <v>2914501</v>
      </c>
    </row>
    <row r="711" spans="1:9">
      <c r="A711" s="5">
        <v>10000710</v>
      </c>
      <c r="B711" s="3" t="s">
        <v>14</v>
      </c>
      <c r="C711" s="3" t="s">
        <v>65</v>
      </c>
      <c r="D711" s="3" t="s">
        <v>68</v>
      </c>
      <c r="E711" s="3" t="s">
        <v>64</v>
      </c>
      <c r="F711" s="3">
        <v>1988</v>
      </c>
      <c r="G711" s="3">
        <v>2</v>
      </c>
      <c r="H711" s="2">
        <v>5</v>
      </c>
      <c r="I711" s="4">
        <v>14942774</v>
      </c>
    </row>
    <row r="712" spans="1:9">
      <c r="A712" s="5">
        <v>10000711</v>
      </c>
      <c r="B712" s="3" t="s">
        <v>11</v>
      </c>
      <c r="C712" s="3" t="s">
        <v>65</v>
      </c>
      <c r="D712" s="3" t="s">
        <v>69</v>
      </c>
      <c r="E712" s="3" t="s">
        <v>62</v>
      </c>
      <c r="F712" s="3">
        <v>2015</v>
      </c>
      <c r="G712" s="3">
        <v>1</v>
      </c>
      <c r="H712" s="2">
        <v>0</v>
      </c>
      <c r="I712" s="4">
        <v>608527</v>
      </c>
    </row>
    <row r="713" spans="1:9">
      <c r="A713" s="5">
        <v>10000712</v>
      </c>
      <c r="B713" s="3" t="s">
        <v>10</v>
      </c>
      <c r="C713" s="3" t="s">
        <v>67</v>
      </c>
      <c r="D713" s="3" t="s">
        <v>66</v>
      </c>
      <c r="E713" s="3" t="s">
        <v>64</v>
      </c>
      <c r="F713" s="3">
        <v>1998</v>
      </c>
      <c r="G713" s="3">
        <v>1</v>
      </c>
      <c r="H713" s="2">
        <v>5</v>
      </c>
      <c r="I713" s="4">
        <v>56566549</v>
      </c>
    </row>
    <row r="714" spans="1:9">
      <c r="A714" s="5">
        <v>10000713</v>
      </c>
      <c r="B714" s="3" t="s">
        <v>13</v>
      </c>
      <c r="C714" s="3" t="s">
        <v>65</v>
      </c>
      <c r="D714" s="3" t="s">
        <v>66</v>
      </c>
      <c r="E714" s="3" t="s">
        <v>64</v>
      </c>
      <c r="F714" s="3">
        <v>1997</v>
      </c>
      <c r="G714" s="3">
        <v>2</v>
      </c>
      <c r="H714" s="2">
        <v>5</v>
      </c>
      <c r="I714" s="4">
        <v>59107602</v>
      </c>
    </row>
    <row r="715" spans="1:9">
      <c r="A715" s="5">
        <v>10000714</v>
      </c>
      <c r="B715" s="3" t="s">
        <v>10</v>
      </c>
      <c r="C715" s="3" t="s">
        <v>67</v>
      </c>
      <c r="D715" s="3" t="s">
        <v>68</v>
      </c>
      <c r="E715" s="3" t="s">
        <v>64</v>
      </c>
      <c r="F715" s="3">
        <v>2024</v>
      </c>
      <c r="G715" s="3">
        <v>4</v>
      </c>
      <c r="H715" s="2">
        <v>3</v>
      </c>
      <c r="I715" s="4">
        <v>9529153</v>
      </c>
    </row>
    <row r="716" spans="1:9">
      <c r="A716" s="5">
        <v>10000715</v>
      </c>
      <c r="B716" s="3" t="s">
        <v>13</v>
      </c>
      <c r="C716" s="3" t="s">
        <v>65</v>
      </c>
      <c r="D716" s="3" t="s">
        <v>68</v>
      </c>
      <c r="E716" s="3" t="s">
        <v>64</v>
      </c>
      <c r="F716" s="3">
        <v>1993</v>
      </c>
      <c r="G716" s="3">
        <v>3</v>
      </c>
      <c r="H716" s="2">
        <v>3</v>
      </c>
      <c r="I716" s="4">
        <v>20203465</v>
      </c>
    </row>
    <row r="717" spans="1:9">
      <c r="A717" s="5">
        <v>10000716</v>
      </c>
      <c r="B717" s="3" t="s">
        <v>10</v>
      </c>
      <c r="C717" s="3" t="s">
        <v>67</v>
      </c>
      <c r="D717" s="3" t="s">
        <v>66</v>
      </c>
      <c r="E717" s="3" t="s">
        <v>64</v>
      </c>
      <c r="F717" s="3">
        <v>1985</v>
      </c>
      <c r="G717" s="3">
        <v>3</v>
      </c>
      <c r="H717" s="2">
        <v>3</v>
      </c>
      <c r="I717" s="4">
        <v>49001012</v>
      </c>
    </row>
    <row r="718" spans="1:9">
      <c r="A718" s="5">
        <v>10000717</v>
      </c>
      <c r="B718" s="3" t="s">
        <v>14</v>
      </c>
      <c r="C718" s="3" t="s">
        <v>65</v>
      </c>
      <c r="D718" s="3" t="s">
        <v>68</v>
      </c>
      <c r="E718" s="3" t="s">
        <v>63</v>
      </c>
      <c r="F718" s="3">
        <v>2024</v>
      </c>
      <c r="G718" s="3">
        <v>3</v>
      </c>
      <c r="H718" s="2">
        <v>1</v>
      </c>
      <c r="I718" s="4">
        <v>13126328</v>
      </c>
    </row>
    <row r="719" spans="1:9">
      <c r="A719" s="5">
        <v>10000718</v>
      </c>
      <c r="B719" s="3" t="s">
        <v>9</v>
      </c>
      <c r="C719" s="3" t="s">
        <v>67</v>
      </c>
      <c r="D719" s="3" t="s">
        <v>66</v>
      </c>
      <c r="E719" s="3" t="s">
        <v>64</v>
      </c>
      <c r="F719" s="3">
        <v>2021</v>
      </c>
      <c r="G719" s="3">
        <v>1</v>
      </c>
      <c r="H719" s="2">
        <v>5</v>
      </c>
      <c r="I719" s="4">
        <v>48730044</v>
      </c>
    </row>
    <row r="720" spans="1:9">
      <c r="A720" s="5">
        <v>10000719</v>
      </c>
      <c r="B720" s="3" t="s">
        <v>13</v>
      </c>
      <c r="C720" s="3" t="s">
        <v>65</v>
      </c>
      <c r="D720" s="3" t="s">
        <v>68</v>
      </c>
      <c r="E720" s="3" t="s">
        <v>63</v>
      </c>
      <c r="F720" s="3">
        <v>1982</v>
      </c>
      <c r="G720" s="3">
        <v>5</v>
      </c>
      <c r="H720" s="2">
        <v>0</v>
      </c>
      <c r="I720" s="4">
        <v>18265642</v>
      </c>
    </row>
    <row r="721" spans="1:9">
      <c r="A721" s="5">
        <v>10000720</v>
      </c>
      <c r="B721" s="3" t="s">
        <v>11</v>
      </c>
      <c r="C721" s="3" t="s">
        <v>65</v>
      </c>
      <c r="D721" s="3" t="s">
        <v>68</v>
      </c>
      <c r="E721" s="3" t="s">
        <v>64</v>
      </c>
      <c r="F721" s="3">
        <v>1987</v>
      </c>
      <c r="G721" s="3">
        <v>2</v>
      </c>
      <c r="H721" s="2">
        <v>4</v>
      </c>
      <c r="I721" s="4">
        <v>17134816</v>
      </c>
    </row>
    <row r="722" spans="1:9">
      <c r="A722" s="5">
        <v>10000721</v>
      </c>
      <c r="B722" s="3" t="s">
        <v>13</v>
      </c>
      <c r="C722" s="3" t="s">
        <v>65</v>
      </c>
      <c r="D722" s="3" t="s">
        <v>69</v>
      </c>
      <c r="E722" s="3" t="s">
        <v>62</v>
      </c>
      <c r="F722" s="3">
        <v>1994</v>
      </c>
      <c r="G722" s="3">
        <v>1</v>
      </c>
      <c r="H722" s="2">
        <v>2</v>
      </c>
      <c r="I722" s="4">
        <v>674144</v>
      </c>
    </row>
    <row r="723" spans="1:9">
      <c r="A723" s="5">
        <v>10000722</v>
      </c>
      <c r="B723" s="3" t="s">
        <v>12</v>
      </c>
      <c r="C723" s="3" t="s">
        <v>67</v>
      </c>
      <c r="D723" s="3" t="s">
        <v>66</v>
      </c>
      <c r="E723" s="3" t="s">
        <v>64</v>
      </c>
      <c r="F723" s="3">
        <v>1984</v>
      </c>
      <c r="G723" s="3">
        <v>2</v>
      </c>
      <c r="H723" s="2">
        <v>5</v>
      </c>
      <c r="I723" s="4">
        <v>58114957</v>
      </c>
    </row>
    <row r="724" spans="1:9">
      <c r="A724" s="5">
        <v>10000723</v>
      </c>
      <c r="B724" s="3" t="s">
        <v>12</v>
      </c>
      <c r="C724" s="3" t="s">
        <v>67</v>
      </c>
      <c r="D724" s="3" t="s">
        <v>66</v>
      </c>
      <c r="E724" s="3" t="s">
        <v>64</v>
      </c>
      <c r="F724" s="3">
        <v>1987</v>
      </c>
      <c r="G724" s="3">
        <v>3</v>
      </c>
      <c r="H724" s="2">
        <v>4</v>
      </c>
      <c r="I724" s="4">
        <v>55738862</v>
      </c>
    </row>
    <row r="725" spans="1:9">
      <c r="A725" s="5">
        <v>10000724</v>
      </c>
      <c r="B725" s="3" t="s">
        <v>13</v>
      </c>
      <c r="C725" s="3" t="s">
        <v>65</v>
      </c>
      <c r="D725" s="3" t="s">
        <v>69</v>
      </c>
      <c r="E725" s="3" t="s">
        <v>62</v>
      </c>
      <c r="F725" s="3">
        <v>2002</v>
      </c>
      <c r="G725" s="3">
        <v>1</v>
      </c>
      <c r="H725" s="2">
        <v>0</v>
      </c>
      <c r="I725" s="4">
        <v>450826</v>
      </c>
    </row>
    <row r="726" spans="1:9">
      <c r="A726" s="5">
        <v>10000725</v>
      </c>
      <c r="B726" s="3" t="s">
        <v>12</v>
      </c>
      <c r="C726" s="3" t="s">
        <v>67</v>
      </c>
      <c r="D726" s="3" t="s">
        <v>69</v>
      </c>
      <c r="E726" s="3" t="s">
        <v>63</v>
      </c>
      <c r="F726" s="3">
        <v>1992</v>
      </c>
      <c r="G726" s="3">
        <v>4</v>
      </c>
      <c r="H726" s="2">
        <v>1</v>
      </c>
      <c r="I726" s="4">
        <v>2648422</v>
      </c>
    </row>
    <row r="727" spans="1:9">
      <c r="A727" s="5">
        <v>10000726</v>
      </c>
      <c r="B727" s="3" t="s">
        <v>9</v>
      </c>
      <c r="C727" s="3" t="s">
        <v>67</v>
      </c>
      <c r="D727" s="3" t="s">
        <v>68</v>
      </c>
      <c r="E727" s="3" t="s">
        <v>63</v>
      </c>
      <c r="F727" s="3">
        <v>2014</v>
      </c>
      <c r="G727" s="3">
        <v>4</v>
      </c>
      <c r="H727" s="2">
        <v>0</v>
      </c>
      <c r="I727" s="4">
        <v>8646490</v>
      </c>
    </row>
    <row r="728" spans="1:9">
      <c r="A728" s="5">
        <v>10000727</v>
      </c>
      <c r="B728" s="3" t="s">
        <v>11</v>
      </c>
      <c r="C728" s="3" t="s">
        <v>65</v>
      </c>
      <c r="D728" s="3" t="s">
        <v>68</v>
      </c>
      <c r="E728" s="3" t="s">
        <v>64</v>
      </c>
      <c r="F728" s="3">
        <v>2006</v>
      </c>
      <c r="G728" s="3">
        <v>5</v>
      </c>
      <c r="H728" s="2">
        <v>3</v>
      </c>
      <c r="I728" s="4">
        <v>10405343</v>
      </c>
    </row>
    <row r="729" spans="1:9">
      <c r="A729" s="5">
        <v>10000728</v>
      </c>
      <c r="B729" s="3" t="s">
        <v>12</v>
      </c>
      <c r="C729" s="3" t="s">
        <v>67</v>
      </c>
      <c r="D729" s="3" t="s">
        <v>69</v>
      </c>
      <c r="E729" s="3" t="s">
        <v>63</v>
      </c>
      <c r="F729" s="3">
        <v>2003</v>
      </c>
      <c r="G729" s="3">
        <v>4</v>
      </c>
      <c r="H729" s="2">
        <v>0</v>
      </c>
      <c r="I729" s="4">
        <v>6484693</v>
      </c>
    </row>
    <row r="730" spans="1:9">
      <c r="A730" s="5">
        <v>10000729</v>
      </c>
      <c r="B730" s="3" t="s">
        <v>10</v>
      </c>
      <c r="C730" s="3" t="s">
        <v>67</v>
      </c>
      <c r="D730" s="3" t="s">
        <v>69</v>
      </c>
      <c r="E730" s="3" t="s">
        <v>64</v>
      </c>
      <c r="F730" s="3">
        <v>2010</v>
      </c>
      <c r="G730" s="3">
        <v>4</v>
      </c>
      <c r="H730" s="2">
        <v>3</v>
      </c>
      <c r="I730" s="4">
        <v>4010840</v>
      </c>
    </row>
    <row r="731" spans="1:9">
      <c r="A731" s="5">
        <v>10000730</v>
      </c>
      <c r="B731" s="3" t="s">
        <v>9</v>
      </c>
      <c r="C731" s="3" t="s">
        <v>67</v>
      </c>
      <c r="D731" s="3" t="s">
        <v>69</v>
      </c>
      <c r="E731" s="3" t="s">
        <v>62</v>
      </c>
      <c r="F731" s="3">
        <v>1985</v>
      </c>
      <c r="G731" s="3">
        <v>1</v>
      </c>
      <c r="H731" s="2">
        <v>1</v>
      </c>
      <c r="I731" s="4">
        <v>747820</v>
      </c>
    </row>
    <row r="732" spans="1:9">
      <c r="A732" s="5">
        <v>10000731</v>
      </c>
      <c r="B732" s="3" t="s">
        <v>12</v>
      </c>
      <c r="C732" s="3" t="s">
        <v>67</v>
      </c>
      <c r="D732" s="3" t="s">
        <v>68</v>
      </c>
      <c r="E732" s="3" t="s">
        <v>63</v>
      </c>
      <c r="F732" s="3">
        <v>2013</v>
      </c>
      <c r="G732" s="3">
        <v>3</v>
      </c>
      <c r="H732" s="2">
        <v>2</v>
      </c>
      <c r="I732" s="4">
        <v>12092494</v>
      </c>
    </row>
    <row r="733" spans="1:9">
      <c r="A733" s="5">
        <v>10000732</v>
      </c>
      <c r="B733" s="3" t="s">
        <v>14</v>
      </c>
      <c r="C733" s="3" t="s">
        <v>65</v>
      </c>
      <c r="D733" s="3" t="s">
        <v>69</v>
      </c>
      <c r="E733" s="3" t="s">
        <v>63</v>
      </c>
      <c r="F733" s="3">
        <v>2010</v>
      </c>
      <c r="G733" s="3">
        <v>3</v>
      </c>
      <c r="H733" s="2">
        <v>1</v>
      </c>
      <c r="I733" s="4">
        <v>3505574</v>
      </c>
    </row>
    <row r="734" spans="1:9">
      <c r="A734" s="5">
        <v>10000733</v>
      </c>
      <c r="B734" s="3" t="s">
        <v>14</v>
      </c>
      <c r="C734" s="3" t="s">
        <v>65</v>
      </c>
      <c r="D734" s="3" t="s">
        <v>68</v>
      </c>
      <c r="E734" s="3" t="s">
        <v>63</v>
      </c>
      <c r="F734" s="3">
        <v>2018</v>
      </c>
      <c r="G734" s="3">
        <v>2</v>
      </c>
      <c r="H734" s="2">
        <v>0</v>
      </c>
      <c r="I734" s="4">
        <v>22165505</v>
      </c>
    </row>
    <row r="735" spans="1:9">
      <c r="A735" s="5">
        <v>10000734</v>
      </c>
      <c r="B735" s="3" t="s">
        <v>9</v>
      </c>
      <c r="C735" s="3" t="s">
        <v>67</v>
      </c>
      <c r="D735" s="3" t="s">
        <v>68</v>
      </c>
      <c r="E735" s="3" t="s">
        <v>63</v>
      </c>
      <c r="F735" s="3">
        <v>2004</v>
      </c>
      <c r="G735" s="3">
        <v>5</v>
      </c>
      <c r="H735" s="2">
        <v>0</v>
      </c>
      <c r="I735" s="4">
        <v>14687379</v>
      </c>
    </row>
    <row r="736" spans="1:9">
      <c r="A736" s="5">
        <v>10000735</v>
      </c>
      <c r="B736" s="3" t="s">
        <v>12</v>
      </c>
      <c r="C736" s="3" t="s">
        <v>67</v>
      </c>
      <c r="D736" s="3" t="s">
        <v>68</v>
      </c>
      <c r="E736" s="3" t="s">
        <v>64</v>
      </c>
      <c r="F736" s="3">
        <v>2022</v>
      </c>
      <c r="G736" s="3">
        <v>1</v>
      </c>
      <c r="H736" s="2">
        <v>4</v>
      </c>
      <c r="I736" s="4">
        <v>16237909</v>
      </c>
    </row>
    <row r="737" spans="1:9">
      <c r="A737" s="5">
        <v>10000736</v>
      </c>
      <c r="B737" s="3" t="s">
        <v>12</v>
      </c>
      <c r="C737" s="3" t="s">
        <v>67</v>
      </c>
      <c r="D737" s="3" t="s">
        <v>68</v>
      </c>
      <c r="E737" s="3" t="s">
        <v>63</v>
      </c>
      <c r="F737" s="3">
        <v>2011</v>
      </c>
      <c r="G737" s="3">
        <v>3</v>
      </c>
      <c r="H737" s="2">
        <v>2</v>
      </c>
      <c r="I737" s="4">
        <v>14801117</v>
      </c>
    </row>
    <row r="738" spans="1:9">
      <c r="A738" s="5">
        <v>10000737</v>
      </c>
      <c r="B738" s="3" t="s">
        <v>10</v>
      </c>
      <c r="C738" s="3" t="s">
        <v>67</v>
      </c>
      <c r="D738" s="3" t="s">
        <v>68</v>
      </c>
      <c r="E738" s="3" t="s">
        <v>64</v>
      </c>
      <c r="F738" s="3">
        <v>1996</v>
      </c>
      <c r="G738" s="3">
        <v>2</v>
      </c>
      <c r="H738" s="2">
        <v>5</v>
      </c>
      <c r="I738" s="4">
        <v>21700407</v>
      </c>
    </row>
    <row r="739" spans="1:9">
      <c r="A739" s="5">
        <v>10000738</v>
      </c>
      <c r="B739" s="3" t="s">
        <v>14</v>
      </c>
      <c r="C739" s="3" t="s">
        <v>65</v>
      </c>
      <c r="D739" s="3" t="s">
        <v>68</v>
      </c>
      <c r="E739" s="3" t="s">
        <v>64</v>
      </c>
      <c r="F739" s="3">
        <v>1991</v>
      </c>
      <c r="G739" s="3">
        <v>3</v>
      </c>
      <c r="H739" s="2">
        <v>3</v>
      </c>
      <c r="I739" s="4">
        <v>19287599</v>
      </c>
    </row>
    <row r="740" spans="1:9">
      <c r="A740" s="5">
        <v>10000739</v>
      </c>
      <c r="B740" s="3" t="s">
        <v>9</v>
      </c>
      <c r="C740" s="3" t="s">
        <v>67</v>
      </c>
      <c r="D740" s="3" t="s">
        <v>69</v>
      </c>
      <c r="E740" s="3" t="s">
        <v>64</v>
      </c>
      <c r="F740" s="3">
        <v>2006</v>
      </c>
      <c r="G740" s="3">
        <v>1</v>
      </c>
      <c r="H740" s="2">
        <v>5</v>
      </c>
      <c r="I740" s="4">
        <v>3643380</v>
      </c>
    </row>
    <row r="741" spans="1:9">
      <c r="A741" s="5">
        <v>10000740</v>
      </c>
      <c r="B741" s="3" t="s">
        <v>10</v>
      </c>
      <c r="C741" s="3" t="s">
        <v>67</v>
      </c>
      <c r="D741" s="3" t="s">
        <v>68</v>
      </c>
      <c r="E741" s="3" t="s">
        <v>63</v>
      </c>
      <c r="F741" s="3">
        <v>1992</v>
      </c>
      <c r="G741" s="3">
        <v>2</v>
      </c>
      <c r="H741" s="2">
        <v>2</v>
      </c>
      <c r="I741" s="4">
        <v>16718936</v>
      </c>
    </row>
    <row r="742" spans="1:9">
      <c r="A742" s="5">
        <v>10000741</v>
      </c>
      <c r="B742" s="3" t="s">
        <v>9</v>
      </c>
      <c r="C742" s="3" t="s">
        <v>67</v>
      </c>
      <c r="D742" s="3" t="s">
        <v>69</v>
      </c>
      <c r="E742" s="3" t="s">
        <v>64</v>
      </c>
      <c r="F742" s="3">
        <v>2001</v>
      </c>
      <c r="G742" s="3">
        <v>2</v>
      </c>
      <c r="H742" s="2">
        <v>3</v>
      </c>
      <c r="I742" s="4">
        <v>4020357</v>
      </c>
    </row>
    <row r="743" spans="1:9">
      <c r="A743" s="5">
        <v>10000742</v>
      </c>
      <c r="B743" s="3" t="s">
        <v>9</v>
      </c>
      <c r="C743" s="3" t="s">
        <v>67</v>
      </c>
      <c r="D743" s="3" t="s">
        <v>66</v>
      </c>
      <c r="E743" s="3" t="s">
        <v>64</v>
      </c>
      <c r="F743" s="3">
        <v>2000</v>
      </c>
      <c r="G743" s="3">
        <v>2</v>
      </c>
      <c r="H743" s="2">
        <v>4</v>
      </c>
      <c r="I743" s="4">
        <v>52420179</v>
      </c>
    </row>
    <row r="744" spans="1:9">
      <c r="A744" s="5">
        <v>10000743</v>
      </c>
      <c r="B744" s="3" t="s">
        <v>9</v>
      </c>
      <c r="C744" s="3" t="s">
        <v>67</v>
      </c>
      <c r="D744" s="3" t="s">
        <v>66</v>
      </c>
      <c r="E744" s="3" t="s">
        <v>64</v>
      </c>
      <c r="F744" s="3">
        <v>1996</v>
      </c>
      <c r="G744" s="3">
        <v>1</v>
      </c>
      <c r="H744" s="2">
        <v>5</v>
      </c>
      <c r="I744" s="4">
        <v>41691115</v>
      </c>
    </row>
    <row r="745" spans="1:9">
      <c r="A745" s="5">
        <v>10000744</v>
      </c>
      <c r="B745" s="3" t="s">
        <v>12</v>
      </c>
      <c r="C745" s="3" t="s">
        <v>67</v>
      </c>
      <c r="D745" s="3" t="s">
        <v>66</v>
      </c>
      <c r="E745" s="3" t="s">
        <v>64</v>
      </c>
      <c r="F745" s="3">
        <v>1992</v>
      </c>
      <c r="G745" s="3">
        <v>3</v>
      </c>
      <c r="H745" s="2">
        <v>3</v>
      </c>
      <c r="I745" s="4">
        <v>58096474</v>
      </c>
    </row>
    <row r="746" spans="1:9">
      <c r="A746" s="5">
        <v>10000745</v>
      </c>
      <c r="B746" s="3" t="s">
        <v>9</v>
      </c>
      <c r="C746" s="3" t="s">
        <v>67</v>
      </c>
      <c r="D746" s="3" t="s">
        <v>66</v>
      </c>
      <c r="E746" s="3" t="s">
        <v>64</v>
      </c>
      <c r="F746" s="3">
        <v>2005</v>
      </c>
      <c r="G746" s="3">
        <v>5</v>
      </c>
      <c r="H746" s="2">
        <v>3</v>
      </c>
      <c r="I746" s="4">
        <v>64473404</v>
      </c>
    </row>
    <row r="747" spans="1:9">
      <c r="A747" s="5">
        <v>10000746</v>
      </c>
      <c r="B747" s="3" t="s">
        <v>12</v>
      </c>
      <c r="C747" s="3" t="s">
        <v>67</v>
      </c>
      <c r="D747" s="3" t="s">
        <v>66</v>
      </c>
      <c r="E747" s="3" t="s">
        <v>64</v>
      </c>
      <c r="F747" s="3">
        <v>2018</v>
      </c>
      <c r="G747" s="3">
        <v>1</v>
      </c>
      <c r="H747" s="2">
        <v>4</v>
      </c>
      <c r="I747" s="4">
        <v>51230571</v>
      </c>
    </row>
    <row r="748" spans="1:9">
      <c r="A748" s="5">
        <v>10000747</v>
      </c>
      <c r="B748" s="3" t="s">
        <v>11</v>
      </c>
      <c r="C748" s="3" t="s">
        <v>65</v>
      </c>
      <c r="D748" s="3" t="s">
        <v>68</v>
      </c>
      <c r="E748" s="3" t="s">
        <v>63</v>
      </c>
      <c r="F748" s="3">
        <v>1981</v>
      </c>
      <c r="G748" s="3">
        <v>3</v>
      </c>
      <c r="H748" s="2">
        <v>2</v>
      </c>
      <c r="I748" s="4">
        <v>13663903</v>
      </c>
    </row>
    <row r="749" spans="1:9">
      <c r="A749" s="5">
        <v>10000748</v>
      </c>
      <c r="B749" s="3" t="s">
        <v>12</v>
      </c>
      <c r="C749" s="3" t="s">
        <v>67</v>
      </c>
      <c r="D749" s="3" t="s">
        <v>68</v>
      </c>
      <c r="E749" s="3" t="s">
        <v>64</v>
      </c>
      <c r="F749" s="3">
        <v>2018</v>
      </c>
      <c r="G749" s="3">
        <v>5</v>
      </c>
      <c r="H749" s="2">
        <v>5</v>
      </c>
      <c r="I749" s="4">
        <v>5879608</v>
      </c>
    </row>
    <row r="750" spans="1:9">
      <c r="A750" s="5">
        <v>10000749</v>
      </c>
      <c r="B750" s="3" t="s">
        <v>12</v>
      </c>
      <c r="C750" s="3" t="s">
        <v>67</v>
      </c>
      <c r="D750" s="3" t="s">
        <v>69</v>
      </c>
      <c r="E750" s="3" t="s">
        <v>64</v>
      </c>
      <c r="F750" s="3">
        <v>1983</v>
      </c>
      <c r="G750" s="3">
        <v>3</v>
      </c>
      <c r="H750" s="2">
        <v>5</v>
      </c>
      <c r="I750" s="4">
        <v>4104759</v>
      </c>
    </row>
    <row r="751" spans="1:9">
      <c r="A751" s="5">
        <v>10000750</v>
      </c>
      <c r="B751" s="3" t="s">
        <v>11</v>
      </c>
      <c r="C751" s="3" t="s">
        <v>65</v>
      </c>
      <c r="D751" s="3" t="s">
        <v>66</v>
      </c>
      <c r="E751" s="3" t="s">
        <v>64</v>
      </c>
      <c r="F751" s="3">
        <v>1991</v>
      </c>
      <c r="G751" s="3">
        <v>4</v>
      </c>
      <c r="H751" s="2">
        <v>5</v>
      </c>
      <c r="I751" s="4">
        <v>42916379</v>
      </c>
    </row>
    <row r="752" spans="1:9">
      <c r="A752" s="5">
        <v>10000751</v>
      </c>
      <c r="B752" s="3" t="s">
        <v>9</v>
      </c>
      <c r="C752" s="3" t="s">
        <v>67</v>
      </c>
      <c r="D752" s="3" t="s">
        <v>69</v>
      </c>
      <c r="E752" s="3" t="s">
        <v>63</v>
      </c>
      <c r="F752" s="3">
        <v>1985</v>
      </c>
      <c r="G752" s="3">
        <v>4</v>
      </c>
      <c r="H752" s="2">
        <v>0</v>
      </c>
      <c r="I752" s="4">
        <v>6062539</v>
      </c>
    </row>
    <row r="753" spans="1:9">
      <c r="A753" s="5">
        <v>10000752</v>
      </c>
      <c r="B753" s="3" t="s">
        <v>14</v>
      </c>
      <c r="C753" s="3" t="s">
        <v>65</v>
      </c>
      <c r="D753" s="3" t="s">
        <v>69</v>
      </c>
      <c r="E753" s="3" t="s">
        <v>62</v>
      </c>
      <c r="F753" s="3">
        <v>1996</v>
      </c>
      <c r="G753" s="3">
        <v>1</v>
      </c>
      <c r="H753" s="2">
        <v>2</v>
      </c>
      <c r="I753" s="4">
        <v>398781</v>
      </c>
    </row>
    <row r="754" spans="1:9">
      <c r="A754" s="5">
        <v>10000753</v>
      </c>
      <c r="B754" s="3" t="s">
        <v>11</v>
      </c>
      <c r="C754" s="3" t="s">
        <v>65</v>
      </c>
      <c r="D754" s="3" t="s">
        <v>66</v>
      </c>
      <c r="E754" s="3" t="s">
        <v>64</v>
      </c>
      <c r="F754" s="3">
        <v>2011</v>
      </c>
      <c r="G754" s="3">
        <v>4</v>
      </c>
      <c r="H754" s="2">
        <v>3</v>
      </c>
      <c r="I754" s="4">
        <v>36863701</v>
      </c>
    </row>
    <row r="755" spans="1:9">
      <c r="A755" s="5">
        <v>10000754</v>
      </c>
      <c r="B755" s="3" t="s">
        <v>13</v>
      </c>
      <c r="C755" s="3" t="s">
        <v>65</v>
      </c>
      <c r="D755" s="3" t="s">
        <v>66</v>
      </c>
      <c r="E755" s="3" t="s">
        <v>64</v>
      </c>
      <c r="F755" s="3">
        <v>2015</v>
      </c>
      <c r="G755" s="3">
        <v>1</v>
      </c>
      <c r="H755" s="2">
        <v>4</v>
      </c>
      <c r="I755" s="4">
        <v>36019402</v>
      </c>
    </row>
    <row r="756" spans="1:9">
      <c r="A756" s="5">
        <v>10000755</v>
      </c>
      <c r="B756" s="3" t="s">
        <v>10</v>
      </c>
      <c r="C756" s="3" t="s">
        <v>67</v>
      </c>
      <c r="D756" s="3" t="s">
        <v>68</v>
      </c>
      <c r="E756" s="3" t="s">
        <v>64</v>
      </c>
      <c r="F756" s="3">
        <v>1985</v>
      </c>
      <c r="G756" s="3">
        <v>5</v>
      </c>
      <c r="H756" s="2">
        <v>5</v>
      </c>
      <c r="I756" s="4">
        <v>16852188</v>
      </c>
    </row>
    <row r="757" spans="1:9">
      <c r="A757" s="5">
        <v>10000756</v>
      </c>
      <c r="B757" s="3" t="s">
        <v>14</v>
      </c>
      <c r="C757" s="3" t="s">
        <v>65</v>
      </c>
      <c r="D757" s="3" t="s">
        <v>68</v>
      </c>
      <c r="E757" s="3" t="s">
        <v>63</v>
      </c>
      <c r="F757" s="3">
        <v>1997</v>
      </c>
      <c r="G757" s="3">
        <v>3</v>
      </c>
      <c r="H757" s="2">
        <v>1</v>
      </c>
      <c r="I757" s="4">
        <v>17950260</v>
      </c>
    </row>
    <row r="758" spans="1:9">
      <c r="A758" s="5">
        <v>10000757</v>
      </c>
      <c r="B758" s="3" t="s">
        <v>11</v>
      </c>
      <c r="C758" s="3" t="s">
        <v>65</v>
      </c>
      <c r="D758" s="3" t="s">
        <v>69</v>
      </c>
      <c r="E758" s="3" t="s">
        <v>62</v>
      </c>
      <c r="F758" s="3">
        <v>1999</v>
      </c>
      <c r="G758" s="3">
        <v>1</v>
      </c>
      <c r="H758" s="2">
        <v>2</v>
      </c>
      <c r="I758" s="4">
        <v>488724</v>
      </c>
    </row>
    <row r="759" spans="1:9">
      <c r="A759" s="5">
        <v>10000758</v>
      </c>
      <c r="B759" s="3" t="s">
        <v>9</v>
      </c>
      <c r="C759" s="3" t="s">
        <v>67</v>
      </c>
      <c r="D759" s="3" t="s">
        <v>68</v>
      </c>
      <c r="E759" s="3" t="s">
        <v>64</v>
      </c>
      <c r="F759" s="3">
        <v>1983</v>
      </c>
      <c r="G759" s="3">
        <v>2</v>
      </c>
      <c r="H759" s="2">
        <v>5</v>
      </c>
      <c r="I759" s="4">
        <v>17436441</v>
      </c>
    </row>
    <row r="760" spans="1:9">
      <c r="A760" s="5">
        <v>10000759</v>
      </c>
      <c r="B760" s="3" t="s">
        <v>14</v>
      </c>
      <c r="C760" s="3" t="s">
        <v>65</v>
      </c>
      <c r="D760" s="3" t="s">
        <v>69</v>
      </c>
      <c r="E760" s="3" t="s">
        <v>62</v>
      </c>
      <c r="F760" s="3">
        <v>2015</v>
      </c>
      <c r="G760" s="3">
        <v>1</v>
      </c>
      <c r="H760" s="2">
        <v>2</v>
      </c>
      <c r="I760" s="4">
        <v>538231</v>
      </c>
    </row>
    <row r="761" spans="1:9">
      <c r="A761" s="5">
        <v>10000760</v>
      </c>
      <c r="B761" s="3" t="s">
        <v>9</v>
      </c>
      <c r="C761" s="3" t="s">
        <v>67</v>
      </c>
      <c r="D761" s="3" t="s">
        <v>68</v>
      </c>
      <c r="E761" s="3" t="s">
        <v>63</v>
      </c>
      <c r="F761" s="3">
        <v>2018</v>
      </c>
      <c r="G761" s="3">
        <v>2</v>
      </c>
      <c r="H761" s="2">
        <v>2</v>
      </c>
      <c r="I761" s="4">
        <v>12746441</v>
      </c>
    </row>
    <row r="762" spans="1:9">
      <c r="A762" s="5">
        <v>10000761</v>
      </c>
      <c r="B762" s="3" t="s">
        <v>10</v>
      </c>
      <c r="C762" s="3" t="s">
        <v>67</v>
      </c>
      <c r="D762" s="3" t="s">
        <v>66</v>
      </c>
      <c r="E762" s="3" t="s">
        <v>64</v>
      </c>
      <c r="F762" s="3">
        <v>2003</v>
      </c>
      <c r="G762" s="3">
        <v>1</v>
      </c>
      <c r="H762" s="2">
        <v>5</v>
      </c>
      <c r="I762" s="4">
        <v>46890328</v>
      </c>
    </row>
    <row r="763" spans="1:9">
      <c r="A763" s="5">
        <v>10000762</v>
      </c>
      <c r="B763" s="3" t="s">
        <v>12</v>
      </c>
      <c r="C763" s="3" t="s">
        <v>67</v>
      </c>
      <c r="D763" s="3" t="s">
        <v>68</v>
      </c>
      <c r="E763" s="3" t="s">
        <v>64</v>
      </c>
      <c r="F763" s="3">
        <v>1998</v>
      </c>
      <c r="G763" s="3">
        <v>2</v>
      </c>
      <c r="H763" s="2">
        <v>5</v>
      </c>
      <c r="I763" s="4">
        <v>19703599</v>
      </c>
    </row>
    <row r="764" spans="1:9">
      <c r="A764" s="5">
        <v>10000763</v>
      </c>
      <c r="B764" s="3" t="s">
        <v>13</v>
      </c>
      <c r="C764" s="3" t="s">
        <v>65</v>
      </c>
      <c r="D764" s="3" t="s">
        <v>68</v>
      </c>
      <c r="E764" s="3" t="s">
        <v>63</v>
      </c>
      <c r="F764" s="3">
        <v>2008</v>
      </c>
      <c r="G764" s="3">
        <v>4</v>
      </c>
      <c r="H764" s="2">
        <v>1</v>
      </c>
      <c r="I764" s="4">
        <v>19847539</v>
      </c>
    </row>
    <row r="765" spans="1:9">
      <c r="A765" s="5">
        <v>10000764</v>
      </c>
      <c r="B765" s="3" t="s">
        <v>12</v>
      </c>
      <c r="C765" s="3" t="s">
        <v>67</v>
      </c>
      <c r="D765" s="3" t="s">
        <v>66</v>
      </c>
      <c r="E765" s="3" t="s">
        <v>64</v>
      </c>
      <c r="F765" s="3">
        <v>2003</v>
      </c>
      <c r="G765" s="3">
        <v>5</v>
      </c>
      <c r="H765" s="2">
        <v>4</v>
      </c>
      <c r="I765" s="4">
        <v>67463137</v>
      </c>
    </row>
    <row r="766" spans="1:9">
      <c r="A766" s="5">
        <v>10000765</v>
      </c>
      <c r="B766" s="3" t="s">
        <v>12</v>
      </c>
      <c r="C766" s="3" t="s">
        <v>67</v>
      </c>
      <c r="D766" s="3" t="s">
        <v>66</v>
      </c>
      <c r="E766" s="3" t="s">
        <v>64</v>
      </c>
      <c r="F766" s="3">
        <v>2001</v>
      </c>
      <c r="G766" s="3">
        <v>4</v>
      </c>
      <c r="H766" s="2">
        <v>4</v>
      </c>
      <c r="I766" s="4">
        <v>43845211</v>
      </c>
    </row>
    <row r="767" spans="1:9">
      <c r="A767" s="5">
        <v>10000766</v>
      </c>
      <c r="B767" s="3" t="s">
        <v>12</v>
      </c>
      <c r="C767" s="3" t="s">
        <v>67</v>
      </c>
      <c r="D767" s="3" t="s">
        <v>68</v>
      </c>
      <c r="E767" s="3" t="s">
        <v>63</v>
      </c>
      <c r="F767" s="3">
        <v>2016</v>
      </c>
      <c r="G767" s="3">
        <v>2</v>
      </c>
      <c r="H767" s="2">
        <v>0</v>
      </c>
      <c r="I767" s="4">
        <v>12830071</v>
      </c>
    </row>
    <row r="768" spans="1:9">
      <c r="A768" s="5">
        <v>10000767</v>
      </c>
      <c r="B768" s="3" t="s">
        <v>11</v>
      </c>
      <c r="C768" s="3" t="s">
        <v>65</v>
      </c>
      <c r="D768" s="3" t="s">
        <v>69</v>
      </c>
      <c r="E768" s="3" t="s">
        <v>62</v>
      </c>
      <c r="F768" s="3">
        <v>1983</v>
      </c>
      <c r="G768" s="3">
        <v>1</v>
      </c>
      <c r="H768" s="2">
        <v>1</v>
      </c>
      <c r="I768" s="4">
        <v>546959</v>
      </c>
    </row>
    <row r="769" spans="1:9">
      <c r="A769" s="5">
        <v>10000768</v>
      </c>
      <c r="B769" s="3" t="s">
        <v>12</v>
      </c>
      <c r="C769" s="3" t="s">
        <v>67</v>
      </c>
      <c r="D769" s="3" t="s">
        <v>68</v>
      </c>
      <c r="E769" s="3" t="s">
        <v>63</v>
      </c>
      <c r="F769" s="3">
        <v>2000</v>
      </c>
      <c r="G769" s="3">
        <v>2</v>
      </c>
      <c r="H769" s="2">
        <v>0</v>
      </c>
      <c r="I769" s="4">
        <v>13592691</v>
      </c>
    </row>
    <row r="770" spans="1:9">
      <c r="A770" s="5">
        <v>10000769</v>
      </c>
      <c r="B770" s="3" t="s">
        <v>14</v>
      </c>
      <c r="C770" s="3" t="s">
        <v>65</v>
      </c>
      <c r="D770" s="3" t="s">
        <v>69</v>
      </c>
      <c r="E770" s="3" t="s">
        <v>62</v>
      </c>
      <c r="F770" s="3">
        <v>1998</v>
      </c>
      <c r="G770" s="3">
        <v>1</v>
      </c>
      <c r="H770" s="2">
        <v>2</v>
      </c>
      <c r="I770" s="4">
        <v>458742</v>
      </c>
    </row>
    <row r="771" spans="1:9">
      <c r="A771" s="5">
        <v>10000770</v>
      </c>
      <c r="B771" s="3" t="s">
        <v>13</v>
      </c>
      <c r="C771" s="3" t="s">
        <v>65</v>
      </c>
      <c r="D771" s="3" t="s">
        <v>68</v>
      </c>
      <c r="E771" s="3" t="s">
        <v>64</v>
      </c>
      <c r="F771" s="3">
        <v>2005</v>
      </c>
      <c r="G771" s="3">
        <v>2</v>
      </c>
      <c r="H771" s="2">
        <v>3</v>
      </c>
      <c r="I771" s="4">
        <v>22955743</v>
      </c>
    </row>
    <row r="772" spans="1:9">
      <c r="A772" s="5">
        <v>10000771</v>
      </c>
      <c r="B772" s="3" t="s">
        <v>12</v>
      </c>
      <c r="C772" s="3" t="s">
        <v>67</v>
      </c>
      <c r="D772" s="3" t="s">
        <v>69</v>
      </c>
      <c r="E772" s="3" t="s">
        <v>63</v>
      </c>
      <c r="F772" s="3">
        <v>2014</v>
      </c>
      <c r="G772" s="3">
        <v>4</v>
      </c>
      <c r="H772" s="2">
        <v>1</v>
      </c>
      <c r="I772" s="4">
        <v>4853645</v>
      </c>
    </row>
    <row r="773" spans="1:9">
      <c r="A773" s="5">
        <v>10000772</v>
      </c>
      <c r="B773" s="3" t="s">
        <v>10</v>
      </c>
      <c r="C773" s="3" t="s">
        <v>67</v>
      </c>
      <c r="D773" s="3" t="s">
        <v>69</v>
      </c>
      <c r="E773" s="3" t="s">
        <v>63</v>
      </c>
      <c r="F773" s="3">
        <v>2004</v>
      </c>
      <c r="G773" s="3">
        <v>1</v>
      </c>
      <c r="H773" s="2">
        <v>0</v>
      </c>
      <c r="I773" s="4">
        <v>4302273</v>
      </c>
    </row>
    <row r="774" spans="1:9">
      <c r="A774" s="5">
        <v>10000773</v>
      </c>
      <c r="B774" s="3" t="s">
        <v>13</v>
      </c>
      <c r="C774" s="3" t="s">
        <v>65</v>
      </c>
      <c r="D774" s="3" t="s">
        <v>69</v>
      </c>
      <c r="E774" s="3" t="s">
        <v>63</v>
      </c>
      <c r="F774" s="3">
        <v>1998</v>
      </c>
      <c r="G774" s="3">
        <v>4</v>
      </c>
      <c r="H774" s="2">
        <v>2</v>
      </c>
      <c r="I774" s="4">
        <v>4928177</v>
      </c>
    </row>
    <row r="775" spans="1:9">
      <c r="A775" s="5">
        <v>10000774</v>
      </c>
      <c r="B775" s="3" t="s">
        <v>14</v>
      </c>
      <c r="C775" s="3" t="s">
        <v>65</v>
      </c>
      <c r="D775" s="3" t="s">
        <v>69</v>
      </c>
      <c r="E775" s="3" t="s">
        <v>64</v>
      </c>
      <c r="F775" s="3">
        <v>2000</v>
      </c>
      <c r="G775" s="3">
        <v>2</v>
      </c>
      <c r="H775" s="2">
        <v>4</v>
      </c>
      <c r="I775" s="4">
        <v>3738383</v>
      </c>
    </row>
    <row r="776" spans="1:9">
      <c r="A776" s="5">
        <v>10000775</v>
      </c>
      <c r="B776" s="3" t="s">
        <v>14</v>
      </c>
      <c r="C776" s="3" t="s">
        <v>65</v>
      </c>
      <c r="D776" s="3" t="s">
        <v>66</v>
      </c>
      <c r="E776" s="3" t="s">
        <v>64</v>
      </c>
      <c r="F776" s="3">
        <v>1986</v>
      </c>
      <c r="G776" s="3">
        <v>2</v>
      </c>
      <c r="H776" s="2">
        <v>4</v>
      </c>
      <c r="I776" s="4">
        <v>38059443</v>
      </c>
    </row>
    <row r="777" spans="1:9">
      <c r="A777" s="5">
        <v>10000776</v>
      </c>
      <c r="B777" s="3" t="s">
        <v>12</v>
      </c>
      <c r="C777" s="3" t="s">
        <v>67</v>
      </c>
      <c r="D777" s="3" t="s">
        <v>69</v>
      </c>
      <c r="E777" s="3" t="s">
        <v>63</v>
      </c>
      <c r="F777" s="3">
        <v>2005</v>
      </c>
      <c r="G777" s="3">
        <v>2</v>
      </c>
      <c r="H777" s="2">
        <v>2</v>
      </c>
      <c r="I777" s="4">
        <v>2442244</v>
      </c>
    </row>
    <row r="778" spans="1:9">
      <c r="A778" s="5">
        <v>10000777</v>
      </c>
      <c r="B778" s="3" t="s">
        <v>13</v>
      </c>
      <c r="C778" s="3" t="s">
        <v>65</v>
      </c>
      <c r="D778" s="3" t="s">
        <v>68</v>
      </c>
      <c r="E778" s="3" t="s">
        <v>64</v>
      </c>
      <c r="F778" s="3">
        <v>1996</v>
      </c>
      <c r="G778" s="3">
        <v>4</v>
      </c>
      <c r="H778" s="2">
        <v>3</v>
      </c>
      <c r="I778" s="4">
        <v>22102195</v>
      </c>
    </row>
    <row r="779" spans="1:9">
      <c r="A779" s="5">
        <v>10000778</v>
      </c>
      <c r="B779" s="3" t="s">
        <v>12</v>
      </c>
      <c r="C779" s="3" t="s">
        <v>67</v>
      </c>
      <c r="D779" s="3" t="s">
        <v>68</v>
      </c>
      <c r="E779" s="3" t="s">
        <v>64</v>
      </c>
      <c r="F779" s="3">
        <v>2016</v>
      </c>
      <c r="G779" s="3">
        <v>1</v>
      </c>
      <c r="H779" s="2">
        <v>5</v>
      </c>
      <c r="I779" s="4">
        <v>13838918</v>
      </c>
    </row>
    <row r="780" spans="1:9">
      <c r="A780" s="5">
        <v>10000779</v>
      </c>
      <c r="B780" s="3" t="s">
        <v>9</v>
      </c>
      <c r="C780" s="3" t="s">
        <v>67</v>
      </c>
      <c r="D780" s="3" t="s">
        <v>69</v>
      </c>
      <c r="E780" s="3" t="s">
        <v>64</v>
      </c>
      <c r="F780" s="3">
        <v>2015</v>
      </c>
      <c r="G780" s="3">
        <v>1</v>
      </c>
      <c r="H780" s="2">
        <v>4</v>
      </c>
      <c r="I780" s="4">
        <v>2377457</v>
      </c>
    </row>
    <row r="781" spans="1:9">
      <c r="A781" s="5">
        <v>10000780</v>
      </c>
      <c r="B781" s="3" t="s">
        <v>9</v>
      </c>
      <c r="C781" s="3" t="s">
        <v>67</v>
      </c>
      <c r="D781" s="3" t="s">
        <v>69</v>
      </c>
      <c r="E781" s="3" t="s">
        <v>63</v>
      </c>
      <c r="F781" s="3">
        <v>1987</v>
      </c>
      <c r="G781" s="3">
        <v>4</v>
      </c>
      <c r="H781" s="2">
        <v>2</v>
      </c>
      <c r="I781" s="4">
        <v>3918436</v>
      </c>
    </row>
    <row r="782" spans="1:9">
      <c r="A782" s="5">
        <v>10000781</v>
      </c>
      <c r="B782" s="3" t="s">
        <v>14</v>
      </c>
      <c r="C782" s="3" t="s">
        <v>65</v>
      </c>
      <c r="D782" s="3" t="s">
        <v>68</v>
      </c>
      <c r="E782" s="3" t="s">
        <v>63</v>
      </c>
      <c r="F782" s="3">
        <v>1999</v>
      </c>
      <c r="G782" s="3">
        <v>4</v>
      </c>
      <c r="H782" s="2">
        <v>1</v>
      </c>
      <c r="I782" s="4">
        <v>17256474</v>
      </c>
    </row>
    <row r="783" spans="1:9">
      <c r="A783" s="5">
        <v>10000782</v>
      </c>
      <c r="B783" s="3" t="s">
        <v>12</v>
      </c>
      <c r="C783" s="3" t="s">
        <v>67</v>
      </c>
      <c r="D783" s="3" t="s">
        <v>68</v>
      </c>
      <c r="E783" s="3" t="s">
        <v>63</v>
      </c>
      <c r="F783" s="3">
        <v>1996</v>
      </c>
      <c r="G783" s="3">
        <v>3</v>
      </c>
      <c r="H783" s="2">
        <v>1</v>
      </c>
      <c r="I783" s="4">
        <v>13151951</v>
      </c>
    </row>
    <row r="784" spans="1:9">
      <c r="A784" s="5">
        <v>10000783</v>
      </c>
      <c r="B784" s="3" t="s">
        <v>14</v>
      </c>
      <c r="C784" s="3" t="s">
        <v>65</v>
      </c>
      <c r="D784" s="3" t="s">
        <v>66</v>
      </c>
      <c r="E784" s="3" t="s">
        <v>64</v>
      </c>
      <c r="F784" s="3">
        <v>1993</v>
      </c>
      <c r="G784" s="3">
        <v>1</v>
      </c>
      <c r="H784" s="2">
        <v>5</v>
      </c>
      <c r="I784" s="4">
        <v>54724497</v>
      </c>
    </row>
    <row r="785" spans="1:9">
      <c r="A785" s="5">
        <v>10000784</v>
      </c>
      <c r="B785" s="3" t="s">
        <v>14</v>
      </c>
      <c r="C785" s="3" t="s">
        <v>65</v>
      </c>
      <c r="D785" s="3" t="s">
        <v>66</v>
      </c>
      <c r="E785" s="3" t="s">
        <v>64</v>
      </c>
      <c r="F785" s="3">
        <v>2001</v>
      </c>
      <c r="G785" s="3">
        <v>5</v>
      </c>
      <c r="H785" s="2">
        <v>5</v>
      </c>
      <c r="I785" s="4">
        <v>54825782</v>
      </c>
    </row>
    <row r="786" spans="1:9">
      <c r="A786" s="5">
        <v>10000785</v>
      </c>
      <c r="B786" s="3" t="s">
        <v>10</v>
      </c>
      <c r="C786" s="3" t="s">
        <v>67</v>
      </c>
      <c r="D786" s="3" t="s">
        <v>69</v>
      </c>
      <c r="E786" s="3" t="s">
        <v>62</v>
      </c>
      <c r="F786" s="3">
        <v>2001</v>
      </c>
      <c r="G786" s="3">
        <v>1</v>
      </c>
      <c r="H786" s="2">
        <v>2</v>
      </c>
      <c r="I786" s="4">
        <v>561468</v>
      </c>
    </row>
    <row r="787" spans="1:9">
      <c r="A787" s="5">
        <v>10000786</v>
      </c>
      <c r="B787" s="3" t="s">
        <v>9</v>
      </c>
      <c r="C787" s="3" t="s">
        <v>67</v>
      </c>
      <c r="D787" s="3" t="s">
        <v>66</v>
      </c>
      <c r="E787" s="3" t="s">
        <v>64</v>
      </c>
      <c r="F787" s="3">
        <v>2003</v>
      </c>
      <c r="G787" s="3">
        <v>1</v>
      </c>
      <c r="H787" s="2">
        <v>5</v>
      </c>
      <c r="I787" s="4">
        <v>48288537</v>
      </c>
    </row>
    <row r="788" spans="1:9">
      <c r="A788" s="5">
        <v>10000787</v>
      </c>
      <c r="B788" s="3" t="s">
        <v>14</v>
      </c>
      <c r="C788" s="3" t="s">
        <v>65</v>
      </c>
      <c r="D788" s="3" t="s">
        <v>69</v>
      </c>
      <c r="E788" s="3" t="s">
        <v>64</v>
      </c>
      <c r="F788" s="3">
        <v>2014</v>
      </c>
      <c r="G788" s="3">
        <v>4</v>
      </c>
      <c r="H788" s="2">
        <v>4</v>
      </c>
      <c r="I788" s="4">
        <v>3210712</v>
      </c>
    </row>
    <row r="789" spans="1:9">
      <c r="A789" s="5">
        <v>10000788</v>
      </c>
      <c r="B789" s="3" t="s">
        <v>12</v>
      </c>
      <c r="C789" s="3" t="s">
        <v>67</v>
      </c>
      <c r="D789" s="3" t="s">
        <v>66</v>
      </c>
      <c r="E789" s="3" t="s">
        <v>64</v>
      </c>
      <c r="F789" s="3">
        <v>1991</v>
      </c>
      <c r="G789" s="3">
        <v>2</v>
      </c>
      <c r="H789" s="2">
        <v>3</v>
      </c>
      <c r="I789" s="4">
        <v>51547707</v>
      </c>
    </row>
    <row r="790" spans="1:9">
      <c r="A790" s="5">
        <v>10000789</v>
      </c>
      <c r="B790" s="3" t="s">
        <v>9</v>
      </c>
      <c r="C790" s="3" t="s">
        <v>67</v>
      </c>
      <c r="D790" s="3" t="s">
        <v>68</v>
      </c>
      <c r="E790" s="3" t="s">
        <v>63</v>
      </c>
      <c r="F790" s="3">
        <v>1981</v>
      </c>
      <c r="G790" s="3">
        <v>4</v>
      </c>
      <c r="H790" s="2">
        <v>2</v>
      </c>
      <c r="I790" s="4">
        <v>6006377</v>
      </c>
    </row>
    <row r="791" spans="1:9">
      <c r="A791" s="5">
        <v>10000790</v>
      </c>
      <c r="B791" s="3" t="s">
        <v>9</v>
      </c>
      <c r="C791" s="3" t="s">
        <v>67</v>
      </c>
      <c r="D791" s="3" t="s">
        <v>66</v>
      </c>
      <c r="E791" s="3" t="s">
        <v>64</v>
      </c>
      <c r="F791" s="3">
        <v>2009</v>
      </c>
      <c r="G791" s="3">
        <v>2</v>
      </c>
      <c r="H791" s="2">
        <v>4</v>
      </c>
      <c r="I791" s="4">
        <v>44620450</v>
      </c>
    </row>
    <row r="792" spans="1:9">
      <c r="A792" s="5">
        <v>10000791</v>
      </c>
      <c r="B792" s="3" t="s">
        <v>12</v>
      </c>
      <c r="C792" s="3" t="s">
        <v>67</v>
      </c>
      <c r="D792" s="3" t="s">
        <v>66</v>
      </c>
      <c r="E792" s="3" t="s">
        <v>64</v>
      </c>
      <c r="F792" s="3">
        <v>1982</v>
      </c>
      <c r="G792" s="3">
        <v>4</v>
      </c>
      <c r="H792" s="2">
        <v>4</v>
      </c>
      <c r="I792" s="4">
        <v>63880972</v>
      </c>
    </row>
    <row r="793" spans="1:9">
      <c r="A793" s="5">
        <v>10000792</v>
      </c>
      <c r="B793" s="3" t="s">
        <v>12</v>
      </c>
      <c r="C793" s="3" t="s">
        <v>67</v>
      </c>
      <c r="D793" s="3" t="s">
        <v>69</v>
      </c>
      <c r="E793" s="3" t="s">
        <v>64</v>
      </c>
      <c r="F793" s="3">
        <v>1996</v>
      </c>
      <c r="G793" s="3">
        <v>2</v>
      </c>
      <c r="H793" s="2">
        <v>5</v>
      </c>
      <c r="I793" s="4">
        <v>4890643</v>
      </c>
    </row>
    <row r="794" spans="1:9">
      <c r="A794" s="5">
        <v>10000793</v>
      </c>
      <c r="B794" s="3" t="s">
        <v>11</v>
      </c>
      <c r="C794" s="3" t="s">
        <v>65</v>
      </c>
      <c r="D794" s="3" t="s">
        <v>68</v>
      </c>
      <c r="E794" s="3" t="s">
        <v>63</v>
      </c>
      <c r="F794" s="3">
        <v>2023</v>
      </c>
      <c r="G794" s="3">
        <v>3</v>
      </c>
      <c r="H794" s="2">
        <v>2</v>
      </c>
      <c r="I794" s="4">
        <v>6152364</v>
      </c>
    </row>
    <row r="795" spans="1:9">
      <c r="A795" s="5">
        <v>10000794</v>
      </c>
      <c r="B795" s="3" t="s">
        <v>10</v>
      </c>
      <c r="C795" s="3" t="s">
        <v>67</v>
      </c>
      <c r="D795" s="3" t="s">
        <v>69</v>
      </c>
      <c r="E795" s="3" t="s">
        <v>62</v>
      </c>
      <c r="F795" s="3">
        <v>2014</v>
      </c>
      <c r="G795" s="3">
        <v>1</v>
      </c>
      <c r="H795" s="2">
        <v>2</v>
      </c>
      <c r="I795" s="4">
        <v>396783</v>
      </c>
    </row>
    <row r="796" spans="1:9">
      <c r="A796" s="5">
        <v>10000795</v>
      </c>
      <c r="B796" s="3" t="s">
        <v>10</v>
      </c>
      <c r="C796" s="3" t="s">
        <v>67</v>
      </c>
      <c r="D796" s="3" t="s">
        <v>68</v>
      </c>
      <c r="E796" s="3" t="s">
        <v>63</v>
      </c>
      <c r="F796" s="3">
        <v>2010</v>
      </c>
      <c r="G796" s="3">
        <v>1</v>
      </c>
      <c r="H796" s="2">
        <v>1</v>
      </c>
      <c r="I796" s="4">
        <v>14281686</v>
      </c>
    </row>
    <row r="797" spans="1:9">
      <c r="A797" s="5">
        <v>10000796</v>
      </c>
      <c r="B797" s="3" t="s">
        <v>11</v>
      </c>
      <c r="C797" s="3" t="s">
        <v>65</v>
      </c>
      <c r="D797" s="3" t="s">
        <v>69</v>
      </c>
      <c r="E797" s="3" t="s">
        <v>62</v>
      </c>
      <c r="F797" s="3">
        <v>1991</v>
      </c>
      <c r="G797" s="3">
        <v>1</v>
      </c>
      <c r="H797" s="2">
        <v>0</v>
      </c>
      <c r="I797" s="4">
        <v>445125</v>
      </c>
    </row>
    <row r="798" spans="1:9">
      <c r="A798" s="5">
        <v>10000797</v>
      </c>
      <c r="B798" s="3" t="s">
        <v>13</v>
      </c>
      <c r="C798" s="3" t="s">
        <v>65</v>
      </c>
      <c r="D798" s="3" t="s">
        <v>66</v>
      </c>
      <c r="E798" s="3" t="s">
        <v>64</v>
      </c>
      <c r="F798" s="3">
        <v>2017</v>
      </c>
      <c r="G798" s="3">
        <v>1</v>
      </c>
      <c r="H798" s="2">
        <v>3</v>
      </c>
      <c r="I798" s="4">
        <v>62286564</v>
      </c>
    </row>
    <row r="799" spans="1:9">
      <c r="A799" s="5">
        <v>10000798</v>
      </c>
      <c r="B799" s="3" t="s">
        <v>14</v>
      </c>
      <c r="C799" s="3" t="s">
        <v>65</v>
      </c>
      <c r="D799" s="3" t="s">
        <v>66</v>
      </c>
      <c r="E799" s="3" t="s">
        <v>64</v>
      </c>
      <c r="F799" s="3">
        <v>1990</v>
      </c>
      <c r="G799" s="3">
        <v>2</v>
      </c>
      <c r="H799" s="2">
        <v>3</v>
      </c>
      <c r="I799" s="4">
        <v>38474067</v>
      </c>
    </row>
    <row r="800" spans="1:9">
      <c r="A800" s="5">
        <v>10000799</v>
      </c>
      <c r="B800" s="3" t="s">
        <v>14</v>
      </c>
      <c r="C800" s="3" t="s">
        <v>65</v>
      </c>
      <c r="D800" s="3" t="s">
        <v>69</v>
      </c>
      <c r="E800" s="3" t="s">
        <v>64</v>
      </c>
      <c r="F800" s="3">
        <v>2016</v>
      </c>
      <c r="G800" s="3">
        <v>4</v>
      </c>
      <c r="H800" s="2">
        <v>4</v>
      </c>
      <c r="I800" s="4">
        <v>3528167</v>
      </c>
    </row>
    <row r="801" spans="1:9">
      <c r="A801" s="5">
        <v>10000800</v>
      </c>
      <c r="B801" s="3" t="s">
        <v>9</v>
      </c>
      <c r="C801" s="3" t="s">
        <v>67</v>
      </c>
      <c r="D801" s="3" t="s">
        <v>69</v>
      </c>
      <c r="E801" s="3" t="s">
        <v>64</v>
      </c>
      <c r="F801" s="3">
        <v>1985</v>
      </c>
      <c r="G801" s="3">
        <v>3</v>
      </c>
      <c r="H801" s="2">
        <v>3</v>
      </c>
      <c r="I801" s="4">
        <v>3891216</v>
      </c>
    </row>
    <row r="802" spans="1:9">
      <c r="A802" s="5">
        <v>10000801</v>
      </c>
      <c r="B802" s="3" t="s">
        <v>12</v>
      </c>
      <c r="C802" s="3" t="s">
        <v>67</v>
      </c>
      <c r="D802" s="3" t="s">
        <v>69</v>
      </c>
      <c r="E802" s="3" t="s">
        <v>62</v>
      </c>
      <c r="F802" s="3">
        <v>1996</v>
      </c>
      <c r="G802" s="3">
        <v>1</v>
      </c>
      <c r="H802" s="2">
        <v>0</v>
      </c>
      <c r="I802" s="4">
        <v>529472</v>
      </c>
    </row>
    <row r="803" spans="1:9">
      <c r="A803" s="5">
        <v>10000802</v>
      </c>
      <c r="B803" s="3" t="s">
        <v>12</v>
      </c>
      <c r="C803" s="3" t="s">
        <v>67</v>
      </c>
      <c r="D803" s="3" t="s">
        <v>66</v>
      </c>
      <c r="E803" s="3" t="s">
        <v>64</v>
      </c>
      <c r="F803" s="3">
        <v>1988</v>
      </c>
      <c r="G803" s="3">
        <v>4</v>
      </c>
      <c r="H803" s="2">
        <v>5</v>
      </c>
      <c r="I803" s="4">
        <v>55370615</v>
      </c>
    </row>
    <row r="804" spans="1:9">
      <c r="A804" s="5">
        <v>10000803</v>
      </c>
      <c r="B804" s="3" t="s">
        <v>12</v>
      </c>
      <c r="C804" s="3" t="s">
        <v>67</v>
      </c>
      <c r="D804" s="3" t="s">
        <v>66</v>
      </c>
      <c r="E804" s="3" t="s">
        <v>64</v>
      </c>
      <c r="F804" s="3">
        <v>1985</v>
      </c>
      <c r="G804" s="3">
        <v>2</v>
      </c>
      <c r="H804" s="2">
        <v>5</v>
      </c>
      <c r="I804" s="4">
        <v>40129636</v>
      </c>
    </row>
    <row r="805" spans="1:9">
      <c r="A805" s="5">
        <v>10000804</v>
      </c>
      <c r="B805" s="3" t="s">
        <v>14</v>
      </c>
      <c r="C805" s="3" t="s">
        <v>65</v>
      </c>
      <c r="D805" s="3" t="s">
        <v>68</v>
      </c>
      <c r="E805" s="3" t="s">
        <v>64</v>
      </c>
      <c r="F805" s="3">
        <v>1995</v>
      </c>
      <c r="G805" s="3">
        <v>4</v>
      </c>
      <c r="H805" s="2">
        <v>4</v>
      </c>
      <c r="I805" s="4">
        <v>5920728</v>
      </c>
    </row>
    <row r="806" spans="1:9">
      <c r="A806" s="5">
        <v>10000805</v>
      </c>
      <c r="B806" s="3" t="s">
        <v>11</v>
      </c>
      <c r="C806" s="3" t="s">
        <v>65</v>
      </c>
      <c r="D806" s="3" t="s">
        <v>69</v>
      </c>
      <c r="E806" s="3" t="s">
        <v>64</v>
      </c>
      <c r="F806" s="3">
        <v>2005</v>
      </c>
      <c r="G806" s="3">
        <v>2</v>
      </c>
      <c r="H806" s="2">
        <v>5</v>
      </c>
      <c r="I806" s="4">
        <v>5296106</v>
      </c>
    </row>
    <row r="807" spans="1:9">
      <c r="A807" s="5">
        <v>10000806</v>
      </c>
      <c r="B807" s="3" t="s">
        <v>12</v>
      </c>
      <c r="C807" s="3" t="s">
        <v>67</v>
      </c>
      <c r="D807" s="3" t="s">
        <v>66</v>
      </c>
      <c r="E807" s="3" t="s">
        <v>64</v>
      </c>
      <c r="F807" s="3">
        <v>1989</v>
      </c>
      <c r="G807" s="3">
        <v>2</v>
      </c>
      <c r="H807" s="2">
        <v>3</v>
      </c>
      <c r="I807" s="4">
        <v>50139603</v>
      </c>
    </row>
    <row r="808" spans="1:9">
      <c r="A808" s="5">
        <v>10000807</v>
      </c>
      <c r="B808" s="3" t="s">
        <v>12</v>
      </c>
      <c r="C808" s="3" t="s">
        <v>67</v>
      </c>
      <c r="D808" s="3" t="s">
        <v>68</v>
      </c>
      <c r="E808" s="3" t="s">
        <v>63</v>
      </c>
      <c r="F808" s="3">
        <v>2024</v>
      </c>
      <c r="G808" s="3">
        <v>4</v>
      </c>
      <c r="H808" s="2">
        <v>0</v>
      </c>
      <c r="I808" s="4">
        <v>14943809</v>
      </c>
    </row>
    <row r="809" spans="1:9">
      <c r="A809" s="5">
        <v>10000808</v>
      </c>
      <c r="B809" s="3" t="s">
        <v>11</v>
      </c>
      <c r="C809" s="3" t="s">
        <v>65</v>
      </c>
      <c r="D809" s="3" t="s">
        <v>66</v>
      </c>
      <c r="E809" s="3" t="s">
        <v>64</v>
      </c>
      <c r="F809" s="3">
        <v>1991</v>
      </c>
      <c r="G809" s="3">
        <v>5</v>
      </c>
      <c r="H809" s="2">
        <v>4</v>
      </c>
      <c r="I809" s="4">
        <v>68046294</v>
      </c>
    </row>
    <row r="810" spans="1:9">
      <c r="A810" s="5">
        <v>10000809</v>
      </c>
      <c r="B810" s="3" t="s">
        <v>14</v>
      </c>
      <c r="C810" s="3" t="s">
        <v>65</v>
      </c>
      <c r="D810" s="3" t="s">
        <v>69</v>
      </c>
      <c r="E810" s="3" t="s">
        <v>64</v>
      </c>
      <c r="F810" s="3">
        <v>1983</v>
      </c>
      <c r="G810" s="3">
        <v>1</v>
      </c>
      <c r="H810" s="2">
        <v>5</v>
      </c>
      <c r="I810" s="4">
        <v>4139830</v>
      </c>
    </row>
    <row r="811" spans="1:9">
      <c r="A811" s="5">
        <v>10000810</v>
      </c>
      <c r="B811" s="3" t="s">
        <v>13</v>
      </c>
      <c r="C811" s="3" t="s">
        <v>65</v>
      </c>
      <c r="D811" s="3" t="s">
        <v>66</v>
      </c>
      <c r="E811" s="3" t="s">
        <v>64</v>
      </c>
      <c r="F811" s="3">
        <v>2004</v>
      </c>
      <c r="G811" s="3">
        <v>1</v>
      </c>
      <c r="H811" s="2">
        <v>3</v>
      </c>
      <c r="I811" s="4">
        <v>36241983</v>
      </c>
    </row>
    <row r="812" spans="1:9">
      <c r="A812" s="5">
        <v>10000811</v>
      </c>
      <c r="B812" s="3" t="s">
        <v>13</v>
      </c>
      <c r="C812" s="3" t="s">
        <v>65</v>
      </c>
      <c r="D812" s="3" t="s">
        <v>69</v>
      </c>
      <c r="E812" s="3" t="s">
        <v>63</v>
      </c>
      <c r="F812" s="3">
        <v>2008</v>
      </c>
      <c r="G812" s="3">
        <v>1</v>
      </c>
      <c r="H812" s="2">
        <v>2</v>
      </c>
      <c r="I812" s="4">
        <v>5723894</v>
      </c>
    </row>
    <row r="813" spans="1:9">
      <c r="A813" s="5">
        <v>10000812</v>
      </c>
      <c r="B813" s="3" t="s">
        <v>11</v>
      </c>
      <c r="C813" s="3" t="s">
        <v>65</v>
      </c>
      <c r="D813" s="3" t="s">
        <v>66</v>
      </c>
      <c r="E813" s="3" t="s">
        <v>64</v>
      </c>
      <c r="F813" s="3">
        <v>1985</v>
      </c>
      <c r="G813" s="3">
        <v>2</v>
      </c>
      <c r="H813" s="2">
        <v>4</v>
      </c>
      <c r="I813" s="4">
        <v>51657256</v>
      </c>
    </row>
    <row r="814" spans="1:9">
      <c r="A814" s="5">
        <v>10000813</v>
      </c>
      <c r="B814" s="3" t="s">
        <v>14</v>
      </c>
      <c r="C814" s="3" t="s">
        <v>65</v>
      </c>
      <c r="D814" s="3" t="s">
        <v>69</v>
      </c>
      <c r="E814" s="3" t="s">
        <v>64</v>
      </c>
      <c r="F814" s="3">
        <v>2013</v>
      </c>
      <c r="G814" s="3">
        <v>1</v>
      </c>
      <c r="H814" s="2">
        <v>3</v>
      </c>
      <c r="I814" s="4">
        <v>5067710</v>
      </c>
    </row>
    <row r="815" spans="1:9">
      <c r="A815" s="5">
        <v>10000814</v>
      </c>
      <c r="B815" s="3" t="s">
        <v>12</v>
      </c>
      <c r="C815" s="3" t="s">
        <v>67</v>
      </c>
      <c r="D815" s="3" t="s">
        <v>69</v>
      </c>
      <c r="E815" s="3" t="s">
        <v>64</v>
      </c>
      <c r="F815" s="3">
        <v>1987</v>
      </c>
      <c r="G815" s="3">
        <v>5</v>
      </c>
      <c r="H815" s="2">
        <v>5</v>
      </c>
      <c r="I815" s="4">
        <v>4157362</v>
      </c>
    </row>
    <row r="816" spans="1:9">
      <c r="A816" s="5">
        <v>10000815</v>
      </c>
      <c r="B816" s="3" t="s">
        <v>10</v>
      </c>
      <c r="C816" s="3" t="s">
        <v>67</v>
      </c>
      <c r="D816" s="3" t="s">
        <v>68</v>
      </c>
      <c r="E816" s="3" t="s">
        <v>64</v>
      </c>
      <c r="F816" s="3">
        <v>1980</v>
      </c>
      <c r="G816" s="3">
        <v>1</v>
      </c>
      <c r="H816" s="2">
        <v>3</v>
      </c>
      <c r="I816" s="4">
        <v>9109746</v>
      </c>
    </row>
    <row r="817" spans="1:9">
      <c r="A817" s="5">
        <v>10000816</v>
      </c>
      <c r="B817" s="3" t="s">
        <v>13</v>
      </c>
      <c r="C817" s="3" t="s">
        <v>65</v>
      </c>
      <c r="D817" s="3" t="s">
        <v>68</v>
      </c>
      <c r="E817" s="3" t="s">
        <v>64</v>
      </c>
      <c r="F817" s="3">
        <v>1997</v>
      </c>
      <c r="G817" s="3">
        <v>4</v>
      </c>
      <c r="H817" s="2">
        <v>3</v>
      </c>
      <c r="I817" s="4">
        <v>15657739</v>
      </c>
    </row>
    <row r="818" spans="1:9">
      <c r="A818" s="5">
        <v>10000817</v>
      </c>
      <c r="B818" s="3" t="s">
        <v>12</v>
      </c>
      <c r="C818" s="3" t="s">
        <v>67</v>
      </c>
      <c r="D818" s="3" t="s">
        <v>66</v>
      </c>
      <c r="E818" s="3" t="s">
        <v>64</v>
      </c>
      <c r="F818" s="3">
        <v>1988</v>
      </c>
      <c r="G818" s="3">
        <v>4</v>
      </c>
      <c r="H818" s="2">
        <v>3</v>
      </c>
      <c r="I818" s="4">
        <v>43797024</v>
      </c>
    </row>
    <row r="819" spans="1:9">
      <c r="A819" s="5">
        <v>10000818</v>
      </c>
      <c r="B819" s="3" t="s">
        <v>14</v>
      </c>
      <c r="C819" s="3" t="s">
        <v>65</v>
      </c>
      <c r="D819" s="3" t="s">
        <v>68</v>
      </c>
      <c r="E819" s="3" t="s">
        <v>63</v>
      </c>
      <c r="F819" s="3">
        <v>1991</v>
      </c>
      <c r="G819" s="3">
        <v>3</v>
      </c>
      <c r="H819" s="2">
        <v>2</v>
      </c>
      <c r="I819" s="4">
        <v>12791022</v>
      </c>
    </row>
    <row r="820" spans="1:9">
      <c r="A820" s="5">
        <v>10000819</v>
      </c>
      <c r="B820" s="3" t="s">
        <v>13</v>
      </c>
      <c r="C820" s="3" t="s">
        <v>65</v>
      </c>
      <c r="D820" s="3" t="s">
        <v>69</v>
      </c>
      <c r="E820" s="3" t="s">
        <v>63</v>
      </c>
      <c r="F820" s="3">
        <v>1993</v>
      </c>
      <c r="G820" s="3">
        <v>1</v>
      </c>
      <c r="H820" s="2">
        <v>2</v>
      </c>
      <c r="I820" s="4">
        <v>2999084</v>
      </c>
    </row>
    <row r="821" spans="1:9">
      <c r="A821" s="5">
        <v>10000820</v>
      </c>
      <c r="B821" s="3" t="s">
        <v>12</v>
      </c>
      <c r="C821" s="3" t="s">
        <v>67</v>
      </c>
      <c r="D821" s="3" t="s">
        <v>69</v>
      </c>
      <c r="E821" s="3" t="s">
        <v>63</v>
      </c>
      <c r="F821" s="3">
        <v>2007</v>
      </c>
      <c r="G821" s="3">
        <v>1</v>
      </c>
      <c r="H821" s="2">
        <v>0</v>
      </c>
      <c r="I821" s="4">
        <v>4760117</v>
      </c>
    </row>
    <row r="822" spans="1:9">
      <c r="A822" s="5">
        <v>10000821</v>
      </c>
      <c r="B822" s="3" t="s">
        <v>9</v>
      </c>
      <c r="C822" s="3" t="s">
        <v>67</v>
      </c>
      <c r="D822" s="3" t="s">
        <v>69</v>
      </c>
      <c r="E822" s="3" t="s">
        <v>64</v>
      </c>
      <c r="F822" s="3">
        <v>1999</v>
      </c>
      <c r="G822" s="3">
        <v>1</v>
      </c>
      <c r="H822" s="2">
        <v>3</v>
      </c>
      <c r="I822" s="4">
        <v>1201749</v>
      </c>
    </row>
    <row r="823" spans="1:9">
      <c r="A823" s="5">
        <v>10000822</v>
      </c>
      <c r="B823" s="3" t="s">
        <v>13</v>
      </c>
      <c r="C823" s="3" t="s">
        <v>65</v>
      </c>
      <c r="D823" s="3" t="s">
        <v>66</v>
      </c>
      <c r="E823" s="3" t="s">
        <v>64</v>
      </c>
      <c r="F823" s="3">
        <v>2005</v>
      </c>
      <c r="G823" s="3">
        <v>3</v>
      </c>
      <c r="H823" s="2">
        <v>4</v>
      </c>
      <c r="I823" s="4">
        <v>52831370</v>
      </c>
    </row>
    <row r="824" spans="1:9">
      <c r="A824" s="5">
        <v>10000823</v>
      </c>
      <c r="B824" s="3" t="s">
        <v>12</v>
      </c>
      <c r="C824" s="3" t="s">
        <v>67</v>
      </c>
      <c r="D824" s="3" t="s">
        <v>66</v>
      </c>
      <c r="E824" s="3" t="s">
        <v>64</v>
      </c>
      <c r="F824" s="3">
        <v>2015</v>
      </c>
      <c r="G824" s="3">
        <v>4</v>
      </c>
      <c r="H824" s="2">
        <v>5</v>
      </c>
      <c r="I824" s="4">
        <v>47639894</v>
      </c>
    </row>
    <row r="825" spans="1:9">
      <c r="A825" s="5">
        <v>10000824</v>
      </c>
      <c r="B825" s="3" t="s">
        <v>9</v>
      </c>
      <c r="C825" s="3" t="s">
        <v>67</v>
      </c>
      <c r="D825" s="3" t="s">
        <v>66</v>
      </c>
      <c r="E825" s="3" t="s">
        <v>64</v>
      </c>
      <c r="F825" s="3">
        <v>1990</v>
      </c>
      <c r="G825" s="3">
        <v>1</v>
      </c>
      <c r="H825" s="2">
        <v>5</v>
      </c>
      <c r="I825" s="4">
        <v>50811738</v>
      </c>
    </row>
    <row r="826" spans="1:9">
      <c r="A826" s="5">
        <v>10000825</v>
      </c>
      <c r="B826" s="3" t="s">
        <v>10</v>
      </c>
      <c r="C826" s="3" t="s">
        <v>67</v>
      </c>
      <c r="D826" s="3" t="s">
        <v>69</v>
      </c>
      <c r="E826" s="3" t="s">
        <v>62</v>
      </c>
      <c r="F826" s="3">
        <v>1992</v>
      </c>
      <c r="G826" s="3">
        <v>1</v>
      </c>
      <c r="H826" s="2">
        <v>2</v>
      </c>
      <c r="I826" s="4">
        <v>431951</v>
      </c>
    </row>
    <row r="827" spans="1:9">
      <c r="A827" s="5">
        <v>10000826</v>
      </c>
      <c r="B827" s="3" t="s">
        <v>11</v>
      </c>
      <c r="C827" s="3" t="s">
        <v>65</v>
      </c>
      <c r="D827" s="3" t="s">
        <v>69</v>
      </c>
      <c r="E827" s="3" t="s">
        <v>64</v>
      </c>
      <c r="F827" s="3">
        <v>2009</v>
      </c>
      <c r="G827" s="3">
        <v>1</v>
      </c>
      <c r="H827" s="2">
        <v>3</v>
      </c>
      <c r="I827" s="4">
        <v>3442289</v>
      </c>
    </row>
    <row r="828" spans="1:9">
      <c r="A828" s="5">
        <v>10000827</v>
      </c>
      <c r="B828" s="3" t="s">
        <v>11</v>
      </c>
      <c r="C828" s="3" t="s">
        <v>65</v>
      </c>
      <c r="D828" s="3" t="s">
        <v>66</v>
      </c>
      <c r="E828" s="3" t="s">
        <v>64</v>
      </c>
      <c r="F828" s="3">
        <v>1985</v>
      </c>
      <c r="G828" s="3">
        <v>4</v>
      </c>
      <c r="H828" s="2">
        <v>3</v>
      </c>
      <c r="I828" s="4">
        <v>57797366</v>
      </c>
    </row>
    <row r="829" spans="1:9">
      <c r="A829" s="5">
        <v>10000828</v>
      </c>
      <c r="B829" s="3" t="s">
        <v>13</v>
      </c>
      <c r="C829" s="3" t="s">
        <v>65</v>
      </c>
      <c r="D829" s="3" t="s">
        <v>66</v>
      </c>
      <c r="E829" s="3" t="s">
        <v>64</v>
      </c>
      <c r="F829" s="3">
        <v>1990</v>
      </c>
      <c r="G829" s="3">
        <v>3</v>
      </c>
      <c r="H829" s="2">
        <v>4</v>
      </c>
      <c r="I829" s="4">
        <v>48992561</v>
      </c>
    </row>
    <row r="830" spans="1:9">
      <c r="A830" s="5">
        <v>10000829</v>
      </c>
      <c r="B830" s="3" t="s">
        <v>13</v>
      </c>
      <c r="C830" s="3" t="s">
        <v>65</v>
      </c>
      <c r="D830" s="3" t="s">
        <v>66</v>
      </c>
      <c r="E830" s="3" t="s">
        <v>64</v>
      </c>
      <c r="F830" s="3">
        <v>2001</v>
      </c>
      <c r="G830" s="3">
        <v>1</v>
      </c>
      <c r="H830" s="2">
        <v>4</v>
      </c>
      <c r="I830" s="4">
        <v>42030182</v>
      </c>
    </row>
    <row r="831" spans="1:9">
      <c r="A831" s="5">
        <v>10000830</v>
      </c>
      <c r="B831" s="3" t="s">
        <v>9</v>
      </c>
      <c r="C831" s="3" t="s">
        <v>67</v>
      </c>
      <c r="D831" s="3" t="s">
        <v>68</v>
      </c>
      <c r="E831" s="3" t="s">
        <v>63</v>
      </c>
      <c r="F831" s="3">
        <v>2002</v>
      </c>
      <c r="G831" s="3">
        <v>1</v>
      </c>
      <c r="H831" s="2">
        <v>1</v>
      </c>
      <c r="I831" s="4">
        <v>22680312</v>
      </c>
    </row>
    <row r="832" spans="1:9">
      <c r="A832" s="5">
        <v>10000831</v>
      </c>
      <c r="B832" s="3" t="s">
        <v>12</v>
      </c>
      <c r="C832" s="3" t="s">
        <v>67</v>
      </c>
      <c r="D832" s="3" t="s">
        <v>69</v>
      </c>
      <c r="E832" s="3" t="s">
        <v>63</v>
      </c>
      <c r="F832" s="3">
        <v>2007</v>
      </c>
      <c r="G832" s="3">
        <v>5</v>
      </c>
      <c r="H832" s="2">
        <v>2</v>
      </c>
      <c r="I832" s="4">
        <v>5890155</v>
      </c>
    </row>
    <row r="833" spans="1:9">
      <c r="A833" s="5">
        <v>10000832</v>
      </c>
      <c r="B833" s="3" t="s">
        <v>12</v>
      </c>
      <c r="C833" s="3" t="s">
        <v>67</v>
      </c>
      <c r="D833" s="3" t="s">
        <v>69</v>
      </c>
      <c r="E833" s="3" t="s">
        <v>62</v>
      </c>
      <c r="F833" s="3">
        <v>2017</v>
      </c>
      <c r="G833" s="3">
        <v>1</v>
      </c>
      <c r="H833" s="2">
        <v>1</v>
      </c>
      <c r="I833" s="4">
        <v>590235</v>
      </c>
    </row>
    <row r="834" spans="1:9">
      <c r="A834" s="5">
        <v>10000833</v>
      </c>
      <c r="B834" s="3" t="s">
        <v>13</v>
      </c>
      <c r="C834" s="3" t="s">
        <v>65</v>
      </c>
      <c r="D834" s="3" t="s">
        <v>68</v>
      </c>
      <c r="E834" s="3" t="s">
        <v>63</v>
      </c>
      <c r="F834" s="3">
        <v>1990</v>
      </c>
      <c r="G834" s="3">
        <v>3</v>
      </c>
      <c r="H834" s="2">
        <v>2</v>
      </c>
      <c r="I834" s="4">
        <v>13796107</v>
      </c>
    </row>
    <row r="835" spans="1:9">
      <c r="A835" s="5">
        <v>10000834</v>
      </c>
      <c r="B835" s="3" t="s">
        <v>12</v>
      </c>
      <c r="C835" s="3" t="s">
        <v>67</v>
      </c>
      <c r="D835" s="3" t="s">
        <v>68</v>
      </c>
      <c r="E835" s="3" t="s">
        <v>63</v>
      </c>
      <c r="F835" s="3">
        <v>1999</v>
      </c>
      <c r="G835" s="3">
        <v>1</v>
      </c>
      <c r="H835" s="2">
        <v>0</v>
      </c>
      <c r="I835" s="4">
        <v>9008143</v>
      </c>
    </row>
    <row r="836" spans="1:9">
      <c r="A836" s="5">
        <v>10000835</v>
      </c>
      <c r="B836" s="3" t="s">
        <v>14</v>
      </c>
      <c r="C836" s="3" t="s">
        <v>65</v>
      </c>
      <c r="D836" s="3" t="s">
        <v>66</v>
      </c>
      <c r="E836" s="3" t="s">
        <v>64</v>
      </c>
      <c r="F836" s="3">
        <v>2023</v>
      </c>
      <c r="G836" s="3">
        <v>4</v>
      </c>
      <c r="H836" s="2">
        <v>5</v>
      </c>
      <c r="I836" s="4">
        <v>59031869</v>
      </c>
    </row>
    <row r="837" spans="1:9">
      <c r="A837" s="5">
        <v>10000836</v>
      </c>
      <c r="B837" s="3" t="s">
        <v>10</v>
      </c>
      <c r="C837" s="3" t="s">
        <v>67</v>
      </c>
      <c r="D837" s="3" t="s">
        <v>66</v>
      </c>
      <c r="E837" s="3" t="s">
        <v>64</v>
      </c>
      <c r="F837" s="3">
        <v>2023</v>
      </c>
      <c r="G837" s="3">
        <v>2</v>
      </c>
      <c r="H837" s="2">
        <v>4</v>
      </c>
      <c r="I837" s="4">
        <v>44047473</v>
      </c>
    </row>
    <row r="838" spans="1:9">
      <c r="A838" s="5">
        <v>10000837</v>
      </c>
      <c r="B838" s="3" t="s">
        <v>13</v>
      </c>
      <c r="C838" s="3" t="s">
        <v>65</v>
      </c>
      <c r="D838" s="3" t="s">
        <v>66</v>
      </c>
      <c r="E838" s="3" t="s">
        <v>64</v>
      </c>
      <c r="F838" s="3">
        <v>2005</v>
      </c>
      <c r="G838" s="3">
        <v>3</v>
      </c>
      <c r="H838" s="2">
        <v>3</v>
      </c>
      <c r="I838" s="4">
        <v>62803731</v>
      </c>
    </row>
    <row r="839" spans="1:9">
      <c r="A839" s="5">
        <v>10000838</v>
      </c>
      <c r="B839" s="3" t="s">
        <v>12</v>
      </c>
      <c r="C839" s="3" t="s">
        <v>67</v>
      </c>
      <c r="D839" s="3" t="s">
        <v>66</v>
      </c>
      <c r="E839" s="3" t="s">
        <v>64</v>
      </c>
      <c r="F839" s="3">
        <v>2004</v>
      </c>
      <c r="G839" s="3">
        <v>2</v>
      </c>
      <c r="H839" s="2">
        <v>3</v>
      </c>
      <c r="I839" s="4">
        <v>49977108</v>
      </c>
    </row>
    <row r="840" spans="1:9">
      <c r="A840" s="5">
        <v>10000839</v>
      </c>
      <c r="B840" s="3" t="s">
        <v>10</v>
      </c>
      <c r="C840" s="3" t="s">
        <v>67</v>
      </c>
      <c r="D840" s="3" t="s">
        <v>66</v>
      </c>
      <c r="E840" s="3" t="s">
        <v>64</v>
      </c>
      <c r="F840" s="3">
        <v>1994</v>
      </c>
      <c r="G840" s="3">
        <v>5</v>
      </c>
      <c r="H840" s="2">
        <v>5</v>
      </c>
      <c r="I840" s="4">
        <v>37135186</v>
      </c>
    </row>
    <row r="841" spans="1:9">
      <c r="A841" s="5">
        <v>10000840</v>
      </c>
      <c r="B841" s="3" t="s">
        <v>14</v>
      </c>
      <c r="C841" s="3" t="s">
        <v>65</v>
      </c>
      <c r="D841" s="3" t="s">
        <v>66</v>
      </c>
      <c r="E841" s="3" t="s">
        <v>64</v>
      </c>
      <c r="F841" s="3">
        <v>2017</v>
      </c>
      <c r="G841" s="3">
        <v>1</v>
      </c>
      <c r="H841" s="2">
        <v>5</v>
      </c>
      <c r="I841" s="4">
        <v>64846344</v>
      </c>
    </row>
    <row r="842" spans="1:9">
      <c r="A842" s="5">
        <v>10000841</v>
      </c>
      <c r="B842" s="3" t="s">
        <v>14</v>
      </c>
      <c r="C842" s="3" t="s">
        <v>65</v>
      </c>
      <c r="D842" s="3" t="s">
        <v>66</v>
      </c>
      <c r="E842" s="3" t="s">
        <v>64</v>
      </c>
      <c r="F842" s="3">
        <v>1991</v>
      </c>
      <c r="G842" s="3">
        <v>1</v>
      </c>
      <c r="H842" s="2">
        <v>4</v>
      </c>
      <c r="I842" s="4">
        <v>56671593</v>
      </c>
    </row>
    <row r="843" spans="1:9">
      <c r="A843" s="5">
        <v>10000842</v>
      </c>
      <c r="B843" s="3" t="s">
        <v>14</v>
      </c>
      <c r="C843" s="3" t="s">
        <v>65</v>
      </c>
      <c r="D843" s="3" t="s">
        <v>69</v>
      </c>
      <c r="E843" s="3" t="s">
        <v>62</v>
      </c>
      <c r="F843" s="3">
        <v>2018</v>
      </c>
      <c r="G843" s="3">
        <v>1</v>
      </c>
      <c r="H843" s="2">
        <v>1</v>
      </c>
      <c r="I843" s="4">
        <v>423763</v>
      </c>
    </row>
    <row r="844" spans="1:9">
      <c r="A844" s="5">
        <v>10000843</v>
      </c>
      <c r="B844" s="3" t="s">
        <v>12</v>
      </c>
      <c r="C844" s="3" t="s">
        <v>67</v>
      </c>
      <c r="D844" s="3" t="s">
        <v>66</v>
      </c>
      <c r="E844" s="3" t="s">
        <v>64</v>
      </c>
      <c r="F844" s="3">
        <v>2017</v>
      </c>
      <c r="G844" s="3">
        <v>2</v>
      </c>
      <c r="H844" s="2">
        <v>5</v>
      </c>
      <c r="I844" s="4">
        <v>57156930</v>
      </c>
    </row>
    <row r="845" spans="1:9">
      <c r="A845" s="5">
        <v>10000844</v>
      </c>
      <c r="B845" s="3" t="s">
        <v>14</v>
      </c>
      <c r="C845" s="3" t="s">
        <v>65</v>
      </c>
      <c r="D845" s="3" t="s">
        <v>66</v>
      </c>
      <c r="E845" s="3" t="s">
        <v>64</v>
      </c>
      <c r="F845" s="3">
        <v>1980</v>
      </c>
      <c r="G845" s="3">
        <v>3</v>
      </c>
      <c r="H845" s="2">
        <v>5</v>
      </c>
      <c r="I845" s="4">
        <v>48477854</v>
      </c>
    </row>
    <row r="846" spans="1:9">
      <c r="A846" s="5">
        <v>10000845</v>
      </c>
      <c r="B846" s="3" t="s">
        <v>11</v>
      </c>
      <c r="C846" s="3" t="s">
        <v>65</v>
      </c>
      <c r="D846" s="3" t="s">
        <v>68</v>
      </c>
      <c r="E846" s="3" t="s">
        <v>64</v>
      </c>
      <c r="F846" s="3">
        <v>2013</v>
      </c>
      <c r="G846" s="3">
        <v>5</v>
      </c>
      <c r="H846" s="2">
        <v>5</v>
      </c>
      <c r="I846" s="4">
        <v>15331407</v>
      </c>
    </row>
    <row r="847" spans="1:9">
      <c r="A847" s="5">
        <v>10000846</v>
      </c>
      <c r="B847" s="3" t="s">
        <v>10</v>
      </c>
      <c r="C847" s="3" t="s">
        <v>67</v>
      </c>
      <c r="D847" s="3" t="s">
        <v>66</v>
      </c>
      <c r="E847" s="3" t="s">
        <v>64</v>
      </c>
      <c r="F847" s="3">
        <v>2016</v>
      </c>
      <c r="G847" s="3">
        <v>4</v>
      </c>
      <c r="H847" s="2">
        <v>4</v>
      </c>
      <c r="I847" s="4">
        <v>38600742</v>
      </c>
    </row>
    <row r="848" spans="1:9">
      <c r="A848" s="5">
        <v>10000847</v>
      </c>
      <c r="B848" s="3" t="s">
        <v>10</v>
      </c>
      <c r="C848" s="3" t="s">
        <v>67</v>
      </c>
      <c r="D848" s="3" t="s">
        <v>69</v>
      </c>
      <c r="E848" s="3" t="s">
        <v>62</v>
      </c>
      <c r="F848" s="3">
        <v>2006</v>
      </c>
      <c r="G848" s="3">
        <v>1</v>
      </c>
      <c r="H848" s="2">
        <v>1</v>
      </c>
      <c r="I848" s="4">
        <v>509049</v>
      </c>
    </row>
    <row r="849" spans="1:9">
      <c r="A849" s="5">
        <v>10000848</v>
      </c>
      <c r="B849" s="3" t="s">
        <v>14</v>
      </c>
      <c r="C849" s="3" t="s">
        <v>65</v>
      </c>
      <c r="D849" s="3" t="s">
        <v>66</v>
      </c>
      <c r="E849" s="3" t="s">
        <v>64</v>
      </c>
      <c r="F849" s="3">
        <v>2017</v>
      </c>
      <c r="G849" s="3">
        <v>1</v>
      </c>
      <c r="H849" s="2">
        <v>3</v>
      </c>
      <c r="I849" s="4">
        <v>46893811</v>
      </c>
    </row>
    <row r="850" spans="1:9">
      <c r="A850" s="5">
        <v>10000849</v>
      </c>
      <c r="B850" s="3" t="s">
        <v>11</v>
      </c>
      <c r="C850" s="3" t="s">
        <v>65</v>
      </c>
      <c r="D850" s="3" t="s">
        <v>66</v>
      </c>
      <c r="E850" s="3" t="s">
        <v>64</v>
      </c>
      <c r="F850" s="3">
        <v>2016</v>
      </c>
      <c r="G850" s="3">
        <v>4</v>
      </c>
      <c r="H850" s="2">
        <v>5</v>
      </c>
      <c r="I850" s="4">
        <v>41858154</v>
      </c>
    </row>
    <row r="851" spans="1:9">
      <c r="A851" s="5">
        <v>10000850</v>
      </c>
      <c r="B851" s="3" t="s">
        <v>9</v>
      </c>
      <c r="C851" s="3" t="s">
        <v>67</v>
      </c>
      <c r="D851" s="3" t="s">
        <v>66</v>
      </c>
      <c r="E851" s="3" t="s">
        <v>64</v>
      </c>
      <c r="F851" s="3">
        <v>1993</v>
      </c>
      <c r="G851" s="3">
        <v>2</v>
      </c>
      <c r="H851" s="2">
        <v>5</v>
      </c>
      <c r="I851" s="4">
        <v>61537067</v>
      </c>
    </row>
    <row r="852" spans="1:9">
      <c r="A852" s="5">
        <v>10000851</v>
      </c>
      <c r="B852" s="3" t="s">
        <v>10</v>
      </c>
      <c r="C852" s="3" t="s">
        <v>67</v>
      </c>
      <c r="D852" s="3" t="s">
        <v>68</v>
      </c>
      <c r="E852" s="3" t="s">
        <v>64</v>
      </c>
      <c r="F852" s="3">
        <v>1998</v>
      </c>
      <c r="G852" s="3">
        <v>4</v>
      </c>
      <c r="H852" s="2">
        <v>4</v>
      </c>
      <c r="I852" s="4">
        <v>9105125</v>
      </c>
    </row>
    <row r="853" spans="1:9">
      <c r="A853" s="5">
        <v>10000852</v>
      </c>
      <c r="B853" s="3" t="s">
        <v>9</v>
      </c>
      <c r="C853" s="3" t="s">
        <v>67</v>
      </c>
      <c r="D853" s="3" t="s">
        <v>68</v>
      </c>
      <c r="E853" s="3" t="s">
        <v>64</v>
      </c>
      <c r="F853" s="3">
        <v>2002</v>
      </c>
      <c r="G853" s="3">
        <v>1</v>
      </c>
      <c r="H853" s="2">
        <v>5</v>
      </c>
      <c r="I853" s="4">
        <v>15147126</v>
      </c>
    </row>
    <row r="854" spans="1:9">
      <c r="A854" s="5">
        <v>10000853</v>
      </c>
      <c r="B854" s="3" t="s">
        <v>13</v>
      </c>
      <c r="C854" s="3" t="s">
        <v>65</v>
      </c>
      <c r="D854" s="3" t="s">
        <v>66</v>
      </c>
      <c r="E854" s="3" t="s">
        <v>64</v>
      </c>
      <c r="F854" s="3">
        <v>2020</v>
      </c>
      <c r="G854" s="3">
        <v>1</v>
      </c>
      <c r="H854" s="2">
        <v>5</v>
      </c>
      <c r="I854" s="4">
        <v>55083142</v>
      </c>
    </row>
    <row r="855" spans="1:9">
      <c r="A855" s="5">
        <v>10000854</v>
      </c>
      <c r="B855" s="3" t="s">
        <v>11</v>
      </c>
      <c r="C855" s="3" t="s">
        <v>65</v>
      </c>
      <c r="D855" s="3" t="s">
        <v>68</v>
      </c>
      <c r="E855" s="3" t="s">
        <v>63</v>
      </c>
      <c r="F855" s="3">
        <v>1999</v>
      </c>
      <c r="G855" s="3">
        <v>1</v>
      </c>
      <c r="H855" s="2">
        <v>0</v>
      </c>
      <c r="I855" s="4">
        <v>17163779</v>
      </c>
    </row>
    <row r="856" spans="1:9">
      <c r="A856" s="5">
        <v>10000855</v>
      </c>
      <c r="B856" s="3" t="s">
        <v>13</v>
      </c>
      <c r="C856" s="3" t="s">
        <v>65</v>
      </c>
      <c r="D856" s="3" t="s">
        <v>69</v>
      </c>
      <c r="E856" s="3" t="s">
        <v>63</v>
      </c>
      <c r="F856" s="3">
        <v>2004</v>
      </c>
      <c r="G856" s="3">
        <v>4</v>
      </c>
      <c r="H856" s="2">
        <v>1</v>
      </c>
      <c r="I856" s="4">
        <v>2177612</v>
      </c>
    </row>
    <row r="857" spans="1:9">
      <c r="A857" s="5">
        <v>10000856</v>
      </c>
      <c r="B857" s="3" t="s">
        <v>11</v>
      </c>
      <c r="C857" s="3" t="s">
        <v>65</v>
      </c>
      <c r="D857" s="3" t="s">
        <v>68</v>
      </c>
      <c r="E857" s="3" t="s">
        <v>63</v>
      </c>
      <c r="F857" s="3">
        <v>2014</v>
      </c>
      <c r="G857" s="3">
        <v>2</v>
      </c>
      <c r="H857" s="2">
        <v>0</v>
      </c>
      <c r="I857" s="4">
        <v>28019999</v>
      </c>
    </row>
    <row r="858" spans="1:9">
      <c r="A858" s="5">
        <v>10000857</v>
      </c>
      <c r="B858" s="3" t="s">
        <v>13</v>
      </c>
      <c r="C858" s="3" t="s">
        <v>65</v>
      </c>
      <c r="D858" s="3" t="s">
        <v>69</v>
      </c>
      <c r="E858" s="3" t="s">
        <v>64</v>
      </c>
      <c r="F858" s="3">
        <v>2021</v>
      </c>
      <c r="G858" s="3">
        <v>4</v>
      </c>
      <c r="H858" s="2">
        <v>5</v>
      </c>
      <c r="I858" s="4">
        <v>4905266</v>
      </c>
    </row>
    <row r="859" spans="1:9">
      <c r="A859" s="5">
        <v>10000858</v>
      </c>
      <c r="B859" s="3" t="s">
        <v>14</v>
      </c>
      <c r="C859" s="3" t="s">
        <v>65</v>
      </c>
      <c r="D859" s="3" t="s">
        <v>66</v>
      </c>
      <c r="E859" s="3" t="s">
        <v>64</v>
      </c>
      <c r="F859" s="3">
        <v>2014</v>
      </c>
      <c r="G859" s="3">
        <v>3</v>
      </c>
      <c r="H859" s="2">
        <v>5</v>
      </c>
      <c r="I859" s="4">
        <v>58588494</v>
      </c>
    </row>
    <row r="860" spans="1:9">
      <c r="A860" s="5">
        <v>10000859</v>
      </c>
      <c r="B860" s="3" t="s">
        <v>11</v>
      </c>
      <c r="C860" s="3" t="s">
        <v>65</v>
      </c>
      <c r="D860" s="3" t="s">
        <v>66</v>
      </c>
      <c r="E860" s="3" t="s">
        <v>64</v>
      </c>
      <c r="F860" s="3">
        <v>2004</v>
      </c>
      <c r="G860" s="3">
        <v>3</v>
      </c>
      <c r="H860" s="2">
        <v>3</v>
      </c>
      <c r="I860" s="4">
        <v>53351860</v>
      </c>
    </row>
    <row r="861" spans="1:9">
      <c r="A861" s="5">
        <v>10000860</v>
      </c>
      <c r="B861" s="3" t="s">
        <v>14</v>
      </c>
      <c r="C861" s="3" t="s">
        <v>65</v>
      </c>
      <c r="D861" s="3" t="s">
        <v>69</v>
      </c>
      <c r="E861" s="3" t="s">
        <v>62</v>
      </c>
      <c r="F861" s="3">
        <v>1984</v>
      </c>
      <c r="G861" s="3">
        <v>1</v>
      </c>
      <c r="H861" s="2">
        <v>1</v>
      </c>
      <c r="I861" s="4">
        <v>444958</v>
      </c>
    </row>
    <row r="862" spans="1:9">
      <c r="A862" s="5">
        <v>10000861</v>
      </c>
      <c r="B862" s="3" t="s">
        <v>12</v>
      </c>
      <c r="C862" s="3" t="s">
        <v>67</v>
      </c>
      <c r="D862" s="3" t="s">
        <v>69</v>
      </c>
      <c r="E862" s="3" t="s">
        <v>64</v>
      </c>
      <c r="F862" s="3">
        <v>1980</v>
      </c>
      <c r="G862" s="3">
        <v>3</v>
      </c>
      <c r="H862" s="2">
        <v>3</v>
      </c>
      <c r="I862" s="4">
        <v>4434217</v>
      </c>
    </row>
    <row r="863" spans="1:9">
      <c r="A863" s="5">
        <v>10000862</v>
      </c>
      <c r="B863" s="3" t="s">
        <v>13</v>
      </c>
      <c r="C863" s="3" t="s">
        <v>65</v>
      </c>
      <c r="D863" s="3" t="s">
        <v>66</v>
      </c>
      <c r="E863" s="3" t="s">
        <v>64</v>
      </c>
      <c r="F863" s="3">
        <v>1997</v>
      </c>
      <c r="G863" s="3">
        <v>1</v>
      </c>
      <c r="H863" s="2">
        <v>5</v>
      </c>
      <c r="I863" s="4">
        <v>47503112</v>
      </c>
    </row>
    <row r="864" spans="1:9">
      <c r="A864" s="5">
        <v>10000863</v>
      </c>
      <c r="B864" s="3" t="s">
        <v>14</v>
      </c>
      <c r="C864" s="3" t="s">
        <v>65</v>
      </c>
      <c r="D864" s="3" t="s">
        <v>66</v>
      </c>
      <c r="E864" s="3" t="s">
        <v>64</v>
      </c>
      <c r="F864" s="3">
        <v>1988</v>
      </c>
      <c r="G864" s="3">
        <v>5</v>
      </c>
      <c r="H864" s="2">
        <v>5</v>
      </c>
      <c r="I864" s="4">
        <v>31483200</v>
      </c>
    </row>
    <row r="865" spans="1:9">
      <c r="A865" s="5">
        <v>10000864</v>
      </c>
      <c r="B865" s="3" t="s">
        <v>13</v>
      </c>
      <c r="C865" s="3" t="s">
        <v>65</v>
      </c>
      <c r="D865" s="3" t="s">
        <v>69</v>
      </c>
      <c r="E865" s="3" t="s">
        <v>62</v>
      </c>
      <c r="F865" s="3">
        <v>2012</v>
      </c>
      <c r="G865" s="3">
        <v>1</v>
      </c>
      <c r="H865" s="2">
        <v>2</v>
      </c>
      <c r="I865" s="4">
        <v>465914</v>
      </c>
    </row>
    <row r="866" spans="1:9">
      <c r="A866" s="5">
        <v>10000865</v>
      </c>
      <c r="B866" s="3" t="s">
        <v>12</v>
      </c>
      <c r="C866" s="3" t="s">
        <v>67</v>
      </c>
      <c r="D866" s="3" t="s">
        <v>66</v>
      </c>
      <c r="E866" s="3" t="s">
        <v>64</v>
      </c>
      <c r="F866" s="3">
        <v>2013</v>
      </c>
      <c r="G866" s="3">
        <v>3</v>
      </c>
      <c r="H866" s="2">
        <v>4</v>
      </c>
      <c r="I866" s="4">
        <v>52463723</v>
      </c>
    </row>
    <row r="867" spans="1:9">
      <c r="A867" s="5">
        <v>10000866</v>
      </c>
      <c r="B867" s="3" t="s">
        <v>9</v>
      </c>
      <c r="C867" s="3" t="s">
        <v>67</v>
      </c>
      <c r="D867" s="3" t="s">
        <v>68</v>
      </c>
      <c r="E867" s="3" t="s">
        <v>64</v>
      </c>
      <c r="F867" s="3">
        <v>1999</v>
      </c>
      <c r="G867" s="3">
        <v>3</v>
      </c>
      <c r="H867" s="2">
        <v>5</v>
      </c>
      <c r="I867" s="4">
        <v>16315590</v>
      </c>
    </row>
    <row r="868" spans="1:9">
      <c r="A868" s="5">
        <v>10000867</v>
      </c>
      <c r="B868" s="3" t="s">
        <v>9</v>
      </c>
      <c r="C868" s="3" t="s">
        <v>67</v>
      </c>
      <c r="D868" s="3" t="s">
        <v>69</v>
      </c>
      <c r="E868" s="3" t="s">
        <v>63</v>
      </c>
      <c r="F868" s="3">
        <v>1988</v>
      </c>
      <c r="G868" s="3">
        <v>2</v>
      </c>
      <c r="H868" s="2">
        <v>0</v>
      </c>
      <c r="I868" s="4">
        <v>1770731</v>
      </c>
    </row>
    <row r="869" spans="1:9">
      <c r="A869" s="5">
        <v>10000868</v>
      </c>
      <c r="B869" s="3" t="s">
        <v>9</v>
      </c>
      <c r="C869" s="3" t="s">
        <v>67</v>
      </c>
      <c r="D869" s="3" t="s">
        <v>69</v>
      </c>
      <c r="E869" s="3" t="s">
        <v>62</v>
      </c>
      <c r="F869" s="3">
        <v>2023</v>
      </c>
      <c r="G869" s="3">
        <v>1</v>
      </c>
      <c r="H869" s="2">
        <v>2</v>
      </c>
      <c r="I869" s="4">
        <v>378192</v>
      </c>
    </row>
    <row r="870" spans="1:9">
      <c r="A870" s="5">
        <v>10000869</v>
      </c>
      <c r="B870" s="3" t="s">
        <v>12</v>
      </c>
      <c r="C870" s="3" t="s">
        <v>67</v>
      </c>
      <c r="D870" s="3" t="s">
        <v>69</v>
      </c>
      <c r="E870" s="3" t="s">
        <v>63</v>
      </c>
      <c r="F870" s="3">
        <v>2009</v>
      </c>
      <c r="G870" s="3">
        <v>3</v>
      </c>
      <c r="H870" s="2">
        <v>0</v>
      </c>
      <c r="I870" s="4">
        <v>2525247</v>
      </c>
    </row>
    <row r="871" spans="1:9">
      <c r="A871" s="5">
        <v>10000870</v>
      </c>
      <c r="B871" s="3" t="s">
        <v>14</v>
      </c>
      <c r="C871" s="3" t="s">
        <v>65</v>
      </c>
      <c r="D871" s="3" t="s">
        <v>66</v>
      </c>
      <c r="E871" s="3" t="s">
        <v>64</v>
      </c>
      <c r="F871" s="3">
        <v>1983</v>
      </c>
      <c r="G871" s="3">
        <v>1</v>
      </c>
      <c r="H871" s="2">
        <v>3</v>
      </c>
      <c r="I871" s="4">
        <v>58401409</v>
      </c>
    </row>
    <row r="872" spans="1:9">
      <c r="A872" s="5">
        <v>10000871</v>
      </c>
      <c r="B872" s="3" t="s">
        <v>10</v>
      </c>
      <c r="C872" s="3" t="s">
        <v>67</v>
      </c>
      <c r="D872" s="3" t="s">
        <v>66</v>
      </c>
      <c r="E872" s="3" t="s">
        <v>64</v>
      </c>
      <c r="F872" s="3">
        <v>2001</v>
      </c>
      <c r="G872" s="3">
        <v>1</v>
      </c>
      <c r="H872" s="2">
        <v>5</v>
      </c>
      <c r="I872" s="4">
        <v>50598482</v>
      </c>
    </row>
    <row r="873" spans="1:9">
      <c r="A873" s="5">
        <v>10000872</v>
      </c>
      <c r="B873" s="3" t="s">
        <v>10</v>
      </c>
      <c r="C873" s="3" t="s">
        <v>67</v>
      </c>
      <c r="D873" s="3" t="s">
        <v>68</v>
      </c>
      <c r="E873" s="3" t="s">
        <v>63</v>
      </c>
      <c r="F873" s="3">
        <v>1996</v>
      </c>
      <c r="G873" s="3">
        <v>4</v>
      </c>
      <c r="H873" s="2">
        <v>1</v>
      </c>
      <c r="I873" s="4">
        <v>15282778</v>
      </c>
    </row>
    <row r="874" spans="1:9">
      <c r="A874" s="5">
        <v>10000873</v>
      </c>
      <c r="B874" s="3" t="s">
        <v>12</v>
      </c>
      <c r="C874" s="3" t="s">
        <v>67</v>
      </c>
      <c r="D874" s="3" t="s">
        <v>69</v>
      </c>
      <c r="E874" s="3" t="s">
        <v>63</v>
      </c>
      <c r="F874" s="3">
        <v>1991</v>
      </c>
      <c r="G874" s="3">
        <v>3</v>
      </c>
      <c r="H874" s="2">
        <v>2</v>
      </c>
      <c r="I874" s="4">
        <v>5745287</v>
      </c>
    </row>
    <row r="875" spans="1:9">
      <c r="A875" s="5">
        <v>10000874</v>
      </c>
      <c r="B875" s="3" t="s">
        <v>11</v>
      </c>
      <c r="C875" s="3" t="s">
        <v>65</v>
      </c>
      <c r="D875" s="3" t="s">
        <v>68</v>
      </c>
      <c r="E875" s="3" t="s">
        <v>63</v>
      </c>
      <c r="F875" s="3">
        <v>2005</v>
      </c>
      <c r="G875" s="3">
        <v>3</v>
      </c>
      <c r="H875" s="2">
        <v>2</v>
      </c>
      <c r="I875" s="4">
        <v>11283163</v>
      </c>
    </row>
    <row r="876" spans="1:9">
      <c r="A876" s="5">
        <v>10000875</v>
      </c>
      <c r="B876" s="3" t="s">
        <v>14</v>
      </c>
      <c r="C876" s="3" t="s">
        <v>65</v>
      </c>
      <c r="D876" s="3" t="s">
        <v>68</v>
      </c>
      <c r="E876" s="3" t="s">
        <v>63</v>
      </c>
      <c r="F876" s="3">
        <v>1993</v>
      </c>
      <c r="G876" s="3">
        <v>4</v>
      </c>
      <c r="H876" s="2">
        <v>2</v>
      </c>
      <c r="I876" s="4">
        <v>8649516</v>
      </c>
    </row>
    <row r="877" spans="1:9">
      <c r="A877" s="5">
        <v>10000876</v>
      </c>
      <c r="B877" s="3" t="s">
        <v>10</v>
      </c>
      <c r="C877" s="3" t="s">
        <v>67</v>
      </c>
      <c r="D877" s="3" t="s">
        <v>66</v>
      </c>
      <c r="E877" s="3" t="s">
        <v>64</v>
      </c>
      <c r="F877" s="3">
        <v>2012</v>
      </c>
      <c r="G877" s="3">
        <v>4</v>
      </c>
      <c r="H877" s="2">
        <v>4</v>
      </c>
      <c r="I877" s="4">
        <v>40343418</v>
      </c>
    </row>
    <row r="878" spans="1:9">
      <c r="A878" s="5">
        <v>10000877</v>
      </c>
      <c r="B878" s="3" t="s">
        <v>13</v>
      </c>
      <c r="C878" s="3" t="s">
        <v>65</v>
      </c>
      <c r="D878" s="3" t="s">
        <v>69</v>
      </c>
      <c r="E878" s="3" t="s">
        <v>63</v>
      </c>
      <c r="F878" s="3">
        <v>2006</v>
      </c>
      <c r="G878" s="3">
        <v>4</v>
      </c>
      <c r="H878" s="2">
        <v>2</v>
      </c>
      <c r="I878" s="4">
        <v>1350218</v>
      </c>
    </row>
    <row r="879" spans="1:9">
      <c r="A879" s="5">
        <v>10000878</v>
      </c>
      <c r="B879" s="3" t="s">
        <v>13</v>
      </c>
      <c r="C879" s="3" t="s">
        <v>65</v>
      </c>
      <c r="D879" s="3" t="s">
        <v>68</v>
      </c>
      <c r="E879" s="3" t="s">
        <v>64</v>
      </c>
      <c r="F879" s="3">
        <v>2013</v>
      </c>
      <c r="G879" s="3">
        <v>1</v>
      </c>
      <c r="H879" s="2">
        <v>4</v>
      </c>
      <c r="I879" s="4">
        <v>8286800</v>
      </c>
    </row>
    <row r="880" spans="1:9">
      <c r="A880" s="5">
        <v>10000879</v>
      </c>
      <c r="B880" s="3" t="s">
        <v>11</v>
      </c>
      <c r="C880" s="3" t="s">
        <v>65</v>
      </c>
      <c r="D880" s="3" t="s">
        <v>69</v>
      </c>
      <c r="E880" s="3" t="s">
        <v>63</v>
      </c>
      <c r="F880" s="3">
        <v>2014</v>
      </c>
      <c r="G880" s="3">
        <v>3</v>
      </c>
      <c r="H880" s="2">
        <v>1</v>
      </c>
      <c r="I880" s="4">
        <v>2471091</v>
      </c>
    </row>
    <row r="881" spans="1:9">
      <c r="A881" s="5">
        <v>10000880</v>
      </c>
      <c r="B881" s="3" t="s">
        <v>9</v>
      </c>
      <c r="C881" s="3" t="s">
        <v>67</v>
      </c>
      <c r="D881" s="3" t="s">
        <v>69</v>
      </c>
      <c r="E881" s="3" t="s">
        <v>64</v>
      </c>
      <c r="F881" s="3">
        <v>1991</v>
      </c>
      <c r="G881" s="3">
        <v>4</v>
      </c>
      <c r="H881" s="2">
        <v>4</v>
      </c>
      <c r="I881" s="4">
        <v>1738299</v>
      </c>
    </row>
    <row r="882" spans="1:9">
      <c r="A882" s="5">
        <v>10000881</v>
      </c>
      <c r="B882" s="3" t="s">
        <v>14</v>
      </c>
      <c r="C882" s="3" t="s">
        <v>65</v>
      </c>
      <c r="D882" s="3" t="s">
        <v>66</v>
      </c>
      <c r="E882" s="3" t="s">
        <v>64</v>
      </c>
      <c r="F882" s="3">
        <v>2008</v>
      </c>
      <c r="G882" s="3">
        <v>1</v>
      </c>
      <c r="H882" s="2">
        <v>5</v>
      </c>
      <c r="I882" s="4">
        <v>65639816</v>
      </c>
    </row>
    <row r="883" spans="1:9">
      <c r="A883" s="5">
        <v>10000882</v>
      </c>
      <c r="B883" s="3" t="s">
        <v>10</v>
      </c>
      <c r="C883" s="3" t="s">
        <v>67</v>
      </c>
      <c r="D883" s="3" t="s">
        <v>68</v>
      </c>
      <c r="E883" s="3" t="s">
        <v>64</v>
      </c>
      <c r="F883" s="3">
        <v>1993</v>
      </c>
      <c r="G883" s="3">
        <v>2</v>
      </c>
      <c r="H883" s="2">
        <v>4</v>
      </c>
      <c r="I883" s="4">
        <v>10815554</v>
      </c>
    </row>
    <row r="884" spans="1:9">
      <c r="A884" s="5">
        <v>10000883</v>
      </c>
      <c r="B884" s="3" t="s">
        <v>10</v>
      </c>
      <c r="C884" s="3" t="s">
        <v>67</v>
      </c>
      <c r="D884" s="3" t="s">
        <v>69</v>
      </c>
      <c r="E884" s="3" t="s">
        <v>63</v>
      </c>
      <c r="F884" s="3">
        <v>2004</v>
      </c>
      <c r="G884" s="3">
        <v>5</v>
      </c>
      <c r="H884" s="2">
        <v>2</v>
      </c>
      <c r="I884" s="4">
        <v>5596547</v>
      </c>
    </row>
    <row r="885" spans="1:9">
      <c r="A885" s="5">
        <v>10000884</v>
      </c>
      <c r="B885" s="3" t="s">
        <v>10</v>
      </c>
      <c r="C885" s="3" t="s">
        <v>67</v>
      </c>
      <c r="D885" s="3" t="s">
        <v>66</v>
      </c>
      <c r="E885" s="3" t="s">
        <v>64</v>
      </c>
      <c r="F885" s="3">
        <v>1980</v>
      </c>
      <c r="G885" s="3">
        <v>3</v>
      </c>
      <c r="H885" s="2">
        <v>5</v>
      </c>
      <c r="I885" s="4">
        <v>49375658</v>
      </c>
    </row>
    <row r="886" spans="1:9">
      <c r="A886" s="5">
        <v>10000885</v>
      </c>
      <c r="B886" s="3" t="s">
        <v>11</v>
      </c>
      <c r="C886" s="3" t="s">
        <v>65</v>
      </c>
      <c r="D886" s="3" t="s">
        <v>69</v>
      </c>
      <c r="E886" s="3" t="s">
        <v>64</v>
      </c>
      <c r="F886" s="3">
        <v>2008</v>
      </c>
      <c r="G886" s="3">
        <v>4</v>
      </c>
      <c r="H886" s="2">
        <v>5</v>
      </c>
      <c r="I886" s="4">
        <v>1972797</v>
      </c>
    </row>
    <row r="887" spans="1:9">
      <c r="A887" s="5">
        <v>10000886</v>
      </c>
      <c r="B887" s="3" t="s">
        <v>9</v>
      </c>
      <c r="C887" s="3" t="s">
        <v>67</v>
      </c>
      <c r="D887" s="3" t="s">
        <v>69</v>
      </c>
      <c r="E887" s="3" t="s">
        <v>63</v>
      </c>
      <c r="F887" s="3">
        <v>1998</v>
      </c>
      <c r="G887" s="3">
        <v>2</v>
      </c>
      <c r="H887" s="2">
        <v>0</v>
      </c>
      <c r="I887" s="4">
        <v>3290675</v>
      </c>
    </row>
    <row r="888" spans="1:9">
      <c r="A888" s="5">
        <v>10000887</v>
      </c>
      <c r="B888" s="3" t="s">
        <v>9</v>
      </c>
      <c r="C888" s="3" t="s">
        <v>67</v>
      </c>
      <c r="D888" s="3" t="s">
        <v>66</v>
      </c>
      <c r="E888" s="3" t="s">
        <v>64</v>
      </c>
      <c r="F888" s="3">
        <v>1986</v>
      </c>
      <c r="G888" s="3">
        <v>4</v>
      </c>
      <c r="H888" s="2">
        <v>4</v>
      </c>
      <c r="I888" s="4">
        <v>42129801</v>
      </c>
    </row>
    <row r="889" spans="1:9">
      <c r="A889" s="5">
        <v>10000888</v>
      </c>
      <c r="B889" s="3" t="s">
        <v>11</v>
      </c>
      <c r="C889" s="3" t="s">
        <v>65</v>
      </c>
      <c r="D889" s="3" t="s">
        <v>68</v>
      </c>
      <c r="E889" s="3" t="s">
        <v>64</v>
      </c>
      <c r="F889" s="3">
        <v>2003</v>
      </c>
      <c r="G889" s="3">
        <v>4</v>
      </c>
      <c r="H889" s="2">
        <v>3</v>
      </c>
      <c r="I889" s="4">
        <v>19388711</v>
      </c>
    </row>
    <row r="890" spans="1:9">
      <c r="A890" s="5">
        <v>10000889</v>
      </c>
      <c r="B890" s="3" t="s">
        <v>11</v>
      </c>
      <c r="C890" s="3" t="s">
        <v>65</v>
      </c>
      <c r="D890" s="3" t="s">
        <v>66</v>
      </c>
      <c r="E890" s="3" t="s">
        <v>64</v>
      </c>
      <c r="F890" s="3">
        <v>2015</v>
      </c>
      <c r="G890" s="3">
        <v>1</v>
      </c>
      <c r="H890" s="2">
        <v>3</v>
      </c>
      <c r="I890" s="4">
        <v>59068611</v>
      </c>
    </row>
    <row r="891" spans="1:9">
      <c r="A891" s="5">
        <v>10000890</v>
      </c>
      <c r="B891" s="3" t="s">
        <v>11</v>
      </c>
      <c r="C891" s="3" t="s">
        <v>65</v>
      </c>
      <c r="D891" s="3" t="s">
        <v>68</v>
      </c>
      <c r="E891" s="3" t="s">
        <v>64</v>
      </c>
      <c r="F891" s="3">
        <v>2021</v>
      </c>
      <c r="G891" s="3">
        <v>2</v>
      </c>
      <c r="H891" s="2">
        <v>3</v>
      </c>
      <c r="I891" s="4">
        <v>6797438</v>
      </c>
    </row>
    <row r="892" spans="1:9">
      <c r="A892" s="5">
        <v>10000891</v>
      </c>
      <c r="B892" s="3" t="s">
        <v>11</v>
      </c>
      <c r="C892" s="3" t="s">
        <v>65</v>
      </c>
      <c r="D892" s="3" t="s">
        <v>66</v>
      </c>
      <c r="E892" s="3" t="s">
        <v>64</v>
      </c>
      <c r="F892" s="3">
        <v>1983</v>
      </c>
      <c r="G892" s="3">
        <v>2</v>
      </c>
      <c r="H892" s="2">
        <v>3</v>
      </c>
      <c r="I892" s="4">
        <v>51687417</v>
      </c>
    </row>
    <row r="893" spans="1:9">
      <c r="A893" s="5">
        <v>10000892</v>
      </c>
      <c r="B893" s="3" t="s">
        <v>10</v>
      </c>
      <c r="C893" s="3" t="s">
        <v>67</v>
      </c>
      <c r="D893" s="3" t="s">
        <v>68</v>
      </c>
      <c r="E893" s="3" t="s">
        <v>63</v>
      </c>
      <c r="F893" s="3">
        <v>2008</v>
      </c>
      <c r="G893" s="3">
        <v>2</v>
      </c>
      <c r="H893" s="2">
        <v>0</v>
      </c>
      <c r="I893" s="4">
        <v>17695909</v>
      </c>
    </row>
    <row r="894" spans="1:9">
      <c r="A894" s="5">
        <v>10000893</v>
      </c>
      <c r="B894" s="3" t="s">
        <v>13</v>
      </c>
      <c r="C894" s="3" t="s">
        <v>65</v>
      </c>
      <c r="D894" s="3" t="s">
        <v>66</v>
      </c>
      <c r="E894" s="3" t="s">
        <v>64</v>
      </c>
      <c r="F894" s="3">
        <v>2004</v>
      </c>
      <c r="G894" s="3">
        <v>2</v>
      </c>
      <c r="H894" s="2">
        <v>4</v>
      </c>
      <c r="I894" s="4">
        <v>70272839</v>
      </c>
    </row>
    <row r="895" spans="1:9">
      <c r="A895" s="5">
        <v>10000894</v>
      </c>
      <c r="B895" s="3" t="s">
        <v>10</v>
      </c>
      <c r="C895" s="3" t="s">
        <v>67</v>
      </c>
      <c r="D895" s="3" t="s">
        <v>68</v>
      </c>
      <c r="E895" s="3" t="s">
        <v>64</v>
      </c>
      <c r="F895" s="3">
        <v>1989</v>
      </c>
      <c r="G895" s="3">
        <v>5</v>
      </c>
      <c r="H895" s="2">
        <v>3</v>
      </c>
      <c r="I895" s="4">
        <v>15437938</v>
      </c>
    </row>
    <row r="896" spans="1:9">
      <c r="A896" s="5">
        <v>10000895</v>
      </c>
      <c r="B896" s="3" t="s">
        <v>14</v>
      </c>
      <c r="C896" s="3" t="s">
        <v>65</v>
      </c>
      <c r="D896" s="3" t="s">
        <v>66</v>
      </c>
      <c r="E896" s="3" t="s">
        <v>64</v>
      </c>
      <c r="F896" s="3">
        <v>2012</v>
      </c>
      <c r="G896" s="3">
        <v>4</v>
      </c>
      <c r="H896" s="2">
        <v>5</v>
      </c>
      <c r="I896" s="4">
        <v>45249890</v>
      </c>
    </row>
    <row r="897" spans="1:9">
      <c r="A897" s="5">
        <v>10000896</v>
      </c>
      <c r="B897" s="3" t="s">
        <v>14</v>
      </c>
      <c r="C897" s="3" t="s">
        <v>65</v>
      </c>
      <c r="D897" s="3" t="s">
        <v>69</v>
      </c>
      <c r="E897" s="3" t="s">
        <v>63</v>
      </c>
      <c r="F897" s="3">
        <v>2007</v>
      </c>
      <c r="G897" s="3">
        <v>2</v>
      </c>
      <c r="H897" s="2">
        <v>1</v>
      </c>
      <c r="I897" s="4">
        <v>2363724</v>
      </c>
    </row>
    <row r="898" spans="1:9">
      <c r="A898" s="5">
        <v>10000897</v>
      </c>
      <c r="B898" s="3" t="s">
        <v>13</v>
      </c>
      <c r="C898" s="3" t="s">
        <v>65</v>
      </c>
      <c r="D898" s="3" t="s">
        <v>69</v>
      </c>
      <c r="E898" s="3" t="s">
        <v>63</v>
      </c>
      <c r="F898" s="3">
        <v>1991</v>
      </c>
      <c r="G898" s="3">
        <v>4</v>
      </c>
      <c r="H898" s="2">
        <v>0</v>
      </c>
      <c r="I898" s="4">
        <v>4294896</v>
      </c>
    </row>
    <row r="899" spans="1:9">
      <c r="A899" s="5">
        <v>10000898</v>
      </c>
      <c r="B899" s="3" t="s">
        <v>9</v>
      </c>
      <c r="C899" s="3" t="s">
        <v>67</v>
      </c>
      <c r="D899" s="3" t="s">
        <v>66</v>
      </c>
      <c r="E899" s="3" t="s">
        <v>64</v>
      </c>
      <c r="F899" s="3">
        <v>1992</v>
      </c>
      <c r="G899" s="3">
        <v>2</v>
      </c>
      <c r="H899" s="2">
        <v>3</v>
      </c>
      <c r="I899" s="4">
        <v>48108135</v>
      </c>
    </row>
    <row r="900" spans="1:9">
      <c r="A900" s="5">
        <v>10000899</v>
      </c>
      <c r="B900" s="3" t="s">
        <v>9</v>
      </c>
      <c r="C900" s="3" t="s">
        <v>67</v>
      </c>
      <c r="D900" s="3" t="s">
        <v>68</v>
      </c>
      <c r="E900" s="3" t="s">
        <v>63</v>
      </c>
      <c r="F900" s="3">
        <v>2009</v>
      </c>
      <c r="G900" s="3">
        <v>4</v>
      </c>
      <c r="H900" s="2">
        <v>2</v>
      </c>
      <c r="I900" s="4">
        <v>9413475</v>
      </c>
    </row>
    <row r="901" spans="1:9">
      <c r="A901" s="5">
        <v>10000900</v>
      </c>
      <c r="B901" s="3" t="s">
        <v>10</v>
      </c>
      <c r="C901" s="3" t="s">
        <v>67</v>
      </c>
      <c r="D901" s="3" t="s">
        <v>66</v>
      </c>
      <c r="E901" s="3" t="s">
        <v>64</v>
      </c>
      <c r="F901" s="3">
        <v>1992</v>
      </c>
      <c r="G901" s="3">
        <v>5</v>
      </c>
      <c r="H901" s="2">
        <v>4</v>
      </c>
      <c r="I901" s="4">
        <v>35767373</v>
      </c>
    </row>
    <row r="902" spans="1:9">
      <c r="A902" s="5">
        <v>10000901</v>
      </c>
      <c r="B902" s="3" t="s">
        <v>13</v>
      </c>
      <c r="C902" s="3" t="s">
        <v>65</v>
      </c>
      <c r="D902" s="3" t="s">
        <v>66</v>
      </c>
      <c r="E902" s="3" t="s">
        <v>64</v>
      </c>
      <c r="F902" s="3">
        <v>2002</v>
      </c>
      <c r="G902" s="3">
        <v>4</v>
      </c>
      <c r="H902" s="2">
        <v>5</v>
      </c>
      <c r="I902" s="4">
        <v>64899227</v>
      </c>
    </row>
    <row r="903" spans="1:9">
      <c r="A903" s="5">
        <v>10000902</v>
      </c>
      <c r="B903" s="3" t="s">
        <v>14</v>
      </c>
      <c r="C903" s="3" t="s">
        <v>65</v>
      </c>
      <c r="D903" s="3" t="s">
        <v>69</v>
      </c>
      <c r="E903" s="3" t="s">
        <v>64</v>
      </c>
      <c r="F903" s="3">
        <v>1998</v>
      </c>
      <c r="G903" s="3">
        <v>3</v>
      </c>
      <c r="H903" s="2">
        <v>4</v>
      </c>
      <c r="I903" s="4">
        <v>6625615</v>
      </c>
    </row>
    <row r="904" spans="1:9">
      <c r="A904" s="5">
        <v>10000903</v>
      </c>
      <c r="B904" s="3" t="s">
        <v>13</v>
      </c>
      <c r="C904" s="3" t="s">
        <v>65</v>
      </c>
      <c r="D904" s="3" t="s">
        <v>66</v>
      </c>
      <c r="E904" s="3" t="s">
        <v>64</v>
      </c>
      <c r="F904" s="3">
        <v>1984</v>
      </c>
      <c r="G904" s="3">
        <v>2</v>
      </c>
      <c r="H904" s="2">
        <v>4</v>
      </c>
      <c r="I904" s="4">
        <v>58307761</v>
      </c>
    </row>
    <row r="905" spans="1:9">
      <c r="A905" s="5">
        <v>10000904</v>
      </c>
      <c r="B905" s="3" t="s">
        <v>14</v>
      </c>
      <c r="C905" s="3" t="s">
        <v>65</v>
      </c>
      <c r="D905" s="3" t="s">
        <v>68</v>
      </c>
      <c r="E905" s="3" t="s">
        <v>64</v>
      </c>
      <c r="F905" s="3">
        <v>1982</v>
      </c>
      <c r="G905" s="3">
        <v>2</v>
      </c>
      <c r="H905" s="2">
        <v>4</v>
      </c>
      <c r="I905" s="4">
        <v>16010532</v>
      </c>
    </row>
    <row r="906" spans="1:9">
      <c r="A906" s="5">
        <v>10000905</v>
      </c>
      <c r="B906" s="3" t="s">
        <v>11</v>
      </c>
      <c r="C906" s="3" t="s">
        <v>65</v>
      </c>
      <c r="D906" s="3" t="s">
        <v>69</v>
      </c>
      <c r="E906" s="3" t="s">
        <v>64</v>
      </c>
      <c r="F906" s="3">
        <v>1999</v>
      </c>
      <c r="G906" s="3">
        <v>3</v>
      </c>
      <c r="H906" s="2">
        <v>3</v>
      </c>
      <c r="I906" s="4">
        <v>2779472</v>
      </c>
    </row>
    <row r="907" spans="1:9">
      <c r="A907" s="5">
        <v>10000906</v>
      </c>
      <c r="B907" s="3" t="s">
        <v>13</v>
      </c>
      <c r="C907" s="3" t="s">
        <v>65</v>
      </c>
      <c r="D907" s="3" t="s">
        <v>68</v>
      </c>
      <c r="E907" s="3" t="s">
        <v>64</v>
      </c>
      <c r="F907" s="3">
        <v>2024</v>
      </c>
      <c r="G907" s="3">
        <v>3</v>
      </c>
      <c r="H907" s="2">
        <v>5</v>
      </c>
      <c r="I907" s="4">
        <v>25043861</v>
      </c>
    </row>
    <row r="908" spans="1:9">
      <c r="A908" s="5">
        <v>10000907</v>
      </c>
      <c r="B908" s="3" t="s">
        <v>14</v>
      </c>
      <c r="C908" s="3" t="s">
        <v>65</v>
      </c>
      <c r="D908" s="3" t="s">
        <v>66</v>
      </c>
      <c r="E908" s="3" t="s">
        <v>64</v>
      </c>
      <c r="F908" s="3">
        <v>2005</v>
      </c>
      <c r="G908" s="3">
        <v>3</v>
      </c>
      <c r="H908" s="2">
        <v>3</v>
      </c>
      <c r="I908" s="4">
        <v>43113835</v>
      </c>
    </row>
    <row r="909" spans="1:9">
      <c r="A909" s="5">
        <v>10000908</v>
      </c>
      <c r="B909" s="3" t="s">
        <v>11</v>
      </c>
      <c r="C909" s="3" t="s">
        <v>65</v>
      </c>
      <c r="D909" s="3" t="s">
        <v>68</v>
      </c>
      <c r="E909" s="3" t="s">
        <v>64</v>
      </c>
      <c r="F909" s="3">
        <v>1990</v>
      </c>
      <c r="G909" s="3">
        <v>4</v>
      </c>
      <c r="H909" s="2">
        <v>3</v>
      </c>
      <c r="I909" s="4">
        <v>21336707</v>
      </c>
    </row>
    <row r="910" spans="1:9">
      <c r="A910" s="5">
        <v>10000909</v>
      </c>
      <c r="B910" s="3" t="s">
        <v>12</v>
      </c>
      <c r="C910" s="3" t="s">
        <v>67</v>
      </c>
      <c r="D910" s="3" t="s">
        <v>66</v>
      </c>
      <c r="E910" s="3" t="s">
        <v>64</v>
      </c>
      <c r="F910" s="3">
        <v>2024</v>
      </c>
      <c r="G910" s="3">
        <v>2</v>
      </c>
      <c r="H910" s="2">
        <v>4</v>
      </c>
      <c r="I910" s="4">
        <v>43600700</v>
      </c>
    </row>
    <row r="911" spans="1:9">
      <c r="A911" s="5">
        <v>10000910</v>
      </c>
      <c r="B911" s="3" t="s">
        <v>14</v>
      </c>
      <c r="C911" s="3" t="s">
        <v>65</v>
      </c>
      <c r="D911" s="3" t="s">
        <v>66</v>
      </c>
      <c r="E911" s="3" t="s">
        <v>64</v>
      </c>
      <c r="F911" s="3">
        <v>2013</v>
      </c>
      <c r="G911" s="3">
        <v>1</v>
      </c>
      <c r="H911" s="2">
        <v>4</v>
      </c>
      <c r="I911" s="4">
        <v>56819067</v>
      </c>
    </row>
    <row r="912" spans="1:9">
      <c r="A912" s="5">
        <v>10000911</v>
      </c>
      <c r="B912" s="3" t="s">
        <v>11</v>
      </c>
      <c r="C912" s="3" t="s">
        <v>65</v>
      </c>
      <c r="D912" s="3" t="s">
        <v>69</v>
      </c>
      <c r="E912" s="3" t="s">
        <v>63</v>
      </c>
      <c r="F912" s="3">
        <v>1996</v>
      </c>
      <c r="G912" s="3">
        <v>1</v>
      </c>
      <c r="H912" s="2">
        <v>2</v>
      </c>
      <c r="I912" s="4">
        <v>4200740</v>
      </c>
    </row>
    <row r="913" spans="1:9">
      <c r="A913" s="5">
        <v>10000912</v>
      </c>
      <c r="B913" s="3" t="s">
        <v>12</v>
      </c>
      <c r="C913" s="3" t="s">
        <v>67</v>
      </c>
      <c r="D913" s="3" t="s">
        <v>66</v>
      </c>
      <c r="E913" s="3" t="s">
        <v>64</v>
      </c>
      <c r="F913" s="3">
        <v>2015</v>
      </c>
      <c r="G913" s="3">
        <v>3</v>
      </c>
      <c r="H913" s="2">
        <v>4</v>
      </c>
      <c r="I913" s="4">
        <v>44704403</v>
      </c>
    </row>
    <row r="914" spans="1:9">
      <c r="A914" s="5">
        <v>10000913</v>
      </c>
      <c r="B914" s="3" t="s">
        <v>14</v>
      </c>
      <c r="C914" s="3" t="s">
        <v>65</v>
      </c>
      <c r="D914" s="3" t="s">
        <v>66</v>
      </c>
      <c r="E914" s="3" t="s">
        <v>64</v>
      </c>
      <c r="F914" s="3">
        <v>1995</v>
      </c>
      <c r="G914" s="3">
        <v>3</v>
      </c>
      <c r="H914" s="2">
        <v>4</v>
      </c>
      <c r="I914" s="4">
        <v>46643731</v>
      </c>
    </row>
    <row r="915" spans="1:9">
      <c r="A915" s="5">
        <v>10000914</v>
      </c>
      <c r="B915" s="3" t="s">
        <v>13</v>
      </c>
      <c r="C915" s="3" t="s">
        <v>65</v>
      </c>
      <c r="D915" s="3" t="s">
        <v>69</v>
      </c>
      <c r="E915" s="3" t="s">
        <v>64</v>
      </c>
      <c r="F915" s="3">
        <v>2021</v>
      </c>
      <c r="G915" s="3">
        <v>2</v>
      </c>
      <c r="H915" s="2">
        <v>4</v>
      </c>
      <c r="I915" s="4">
        <v>1506193</v>
      </c>
    </row>
    <row r="916" spans="1:9">
      <c r="A916" s="5">
        <v>10000915</v>
      </c>
      <c r="B916" s="3" t="s">
        <v>12</v>
      </c>
      <c r="C916" s="3" t="s">
        <v>67</v>
      </c>
      <c r="D916" s="3" t="s">
        <v>69</v>
      </c>
      <c r="E916" s="3" t="s">
        <v>64</v>
      </c>
      <c r="F916" s="3">
        <v>2010</v>
      </c>
      <c r="G916" s="3">
        <v>3</v>
      </c>
      <c r="H916" s="2">
        <v>4</v>
      </c>
      <c r="I916" s="4">
        <v>2364938</v>
      </c>
    </row>
    <row r="917" spans="1:9">
      <c r="A917" s="5">
        <v>10000916</v>
      </c>
      <c r="B917" s="3" t="s">
        <v>11</v>
      </c>
      <c r="C917" s="3" t="s">
        <v>65</v>
      </c>
      <c r="D917" s="3" t="s">
        <v>66</v>
      </c>
      <c r="E917" s="3" t="s">
        <v>64</v>
      </c>
      <c r="F917" s="3">
        <v>1999</v>
      </c>
      <c r="G917" s="3">
        <v>4</v>
      </c>
      <c r="H917" s="2">
        <v>3</v>
      </c>
      <c r="I917" s="4">
        <v>61271717</v>
      </c>
    </row>
    <row r="918" spans="1:9">
      <c r="A918" s="5">
        <v>10000917</v>
      </c>
      <c r="B918" s="3" t="s">
        <v>13</v>
      </c>
      <c r="C918" s="3" t="s">
        <v>65</v>
      </c>
      <c r="D918" s="3" t="s">
        <v>69</v>
      </c>
      <c r="E918" s="3" t="s">
        <v>62</v>
      </c>
      <c r="F918" s="3">
        <v>2010</v>
      </c>
      <c r="G918" s="3">
        <v>1</v>
      </c>
      <c r="H918" s="2">
        <v>0</v>
      </c>
      <c r="I918" s="4">
        <v>551796</v>
      </c>
    </row>
    <row r="919" spans="1:9">
      <c r="A919" s="5">
        <v>10000918</v>
      </c>
      <c r="B919" s="3" t="s">
        <v>13</v>
      </c>
      <c r="C919" s="3" t="s">
        <v>65</v>
      </c>
      <c r="D919" s="3" t="s">
        <v>66</v>
      </c>
      <c r="E919" s="3" t="s">
        <v>64</v>
      </c>
      <c r="F919" s="3">
        <v>1997</v>
      </c>
      <c r="G919" s="3">
        <v>2</v>
      </c>
      <c r="H919" s="2">
        <v>4</v>
      </c>
      <c r="I919" s="4">
        <v>64357020</v>
      </c>
    </row>
    <row r="920" spans="1:9">
      <c r="A920" s="5">
        <v>10000919</v>
      </c>
      <c r="B920" s="3" t="s">
        <v>10</v>
      </c>
      <c r="C920" s="3" t="s">
        <v>67</v>
      </c>
      <c r="D920" s="3" t="s">
        <v>66</v>
      </c>
      <c r="E920" s="3" t="s">
        <v>64</v>
      </c>
      <c r="F920" s="3">
        <v>2023</v>
      </c>
      <c r="G920" s="3">
        <v>1</v>
      </c>
      <c r="H920" s="2">
        <v>4</v>
      </c>
      <c r="I920" s="4">
        <v>37838156</v>
      </c>
    </row>
    <row r="921" spans="1:9">
      <c r="A921" s="5">
        <v>10000920</v>
      </c>
      <c r="B921" s="3" t="s">
        <v>13</v>
      </c>
      <c r="C921" s="3" t="s">
        <v>65</v>
      </c>
      <c r="D921" s="3" t="s">
        <v>66</v>
      </c>
      <c r="E921" s="3" t="s">
        <v>64</v>
      </c>
      <c r="F921" s="3">
        <v>1997</v>
      </c>
      <c r="G921" s="3">
        <v>3</v>
      </c>
      <c r="H921" s="2">
        <v>5</v>
      </c>
      <c r="I921" s="4">
        <v>54448115</v>
      </c>
    </row>
    <row r="922" spans="1:9">
      <c r="A922" s="5">
        <v>10000921</v>
      </c>
      <c r="B922" s="3" t="s">
        <v>9</v>
      </c>
      <c r="C922" s="3" t="s">
        <v>67</v>
      </c>
      <c r="D922" s="3" t="s">
        <v>68</v>
      </c>
      <c r="E922" s="3" t="s">
        <v>64</v>
      </c>
      <c r="F922" s="3">
        <v>1989</v>
      </c>
      <c r="G922" s="3">
        <v>5</v>
      </c>
      <c r="H922" s="2">
        <v>5</v>
      </c>
      <c r="I922" s="4">
        <v>19376586</v>
      </c>
    </row>
    <row r="923" spans="1:9">
      <c r="A923" s="5">
        <v>10000922</v>
      </c>
      <c r="B923" s="3" t="s">
        <v>14</v>
      </c>
      <c r="C923" s="3" t="s">
        <v>65</v>
      </c>
      <c r="D923" s="3" t="s">
        <v>69</v>
      </c>
      <c r="E923" s="3" t="s">
        <v>62</v>
      </c>
      <c r="F923" s="3">
        <v>2010</v>
      </c>
      <c r="G923" s="3">
        <v>1</v>
      </c>
      <c r="H923" s="2">
        <v>2</v>
      </c>
      <c r="I923" s="4">
        <v>537197</v>
      </c>
    </row>
    <row r="924" spans="1:9">
      <c r="A924" s="5">
        <v>10000923</v>
      </c>
      <c r="B924" s="3" t="s">
        <v>11</v>
      </c>
      <c r="C924" s="3" t="s">
        <v>65</v>
      </c>
      <c r="D924" s="3" t="s">
        <v>68</v>
      </c>
      <c r="E924" s="3" t="s">
        <v>63</v>
      </c>
      <c r="F924" s="3">
        <v>1997</v>
      </c>
      <c r="G924" s="3">
        <v>3</v>
      </c>
      <c r="H924" s="2">
        <v>0</v>
      </c>
      <c r="I924" s="4">
        <v>18939771</v>
      </c>
    </row>
    <row r="925" spans="1:9">
      <c r="A925" s="5">
        <v>10000924</v>
      </c>
      <c r="B925" s="3" t="s">
        <v>10</v>
      </c>
      <c r="C925" s="3" t="s">
        <v>67</v>
      </c>
      <c r="D925" s="3" t="s">
        <v>69</v>
      </c>
      <c r="E925" s="3" t="s">
        <v>63</v>
      </c>
      <c r="F925" s="3">
        <v>2019</v>
      </c>
      <c r="G925" s="3">
        <v>4</v>
      </c>
      <c r="H925" s="2">
        <v>0</v>
      </c>
      <c r="I925" s="4">
        <v>1992077</v>
      </c>
    </row>
    <row r="926" spans="1:9">
      <c r="A926" s="5">
        <v>10000925</v>
      </c>
      <c r="B926" s="3" t="s">
        <v>9</v>
      </c>
      <c r="C926" s="3" t="s">
        <v>67</v>
      </c>
      <c r="D926" s="3" t="s">
        <v>68</v>
      </c>
      <c r="E926" s="3" t="s">
        <v>64</v>
      </c>
      <c r="F926" s="3">
        <v>1982</v>
      </c>
      <c r="G926" s="3">
        <v>5</v>
      </c>
      <c r="H926" s="2">
        <v>3</v>
      </c>
      <c r="I926" s="4">
        <v>12781609</v>
      </c>
    </row>
    <row r="927" spans="1:9">
      <c r="A927" s="5">
        <v>10000926</v>
      </c>
      <c r="B927" s="3" t="s">
        <v>13</v>
      </c>
      <c r="C927" s="3" t="s">
        <v>65</v>
      </c>
      <c r="D927" s="3" t="s">
        <v>66</v>
      </c>
      <c r="E927" s="3" t="s">
        <v>64</v>
      </c>
      <c r="F927" s="3">
        <v>2009</v>
      </c>
      <c r="G927" s="3">
        <v>2</v>
      </c>
      <c r="H927" s="2">
        <v>4</v>
      </c>
      <c r="I927" s="4">
        <v>39711325</v>
      </c>
    </row>
    <row r="928" spans="1:9">
      <c r="A928" s="5">
        <v>10000927</v>
      </c>
      <c r="B928" s="3" t="s">
        <v>14</v>
      </c>
      <c r="C928" s="3" t="s">
        <v>65</v>
      </c>
      <c r="D928" s="3" t="s">
        <v>68</v>
      </c>
      <c r="E928" s="3" t="s">
        <v>64</v>
      </c>
      <c r="F928" s="3">
        <v>1993</v>
      </c>
      <c r="G928" s="3">
        <v>5</v>
      </c>
      <c r="H928" s="2">
        <v>3</v>
      </c>
      <c r="I928" s="4">
        <v>9058863</v>
      </c>
    </row>
    <row r="929" spans="1:9">
      <c r="A929" s="5">
        <v>10000928</v>
      </c>
      <c r="B929" s="3" t="s">
        <v>9</v>
      </c>
      <c r="C929" s="3" t="s">
        <v>67</v>
      </c>
      <c r="D929" s="3" t="s">
        <v>68</v>
      </c>
      <c r="E929" s="3" t="s">
        <v>64</v>
      </c>
      <c r="F929" s="3">
        <v>2024</v>
      </c>
      <c r="G929" s="3">
        <v>4</v>
      </c>
      <c r="H929" s="2">
        <v>5</v>
      </c>
      <c r="I929" s="4">
        <v>19757642</v>
      </c>
    </row>
    <row r="930" spans="1:9">
      <c r="A930" s="5">
        <v>10000929</v>
      </c>
      <c r="B930" s="3" t="s">
        <v>13</v>
      </c>
      <c r="C930" s="3" t="s">
        <v>65</v>
      </c>
      <c r="D930" s="3" t="s">
        <v>69</v>
      </c>
      <c r="E930" s="3" t="s">
        <v>63</v>
      </c>
      <c r="F930" s="3">
        <v>2009</v>
      </c>
      <c r="G930" s="3">
        <v>5</v>
      </c>
      <c r="H930" s="2">
        <v>0</v>
      </c>
      <c r="I930" s="4">
        <v>4790233</v>
      </c>
    </row>
    <row r="931" spans="1:9">
      <c r="A931" s="5">
        <v>10000930</v>
      </c>
      <c r="B931" s="3" t="s">
        <v>9</v>
      </c>
      <c r="C931" s="3" t="s">
        <v>67</v>
      </c>
      <c r="D931" s="3" t="s">
        <v>68</v>
      </c>
      <c r="E931" s="3" t="s">
        <v>64</v>
      </c>
      <c r="F931" s="3">
        <v>1985</v>
      </c>
      <c r="G931" s="3">
        <v>4</v>
      </c>
      <c r="H931" s="2">
        <v>4</v>
      </c>
      <c r="I931" s="4">
        <v>18694799</v>
      </c>
    </row>
    <row r="932" spans="1:9">
      <c r="A932" s="5">
        <v>10000931</v>
      </c>
      <c r="B932" s="3" t="s">
        <v>13</v>
      </c>
      <c r="C932" s="3" t="s">
        <v>65</v>
      </c>
      <c r="D932" s="3" t="s">
        <v>66</v>
      </c>
      <c r="E932" s="3" t="s">
        <v>64</v>
      </c>
      <c r="F932" s="3">
        <v>2018</v>
      </c>
      <c r="G932" s="3">
        <v>5</v>
      </c>
      <c r="H932" s="2">
        <v>5</v>
      </c>
      <c r="I932" s="4">
        <v>68716439</v>
      </c>
    </row>
    <row r="933" spans="1:9">
      <c r="A933" s="5">
        <v>10000932</v>
      </c>
      <c r="B933" s="3" t="s">
        <v>11</v>
      </c>
      <c r="C933" s="3" t="s">
        <v>65</v>
      </c>
      <c r="D933" s="3" t="s">
        <v>66</v>
      </c>
      <c r="E933" s="3" t="s">
        <v>64</v>
      </c>
      <c r="F933" s="3">
        <v>2003</v>
      </c>
      <c r="G933" s="3">
        <v>4</v>
      </c>
      <c r="H933" s="2">
        <v>5</v>
      </c>
      <c r="I933" s="4">
        <v>60461921</v>
      </c>
    </row>
    <row r="934" spans="1:9">
      <c r="A934" s="5">
        <v>10000933</v>
      </c>
      <c r="B934" s="3" t="s">
        <v>14</v>
      </c>
      <c r="C934" s="3" t="s">
        <v>65</v>
      </c>
      <c r="D934" s="3" t="s">
        <v>68</v>
      </c>
      <c r="E934" s="3" t="s">
        <v>63</v>
      </c>
      <c r="F934" s="3">
        <v>1997</v>
      </c>
      <c r="G934" s="3">
        <v>2</v>
      </c>
      <c r="H934" s="2">
        <v>2</v>
      </c>
      <c r="I934" s="4">
        <v>25588011</v>
      </c>
    </row>
    <row r="935" spans="1:9">
      <c r="A935" s="5">
        <v>10000934</v>
      </c>
      <c r="B935" s="3" t="s">
        <v>12</v>
      </c>
      <c r="C935" s="3" t="s">
        <v>67</v>
      </c>
      <c r="D935" s="3" t="s">
        <v>68</v>
      </c>
      <c r="E935" s="3" t="s">
        <v>64</v>
      </c>
      <c r="F935" s="3">
        <v>1999</v>
      </c>
      <c r="G935" s="3">
        <v>3</v>
      </c>
      <c r="H935" s="2">
        <v>3</v>
      </c>
      <c r="I935" s="4">
        <v>23821089</v>
      </c>
    </row>
    <row r="936" spans="1:9">
      <c r="A936" s="5">
        <v>10000935</v>
      </c>
      <c r="B936" s="3" t="s">
        <v>11</v>
      </c>
      <c r="C936" s="3" t="s">
        <v>65</v>
      </c>
      <c r="D936" s="3" t="s">
        <v>68</v>
      </c>
      <c r="E936" s="3" t="s">
        <v>63</v>
      </c>
      <c r="F936" s="3">
        <v>1985</v>
      </c>
      <c r="G936" s="3">
        <v>3</v>
      </c>
      <c r="H936" s="2">
        <v>0</v>
      </c>
      <c r="I936" s="4">
        <v>25577181</v>
      </c>
    </row>
    <row r="937" spans="1:9">
      <c r="A937" s="5">
        <v>10000936</v>
      </c>
      <c r="B937" s="3" t="s">
        <v>11</v>
      </c>
      <c r="C937" s="3" t="s">
        <v>65</v>
      </c>
      <c r="D937" s="3" t="s">
        <v>69</v>
      </c>
      <c r="E937" s="3" t="s">
        <v>62</v>
      </c>
      <c r="F937" s="3">
        <v>1991</v>
      </c>
      <c r="G937" s="3">
        <v>1</v>
      </c>
      <c r="H937" s="2">
        <v>1</v>
      </c>
      <c r="I937" s="4">
        <v>414646</v>
      </c>
    </row>
    <row r="938" spans="1:9">
      <c r="A938" s="5">
        <v>10000937</v>
      </c>
      <c r="B938" s="3" t="s">
        <v>12</v>
      </c>
      <c r="C938" s="3" t="s">
        <v>67</v>
      </c>
      <c r="D938" s="3" t="s">
        <v>69</v>
      </c>
      <c r="E938" s="3" t="s">
        <v>62</v>
      </c>
      <c r="F938" s="3">
        <v>1983</v>
      </c>
      <c r="G938" s="3">
        <v>1</v>
      </c>
      <c r="H938" s="2">
        <v>0</v>
      </c>
      <c r="I938" s="4">
        <v>372935</v>
      </c>
    </row>
    <row r="939" spans="1:9">
      <c r="A939" s="5">
        <v>10000938</v>
      </c>
      <c r="B939" s="3" t="s">
        <v>14</v>
      </c>
      <c r="C939" s="3" t="s">
        <v>65</v>
      </c>
      <c r="D939" s="3" t="s">
        <v>66</v>
      </c>
      <c r="E939" s="3" t="s">
        <v>64</v>
      </c>
      <c r="F939" s="3">
        <v>2023</v>
      </c>
      <c r="G939" s="3">
        <v>4</v>
      </c>
      <c r="H939" s="2">
        <v>5</v>
      </c>
      <c r="I939" s="4">
        <v>35798720</v>
      </c>
    </row>
    <row r="940" spans="1:9">
      <c r="A940" s="5">
        <v>10000939</v>
      </c>
      <c r="B940" s="3" t="s">
        <v>14</v>
      </c>
      <c r="C940" s="3" t="s">
        <v>65</v>
      </c>
      <c r="D940" s="3" t="s">
        <v>66</v>
      </c>
      <c r="E940" s="3" t="s">
        <v>64</v>
      </c>
      <c r="F940" s="3">
        <v>2024</v>
      </c>
      <c r="G940" s="3">
        <v>3</v>
      </c>
      <c r="H940" s="2">
        <v>4</v>
      </c>
      <c r="I940" s="4">
        <v>38525128</v>
      </c>
    </row>
    <row r="941" spans="1:9">
      <c r="A941" s="5">
        <v>10000940</v>
      </c>
      <c r="B941" s="3" t="s">
        <v>14</v>
      </c>
      <c r="C941" s="3" t="s">
        <v>65</v>
      </c>
      <c r="D941" s="3" t="s">
        <v>69</v>
      </c>
      <c r="E941" s="3" t="s">
        <v>64</v>
      </c>
      <c r="F941" s="3">
        <v>1983</v>
      </c>
      <c r="G941" s="3">
        <v>4</v>
      </c>
      <c r="H941" s="2">
        <v>3</v>
      </c>
      <c r="I941" s="4">
        <v>4779499</v>
      </c>
    </row>
    <row r="942" spans="1:9">
      <c r="A942" s="5">
        <v>10000941</v>
      </c>
      <c r="B942" s="3" t="s">
        <v>9</v>
      </c>
      <c r="C942" s="3" t="s">
        <v>67</v>
      </c>
      <c r="D942" s="3" t="s">
        <v>69</v>
      </c>
      <c r="E942" s="3" t="s">
        <v>64</v>
      </c>
      <c r="F942" s="3">
        <v>2011</v>
      </c>
      <c r="G942" s="3">
        <v>4</v>
      </c>
      <c r="H942" s="2">
        <v>4</v>
      </c>
      <c r="I942" s="4">
        <v>3518202</v>
      </c>
    </row>
    <row r="943" spans="1:9">
      <c r="A943" s="5">
        <v>10000942</v>
      </c>
      <c r="B943" s="3" t="s">
        <v>10</v>
      </c>
      <c r="C943" s="3" t="s">
        <v>67</v>
      </c>
      <c r="D943" s="3" t="s">
        <v>66</v>
      </c>
      <c r="E943" s="3" t="s">
        <v>64</v>
      </c>
      <c r="F943" s="3">
        <v>1989</v>
      </c>
      <c r="G943" s="3">
        <v>4</v>
      </c>
      <c r="H943" s="2">
        <v>4</v>
      </c>
      <c r="I943" s="4">
        <v>35049859</v>
      </c>
    </row>
    <row r="944" spans="1:9">
      <c r="A944" s="5">
        <v>10000943</v>
      </c>
      <c r="B944" s="3" t="s">
        <v>10</v>
      </c>
      <c r="C944" s="3" t="s">
        <v>67</v>
      </c>
      <c r="D944" s="3" t="s">
        <v>69</v>
      </c>
      <c r="E944" s="3" t="s">
        <v>62</v>
      </c>
      <c r="F944" s="3">
        <v>1993</v>
      </c>
      <c r="G944" s="3">
        <v>1</v>
      </c>
      <c r="H944" s="2">
        <v>2</v>
      </c>
      <c r="I944" s="4">
        <v>572043</v>
      </c>
    </row>
    <row r="945" spans="1:9">
      <c r="A945" s="5">
        <v>10000944</v>
      </c>
      <c r="B945" s="3" t="s">
        <v>12</v>
      </c>
      <c r="C945" s="3" t="s">
        <v>67</v>
      </c>
      <c r="D945" s="3" t="s">
        <v>68</v>
      </c>
      <c r="E945" s="3" t="s">
        <v>63</v>
      </c>
      <c r="F945" s="3">
        <v>2020</v>
      </c>
      <c r="G945" s="3">
        <v>3</v>
      </c>
      <c r="H945" s="2">
        <v>1</v>
      </c>
      <c r="I945" s="4">
        <v>18164270</v>
      </c>
    </row>
    <row r="946" spans="1:9">
      <c r="A946" s="5">
        <v>10000945</v>
      </c>
      <c r="B946" s="3" t="s">
        <v>9</v>
      </c>
      <c r="C946" s="3" t="s">
        <v>67</v>
      </c>
      <c r="D946" s="3" t="s">
        <v>68</v>
      </c>
      <c r="E946" s="3" t="s">
        <v>64</v>
      </c>
      <c r="F946" s="3">
        <v>2001</v>
      </c>
      <c r="G946" s="3">
        <v>4</v>
      </c>
      <c r="H946" s="2">
        <v>3</v>
      </c>
      <c r="I946" s="4">
        <v>11639256</v>
      </c>
    </row>
    <row r="947" spans="1:9">
      <c r="A947" s="5">
        <v>10000946</v>
      </c>
      <c r="B947" s="3" t="s">
        <v>14</v>
      </c>
      <c r="C947" s="3" t="s">
        <v>65</v>
      </c>
      <c r="D947" s="3" t="s">
        <v>66</v>
      </c>
      <c r="E947" s="3" t="s">
        <v>64</v>
      </c>
      <c r="F947" s="3">
        <v>1980</v>
      </c>
      <c r="G947" s="3">
        <v>2</v>
      </c>
      <c r="H947" s="2">
        <v>5</v>
      </c>
      <c r="I947" s="4">
        <v>59934981</v>
      </c>
    </row>
    <row r="948" spans="1:9">
      <c r="A948" s="5">
        <v>10000947</v>
      </c>
      <c r="B948" s="3" t="s">
        <v>14</v>
      </c>
      <c r="C948" s="3" t="s">
        <v>65</v>
      </c>
      <c r="D948" s="3" t="s">
        <v>69</v>
      </c>
      <c r="E948" s="3" t="s">
        <v>64</v>
      </c>
      <c r="F948" s="3">
        <v>1992</v>
      </c>
      <c r="G948" s="3">
        <v>1</v>
      </c>
      <c r="H948" s="2">
        <v>4</v>
      </c>
      <c r="I948" s="4">
        <v>5469177</v>
      </c>
    </row>
    <row r="949" spans="1:9">
      <c r="A949" s="5">
        <v>10000948</v>
      </c>
      <c r="B949" s="3" t="s">
        <v>9</v>
      </c>
      <c r="C949" s="3" t="s">
        <v>67</v>
      </c>
      <c r="D949" s="3" t="s">
        <v>69</v>
      </c>
      <c r="E949" s="3" t="s">
        <v>64</v>
      </c>
      <c r="F949" s="3">
        <v>2004</v>
      </c>
      <c r="G949" s="3">
        <v>5</v>
      </c>
      <c r="H949" s="2">
        <v>3</v>
      </c>
      <c r="I949" s="4">
        <v>4061719</v>
      </c>
    </row>
    <row r="950" spans="1:9">
      <c r="A950" s="5">
        <v>10000949</v>
      </c>
      <c r="B950" s="3" t="s">
        <v>9</v>
      </c>
      <c r="C950" s="3" t="s">
        <v>67</v>
      </c>
      <c r="D950" s="3" t="s">
        <v>68</v>
      </c>
      <c r="E950" s="3" t="s">
        <v>64</v>
      </c>
      <c r="F950" s="3">
        <v>2000</v>
      </c>
      <c r="G950" s="3">
        <v>2</v>
      </c>
      <c r="H950" s="2">
        <v>3</v>
      </c>
      <c r="I950" s="4">
        <v>15379463</v>
      </c>
    </row>
    <row r="951" spans="1:9">
      <c r="A951" s="5">
        <v>10000950</v>
      </c>
      <c r="B951" s="3" t="s">
        <v>13</v>
      </c>
      <c r="C951" s="3" t="s">
        <v>65</v>
      </c>
      <c r="D951" s="3" t="s">
        <v>69</v>
      </c>
      <c r="E951" s="3" t="s">
        <v>62</v>
      </c>
      <c r="F951" s="3">
        <v>2000</v>
      </c>
      <c r="G951" s="3">
        <v>1</v>
      </c>
      <c r="H951" s="2">
        <v>0</v>
      </c>
      <c r="I951" s="4">
        <v>411349</v>
      </c>
    </row>
    <row r="952" spans="1:9">
      <c r="A952" s="5">
        <v>10000951</v>
      </c>
      <c r="B952" s="3" t="s">
        <v>9</v>
      </c>
      <c r="C952" s="3" t="s">
        <v>67</v>
      </c>
      <c r="D952" s="3" t="s">
        <v>68</v>
      </c>
      <c r="E952" s="3" t="s">
        <v>63</v>
      </c>
      <c r="F952" s="3">
        <v>2005</v>
      </c>
      <c r="G952" s="3">
        <v>5</v>
      </c>
      <c r="H952" s="2">
        <v>0</v>
      </c>
      <c r="I952" s="4">
        <v>15476505</v>
      </c>
    </row>
    <row r="953" spans="1:9">
      <c r="A953" s="5">
        <v>10000952</v>
      </c>
      <c r="B953" s="3" t="s">
        <v>13</v>
      </c>
      <c r="C953" s="3" t="s">
        <v>65</v>
      </c>
      <c r="D953" s="3" t="s">
        <v>66</v>
      </c>
      <c r="E953" s="3" t="s">
        <v>64</v>
      </c>
      <c r="F953" s="3">
        <v>2001</v>
      </c>
      <c r="G953" s="3">
        <v>3</v>
      </c>
      <c r="H953" s="2">
        <v>4</v>
      </c>
      <c r="I953" s="4">
        <v>50818773</v>
      </c>
    </row>
    <row r="954" spans="1:9">
      <c r="A954" s="5">
        <v>10000953</v>
      </c>
      <c r="B954" s="3" t="s">
        <v>13</v>
      </c>
      <c r="C954" s="3" t="s">
        <v>65</v>
      </c>
      <c r="D954" s="3" t="s">
        <v>66</v>
      </c>
      <c r="E954" s="3" t="s">
        <v>64</v>
      </c>
      <c r="F954" s="3">
        <v>2016</v>
      </c>
      <c r="G954" s="3">
        <v>5</v>
      </c>
      <c r="H954" s="2">
        <v>3</v>
      </c>
      <c r="I954" s="4">
        <v>38921534</v>
      </c>
    </row>
    <row r="955" spans="1:9">
      <c r="A955" s="5">
        <v>10000954</v>
      </c>
      <c r="B955" s="3" t="s">
        <v>11</v>
      </c>
      <c r="C955" s="3" t="s">
        <v>65</v>
      </c>
      <c r="D955" s="3" t="s">
        <v>69</v>
      </c>
      <c r="E955" s="3" t="s">
        <v>62</v>
      </c>
      <c r="F955" s="3">
        <v>1996</v>
      </c>
      <c r="G955" s="3">
        <v>1</v>
      </c>
      <c r="H955" s="2">
        <v>2</v>
      </c>
      <c r="I955" s="4">
        <v>565100</v>
      </c>
    </row>
    <row r="956" spans="1:9">
      <c r="A956" s="5">
        <v>10000955</v>
      </c>
      <c r="B956" s="3" t="s">
        <v>11</v>
      </c>
      <c r="C956" s="3" t="s">
        <v>65</v>
      </c>
      <c r="D956" s="3" t="s">
        <v>69</v>
      </c>
      <c r="E956" s="3" t="s">
        <v>64</v>
      </c>
      <c r="F956" s="3">
        <v>2004</v>
      </c>
      <c r="G956" s="3">
        <v>3</v>
      </c>
      <c r="H956" s="2">
        <v>4</v>
      </c>
      <c r="I956" s="4">
        <v>3874902</v>
      </c>
    </row>
    <row r="957" spans="1:9">
      <c r="A957" s="5">
        <v>10000956</v>
      </c>
      <c r="B957" s="3" t="s">
        <v>9</v>
      </c>
      <c r="C957" s="3" t="s">
        <v>67</v>
      </c>
      <c r="D957" s="3" t="s">
        <v>68</v>
      </c>
      <c r="E957" s="3" t="s">
        <v>63</v>
      </c>
      <c r="F957" s="3">
        <v>2017</v>
      </c>
      <c r="G957" s="3">
        <v>3</v>
      </c>
      <c r="H957" s="2">
        <v>2</v>
      </c>
      <c r="I957" s="4">
        <v>12236371</v>
      </c>
    </row>
    <row r="958" spans="1:9">
      <c r="A958" s="5">
        <v>10000957</v>
      </c>
      <c r="B958" s="3" t="s">
        <v>9</v>
      </c>
      <c r="C958" s="3" t="s">
        <v>67</v>
      </c>
      <c r="D958" s="3" t="s">
        <v>69</v>
      </c>
      <c r="E958" s="3" t="s">
        <v>63</v>
      </c>
      <c r="F958" s="3">
        <v>2009</v>
      </c>
      <c r="G958" s="3">
        <v>5</v>
      </c>
      <c r="H958" s="2">
        <v>2</v>
      </c>
      <c r="I958" s="4">
        <v>3373410</v>
      </c>
    </row>
    <row r="959" spans="1:9">
      <c r="A959" s="5">
        <v>10000958</v>
      </c>
      <c r="B959" s="3" t="s">
        <v>12</v>
      </c>
      <c r="C959" s="3" t="s">
        <v>67</v>
      </c>
      <c r="D959" s="3" t="s">
        <v>66</v>
      </c>
      <c r="E959" s="3" t="s">
        <v>64</v>
      </c>
      <c r="F959" s="3">
        <v>1997</v>
      </c>
      <c r="G959" s="3">
        <v>2</v>
      </c>
      <c r="H959" s="2">
        <v>4</v>
      </c>
      <c r="I959" s="4">
        <v>38438689</v>
      </c>
    </row>
    <row r="960" spans="1:9">
      <c r="A960" s="5">
        <v>10000959</v>
      </c>
      <c r="B960" s="3" t="s">
        <v>11</v>
      </c>
      <c r="C960" s="3" t="s">
        <v>65</v>
      </c>
      <c r="D960" s="3" t="s">
        <v>69</v>
      </c>
      <c r="E960" s="3" t="s">
        <v>64</v>
      </c>
      <c r="F960" s="3">
        <v>2010</v>
      </c>
      <c r="G960" s="3">
        <v>1</v>
      </c>
      <c r="H960" s="2">
        <v>4</v>
      </c>
      <c r="I960" s="4">
        <v>5086865</v>
      </c>
    </row>
    <row r="961" spans="1:9">
      <c r="A961" s="5">
        <v>10000960</v>
      </c>
      <c r="B961" s="3" t="s">
        <v>11</v>
      </c>
      <c r="C961" s="3" t="s">
        <v>65</v>
      </c>
      <c r="D961" s="3" t="s">
        <v>68</v>
      </c>
      <c r="E961" s="3" t="s">
        <v>63</v>
      </c>
      <c r="F961" s="3">
        <v>1994</v>
      </c>
      <c r="G961" s="3">
        <v>5</v>
      </c>
      <c r="H961" s="2">
        <v>1</v>
      </c>
      <c r="I961" s="4">
        <v>7373362</v>
      </c>
    </row>
    <row r="962" spans="1:9">
      <c r="A962" s="5">
        <v>10000961</v>
      </c>
      <c r="B962" s="3" t="s">
        <v>10</v>
      </c>
      <c r="C962" s="3" t="s">
        <v>67</v>
      </c>
      <c r="D962" s="3" t="s">
        <v>69</v>
      </c>
      <c r="E962" s="3" t="s">
        <v>62</v>
      </c>
      <c r="F962" s="3">
        <v>2014</v>
      </c>
      <c r="G962" s="3">
        <v>1</v>
      </c>
      <c r="H962" s="2">
        <v>1</v>
      </c>
      <c r="I962" s="4">
        <v>459149</v>
      </c>
    </row>
    <row r="963" spans="1:9">
      <c r="A963" s="5">
        <v>10000962</v>
      </c>
      <c r="B963" s="3" t="s">
        <v>12</v>
      </c>
      <c r="C963" s="3" t="s">
        <v>67</v>
      </c>
      <c r="D963" s="3" t="s">
        <v>69</v>
      </c>
      <c r="E963" s="3" t="s">
        <v>63</v>
      </c>
      <c r="F963" s="3">
        <v>1989</v>
      </c>
      <c r="G963" s="3">
        <v>2</v>
      </c>
      <c r="H963" s="2">
        <v>0</v>
      </c>
      <c r="I963" s="4">
        <v>5249908</v>
      </c>
    </row>
    <row r="964" spans="1:9">
      <c r="A964" s="5">
        <v>10000963</v>
      </c>
      <c r="B964" s="3" t="s">
        <v>12</v>
      </c>
      <c r="C964" s="3" t="s">
        <v>67</v>
      </c>
      <c r="D964" s="3" t="s">
        <v>66</v>
      </c>
      <c r="E964" s="3" t="s">
        <v>64</v>
      </c>
      <c r="F964" s="3">
        <v>2009</v>
      </c>
      <c r="G964" s="3">
        <v>2</v>
      </c>
      <c r="H964" s="2">
        <v>5</v>
      </c>
      <c r="I964" s="4">
        <v>56671426</v>
      </c>
    </row>
    <row r="965" spans="1:9">
      <c r="A965" s="5">
        <v>10000964</v>
      </c>
      <c r="B965" s="3" t="s">
        <v>13</v>
      </c>
      <c r="C965" s="3" t="s">
        <v>65</v>
      </c>
      <c r="D965" s="3" t="s">
        <v>68</v>
      </c>
      <c r="E965" s="3" t="s">
        <v>64</v>
      </c>
      <c r="F965" s="3">
        <v>2008</v>
      </c>
      <c r="G965" s="3">
        <v>2</v>
      </c>
      <c r="H965" s="2">
        <v>4</v>
      </c>
      <c r="I965" s="4">
        <v>13581101</v>
      </c>
    </row>
    <row r="966" spans="1:9">
      <c r="A966" s="5">
        <v>10000965</v>
      </c>
      <c r="B966" s="3" t="s">
        <v>10</v>
      </c>
      <c r="C966" s="3" t="s">
        <v>67</v>
      </c>
      <c r="D966" s="3" t="s">
        <v>66</v>
      </c>
      <c r="E966" s="3" t="s">
        <v>64</v>
      </c>
      <c r="F966" s="3">
        <v>1991</v>
      </c>
      <c r="G966" s="3">
        <v>3</v>
      </c>
      <c r="H966" s="2">
        <v>3</v>
      </c>
      <c r="I966" s="4">
        <v>55892806</v>
      </c>
    </row>
    <row r="967" spans="1:9">
      <c r="A967" s="5">
        <v>10000966</v>
      </c>
      <c r="B967" s="3" t="s">
        <v>11</v>
      </c>
      <c r="C967" s="3" t="s">
        <v>65</v>
      </c>
      <c r="D967" s="3" t="s">
        <v>69</v>
      </c>
      <c r="E967" s="3" t="s">
        <v>64</v>
      </c>
      <c r="F967" s="3">
        <v>2010</v>
      </c>
      <c r="G967" s="3">
        <v>5</v>
      </c>
      <c r="H967" s="2">
        <v>3</v>
      </c>
      <c r="I967" s="4">
        <v>4762174</v>
      </c>
    </row>
    <row r="968" spans="1:9">
      <c r="A968" s="5">
        <v>10000967</v>
      </c>
      <c r="B968" s="3" t="s">
        <v>13</v>
      </c>
      <c r="C968" s="3" t="s">
        <v>65</v>
      </c>
      <c r="D968" s="3" t="s">
        <v>68</v>
      </c>
      <c r="E968" s="3" t="s">
        <v>64</v>
      </c>
      <c r="F968" s="3">
        <v>2016</v>
      </c>
      <c r="G968" s="3">
        <v>3</v>
      </c>
      <c r="H968" s="2">
        <v>5</v>
      </c>
      <c r="I968" s="4">
        <v>16016525</v>
      </c>
    </row>
    <row r="969" spans="1:9">
      <c r="A969" s="5">
        <v>10000968</v>
      </c>
      <c r="B969" s="3" t="s">
        <v>12</v>
      </c>
      <c r="C969" s="3" t="s">
        <v>67</v>
      </c>
      <c r="D969" s="3" t="s">
        <v>68</v>
      </c>
      <c r="E969" s="3" t="s">
        <v>63</v>
      </c>
      <c r="F969" s="3">
        <v>2011</v>
      </c>
      <c r="G969" s="3">
        <v>3</v>
      </c>
      <c r="H969" s="2">
        <v>1</v>
      </c>
      <c r="I969" s="4">
        <v>7192194</v>
      </c>
    </row>
    <row r="970" spans="1:9">
      <c r="A970" s="5">
        <v>10000969</v>
      </c>
      <c r="B970" s="3" t="s">
        <v>12</v>
      </c>
      <c r="C970" s="3" t="s">
        <v>67</v>
      </c>
      <c r="D970" s="3" t="s">
        <v>68</v>
      </c>
      <c r="E970" s="3" t="s">
        <v>63</v>
      </c>
      <c r="F970" s="3">
        <v>2002</v>
      </c>
      <c r="G970" s="3">
        <v>1</v>
      </c>
      <c r="H970" s="2">
        <v>1</v>
      </c>
      <c r="I970" s="4">
        <v>18290691</v>
      </c>
    </row>
    <row r="971" spans="1:9">
      <c r="A971" s="5">
        <v>10000970</v>
      </c>
      <c r="B971" s="3" t="s">
        <v>14</v>
      </c>
      <c r="C971" s="3" t="s">
        <v>65</v>
      </c>
      <c r="D971" s="3" t="s">
        <v>69</v>
      </c>
      <c r="E971" s="3" t="s">
        <v>64</v>
      </c>
      <c r="F971" s="3">
        <v>2003</v>
      </c>
      <c r="G971" s="3">
        <v>3</v>
      </c>
      <c r="H971" s="2">
        <v>3</v>
      </c>
      <c r="I971" s="4">
        <v>6765156</v>
      </c>
    </row>
    <row r="972" spans="1:9">
      <c r="A972" s="5">
        <v>10000971</v>
      </c>
      <c r="B972" s="3" t="s">
        <v>11</v>
      </c>
      <c r="C972" s="3" t="s">
        <v>65</v>
      </c>
      <c r="D972" s="3" t="s">
        <v>68</v>
      </c>
      <c r="E972" s="3" t="s">
        <v>64</v>
      </c>
      <c r="F972" s="3">
        <v>2002</v>
      </c>
      <c r="G972" s="3">
        <v>1</v>
      </c>
      <c r="H972" s="2">
        <v>4</v>
      </c>
      <c r="I972" s="4">
        <v>17126738</v>
      </c>
    </row>
    <row r="973" spans="1:9">
      <c r="A973" s="5">
        <v>10000972</v>
      </c>
      <c r="B973" s="3" t="s">
        <v>11</v>
      </c>
      <c r="C973" s="3" t="s">
        <v>65</v>
      </c>
      <c r="D973" s="3" t="s">
        <v>68</v>
      </c>
      <c r="E973" s="3" t="s">
        <v>63</v>
      </c>
      <c r="F973" s="3">
        <v>1991</v>
      </c>
      <c r="G973" s="3">
        <v>1</v>
      </c>
      <c r="H973" s="2">
        <v>1</v>
      </c>
      <c r="I973" s="4">
        <v>12272053</v>
      </c>
    </row>
    <row r="974" spans="1:9">
      <c r="A974" s="5">
        <v>10000973</v>
      </c>
      <c r="B974" s="3" t="s">
        <v>13</v>
      </c>
      <c r="C974" s="3" t="s">
        <v>65</v>
      </c>
      <c r="D974" s="3" t="s">
        <v>69</v>
      </c>
      <c r="E974" s="3" t="s">
        <v>62</v>
      </c>
      <c r="F974" s="3">
        <v>1981</v>
      </c>
      <c r="G974" s="3">
        <v>1</v>
      </c>
      <c r="H974" s="2">
        <v>2</v>
      </c>
      <c r="I974" s="4">
        <v>544284</v>
      </c>
    </row>
    <row r="975" spans="1:9">
      <c r="A975" s="5">
        <v>10000974</v>
      </c>
      <c r="B975" s="3" t="s">
        <v>14</v>
      </c>
      <c r="C975" s="3" t="s">
        <v>65</v>
      </c>
      <c r="D975" s="3" t="s">
        <v>68</v>
      </c>
      <c r="E975" s="3" t="s">
        <v>64</v>
      </c>
      <c r="F975" s="3">
        <v>1998</v>
      </c>
      <c r="G975" s="3">
        <v>5</v>
      </c>
      <c r="H975" s="2">
        <v>3</v>
      </c>
      <c r="I975" s="4">
        <v>19447718</v>
      </c>
    </row>
    <row r="976" spans="1:9">
      <c r="A976" s="5">
        <v>10000975</v>
      </c>
      <c r="B976" s="3" t="s">
        <v>10</v>
      </c>
      <c r="C976" s="3" t="s">
        <v>67</v>
      </c>
      <c r="D976" s="3" t="s">
        <v>68</v>
      </c>
      <c r="E976" s="3" t="s">
        <v>64</v>
      </c>
      <c r="F976" s="3">
        <v>2005</v>
      </c>
      <c r="G976" s="3">
        <v>3</v>
      </c>
      <c r="H976" s="2">
        <v>4</v>
      </c>
      <c r="I976" s="4">
        <v>20054079</v>
      </c>
    </row>
    <row r="977" spans="1:9">
      <c r="A977" s="5">
        <v>10000976</v>
      </c>
      <c r="B977" s="3" t="s">
        <v>14</v>
      </c>
      <c r="C977" s="3" t="s">
        <v>65</v>
      </c>
      <c r="D977" s="3" t="s">
        <v>69</v>
      </c>
      <c r="E977" s="3" t="s">
        <v>62</v>
      </c>
      <c r="F977" s="3">
        <v>2005</v>
      </c>
      <c r="G977" s="3">
        <v>1</v>
      </c>
      <c r="H977" s="2">
        <v>0</v>
      </c>
      <c r="I977" s="4">
        <v>395155</v>
      </c>
    </row>
    <row r="978" spans="1:9">
      <c r="A978" s="5">
        <v>10000977</v>
      </c>
      <c r="B978" s="3" t="s">
        <v>11</v>
      </c>
      <c r="C978" s="3" t="s">
        <v>65</v>
      </c>
      <c r="D978" s="3" t="s">
        <v>68</v>
      </c>
      <c r="E978" s="3" t="s">
        <v>63</v>
      </c>
      <c r="F978" s="3">
        <v>2019</v>
      </c>
      <c r="G978" s="3">
        <v>1</v>
      </c>
      <c r="H978" s="2">
        <v>0</v>
      </c>
      <c r="I978" s="4">
        <v>16424480</v>
      </c>
    </row>
    <row r="979" spans="1:9">
      <c r="A979" s="5">
        <v>10000978</v>
      </c>
      <c r="B979" s="3" t="s">
        <v>12</v>
      </c>
      <c r="C979" s="3" t="s">
        <v>67</v>
      </c>
      <c r="D979" s="3" t="s">
        <v>68</v>
      </c>
      <c r="E979" s="3" t="s">
        <v>63</v>
      </c>
      <c r="F979" s="3">
        <v>2004</v>
      </c>
      <c r="G979" s="3">
        <v>2</v>
      </c>
      <c r="H979" s="2">
        <v>2</v>
      </c>
      <c r="I979" s="4">
        <v>19282975</v>
      </c>
    </row>
    <row r="980" spans="1:9">
      <c r="A980" s="5">
        <v>10000979</v>
      </c>
      <c r="B980" s="3" t="s">
        <v>13</v>
      </c>
      <c r="C980" s="3" t="s">
        <v>65</v>
      </c>
      <c r="D980" s="3" t="s">
        <v>66</v>
      </c>
      <c r="E980" s="3" t="s">
        <v>64</v>
      </c>
      <c r="F980" s="3">
        <v>2003</v>
      </c>
      <c r="G980" s="3">
        <v>4</v>
      </c>
      <c r="H980" s="2">
        <v>3</v>
      </c>
      <c r="I980" s="4">
        <v>63126309</v>
      </c>
    </row>
    <row r="981" spans="1:9">
      <c r="A981" s="5">
        <v>10000980</v>
      </c>
      <c r="B981" s="3" t="s">
        <v>14</v>
      </c>
      <c r="C981" s="3" t="s">
        <v>65</v>
      </c>
      <c r="D981" s="3" t="s">
        <v>68</v>
      </c>
      <c r="E981" s="3" t="s">
        <v>63</v>
      </c>
      <c r="F981" s="3">
        <v>1991</v>
      </c>
      <c r="G981" s="3">
        <v>5</v>
      </c>
      <c r="H981" s="2">
        <v>2</v>
      </c>
      <c r="I981" s="4">
        <v>15252546</v>
      </c>
    </row>
    <row r="982" spans="1:9">
      <c r="A982" s="5">
        <v>10000981</v>
      </c>
      <c r="B982" s="3" t="s">
        <v>10</v>
      </c>
      <c r="C982" s="3" t="s">
        <v>67</v>
      </c>
      <c r="D982" s="3" t="s">
        <v>66</v>
      </c>
      <c r="E982" s="3" t="s">
        <v>64</v>
      </c>
      <c r="F982" s="3">
        <v>2014</v>
      </c>
      <c r="G982" s="3">
        <v>3</v>
      </c>
      <c r="H982" s="2">
        <v>3</v>
      </c>
      <c r="I982" s="4">
        <v>49062868</v>
      </c>
    </row>
    <row r="983" spans="1:9">
      <c r="A983" s="5">
        <v>10000982</v>
      </c>
      <c r="B983" s="3" t="s">
        <v>14</v>
      </c>
      <c r="C983" s="3" t="s">
        <v>65</v>
      </c>
      <c r="D983" s="3" t="s">
        <v>69</v>
      </c>
      <c r="E983" s="3" t="s">
        <v>63</v>
      </c>
      <c r="F983" s="3">
        <v>2002</v>
      </c>
      <c r="G983" s="3">
        <v>2</v>
      </c>
      <c r="H983" s="2">
        <v>0</v>
      </c>
      <c r="I983" s="4">
        <v>5765233</v>
      </c>
    </row>
    <row r="984" spans="1:9">
      <c r="A984" s="5">
        <v>10000983</v>
      </c>
      <c r="B984" s="3" t="s">
        <v>14</v>
      </c>
      <c r="C984" s="3" t="s">
        <v>65</v>
      </c>
      <c r="D984" s="3" t="s">
        <v>69</v>
      </c>
      <c r="E984" s="3" t="s">
        <v>62</v>
      </c>
      <c r="F984" s="3">
        <v>2004</v>
      </c>
      <c r="G984" s="3">
        <v>1</v>
      </c>
      <c r="H984" s="2">
        <v>1</v>
      </c>
      <c r="I984" s="4">
        <v>604378</v>
      </c>
    </row>
    <row r="985" spans="1:9">
      <c r="A985" s="5">
        <v>10000984</v>
      </c>
      <c r="B985" s="3" t="s">
        <v>11</v>
      </c>
      <c r="C985" s="3" t="s">
        <v>65</v>
      </c>
      <c r="D985" s="3" t="s">
        <v>66</v>
      </c>
      <c r="E985" s="3" t="s">
        <v>64</v>
      </c>
      <c r="F985" s="3">
        <v>1983</v>
      </c>
      <c r="G985" s="3">
        <v>4</v>
      </c>
      <c r="H985" s="2">
        <v>4</v>
      </c>
      <c r="I985" s="4">
        <v>25205320</v>
      </c>
    </row>
    <row r="986" spans="1:9">
      <c r="A986" s="5">
        <v>10000985</v>
      </c>
      <c r="B986" s="3" t="s">
        <v>10</v>
      </c>
      <c r="C986" s="3" t="s">
        <v>67</v>
      </c>
      <c r="D986" s="3" t="s">
        <v>68</v>
      </c>
      <c r="E986" s="3" t="s">
        <v>64</v>
      </c>
      <c r="F986" s="3">
        <v>1988</v>
      </c>
      <c r="G986" s="3">
        <v>5</v>
      </c>
      <c r="H986" s="2">
        <v>4</v>
      </c>
      <c r="I986" s="4">
        <v>10485227</v>
      </c>
    </row>
    <row r="987" spans="1:9">
      <c r="A987" s="5">
        <v>10000986</v>
      </c>
      <c r="B987" s="3" t="s">
        <v>10</v>
      </c>
      <c r="C987" s="3" t="s">
        <v>67</v>
      </c>
      <c r="D987" s="3" t="s">
        <v>68</v>
      </c>
      <c r="E987" s="3" t="s">
        <v>64</v>
      </c>
      <c r="F987" s="3">
        <v>1987</v>
      </c>
      <c r="G987" s="3">
        <v>3</v>
      </c>
      <c r="H987" s="2">
        <v>3</v>
      </c>
      <c r="I987" s="4">
        <v>17497638</v>
      </c>
    </row>
    <row r="988" spans="1:9">
      <c r="A988" s="5">
        <v>10000987</v>
      </c>
      <c r="B988" s="3" t="s">
        <v>9</v>
      </c>
      <c r="C988" s="3" t="s">
        <v>67</v>
      </c>
      <c r="D988" s="3" t="s">
        <v>68</v>
      </c>
      <c r="E988" s="3" t="s">
        <v>63</v>
      </c>
      <c r="F988" s="3">
        <v>2016</v>
      </c>
      <c r="G988" s="3">
        <v>1</v>
      </c>
      <c r="H988" s="2">
        <v>1</v>
      </c>
      <c r="I988" s="4">
        <v>21155412</v>
      </c>
    </row>
    <row r="989" spans="1:9">
      <c r="A989" s="5">
        <v>10000988</v>
      </c>
      <c r="B989" s="3" t="s">
        <v>11</v>
      </c>
      <c r="C989" s="3" t="s">
        <v>65</v>
      </c>
      <c r="D989" s="3" t="s">
        <v>68</v>
      </c>
      <c r="E989" s="3" t="s">
        <v>63</v>
      </c>
      <c r="F989" s="3">
        <v>1983</v>
      </c>
      <c r="G989" s="3">
        <v>3</v>
      </c>
      <c r="H989" s="2">
        <v>1</v>
      </c>
      <c r="I989" s="4">
        <v>19429359</v>
      </c>
    </row>
    <row r="990" spans="1:9">
      <c r="A990" s="5">
        <v>10000989</v>
      </c>
      <c r="B990" s="3" t="s">
        <v>13</v>
      </c>
      <c r="C990" s="3" t="s">
        <v>65</v>
      </c>
      <c r="D990" s="3" t="s">
        <v>66</v>
      </c>
      <c r="E990" s="3" t="s">
        <v>64</v>
      </c>
      <c r="F990" s="3">
        <v>2011</v>
      </c>
      <c r="G990" s="3">
        <v>3</v>
      </c>
      <c r="H990" s="2">
        <v>4</v>
      </c>
      <c r="I990" s="4">
        <v>26575041</v>
      </c>
    </row>
    <row r="991" spans="1:9">
      <c r="A991" s="5">
        <v>10000990</v>
      </c>
      <c r="B991" s="3" t="s">
        <v>10</v>
      </c>
      <c r="C991" s="3" t="s">
        <v>67</v>
      </c>
      <c r="D991" s="3" t="s">
        <v>68</v>
      </c>
      <c r="E991" s="3" t="s">
        <v>63</v>
      </c>
      <c r="F991" s="3">
        <v>1998</v>
      </c>
      <c r="G991" s="3">
        <v>1</v>
      </c>
      <c r="H991" s="2">
        <v>0</v>
      </c>
      <c r="I991" s="4">
        <v>20591012</v>
      </c>
    </row>
    <row r="992" spans="1:9">
      <c r="A992" s="5">
        <v>10000991</v>
      </c>
      <c r="B992" s="3" t="s">
        <v>14</v>
      </c>
      <c r="C992" s="3" t="s">
        <v>65</v>
      </c>
      <c r="D992" s="3" t="s">
        <v>68</v>
      </c>
      <c r="E992" s="3" t="s">
        <v>63</v>
      </c>
      <c r="F992" s="3">
        <v>1983</v>
      </c>
      <c r="G992" s="3">
        <v>3</v>
      </c>
      <c r="H992" s="2">
        <v>2</v>
      </c>
      <c r="I992" s="4">
        <v>11217542</v>
      </c>
    </row>
    <row r="993" spans="1:9">
      <c r="A993" s="5">
        <v>10000992</v>
      </c>
      <c r="B993" s="3" t="s">
        <v>12</v>
      </c>
      <c r="C993" s="3" t="s">
        <v>67</v>
      </c>
      <c r="D993" s="3" t="s">
        <v>69</v>
      </c>
      <c r="E993" s="3" t="s">
        <v>63</v>
      </c>
      <c r="F993" s="3">
        <v>2011</v>
      </c>
      <c r="G993" s="3">
        <v>3</v>
      </c>
      <c r="H993" s="2">
        <v>0</v>
      </c>
      <c r="I993" s="4">
        <v>2970812</v>
      </c>
    </row>
    <row r="994" spans="1:9">
      <c r="A994" s="5">
        <v>10000993</v>
      </c>
      <c r="B994" s="3" t="s">
        <v>11</v>
      </c>
      <c r="C994" s="3" t="s">
        <v>65</v>
      </c>
      <c r="D994" s="3" t="s">
        <v>66</v>
      </c>
      <c r="E994" s="3" t="s">
        <v>64</v>
      </c>
      <c r="F994" s="3">
        <v>2012</v>
      </c>
      <c r="G994" s="3">
        <v>1</v>
      </c>
      <c r="H994" s="2">
        <v>3</v>
      </c>
      <c r="I994" s="4">
        <v>35297449</v>
      </c>
    </row>
    <row r="995" spans="1:9">
      <c r="A995" s="5">
        <v>10000994</v>
      </c>
      <c r="B995" s="3" t="s">
        <v>14</v>
      </c>
      <c r="C995" s="3" t="s">
        <v>65</v>
      </c>
      <c r="D995" s="3" t="s">
        <v>66</v>
      </c>
      <c r="E995" s="3" t="s">
        <v>64</v>
      </c>
      <c r="F995" s="3">
        <v>2023</v>
      </c>
      <c r="G995" s="3">
        <v>1</v>
      </c>
      <c r="H995" s="2">
        <v>5</v>
      </c>
      <c r="I995" s="4">
        <v>62854492</v>
      </c>
    </row>
    <row r="996" spans="1:9">
      <c r="A996" s="5">
        <v>10000995</v>
      </c>
      <c r="B996" s="3" t="s">
        <v>13</v>
      </c>
      <c r="C996" s="3" t="s">
        <v>65</v>
      </c>
      <c r="D996" s="3" t="s">
        <v>69</v>
      </c>
      <c r="E996" s="3" t="s">
        <v>64</v>
      </c>
      <c r="F996" s="3">
        <v>2023</v>
      </c>
      <c r="G996" s="3">
        <v>2</v>
      </c>
      <c r="H996" s="2">
        <v>3</v>
      </c>
      <c r="I996" s="4">
        <v>2836051</v>
      </c>
    </row>
    <row r="997" spans="1:9">
      <c r="A997" s="5">
        <v>10000996</v>
      </c>
      <c r="B997" s="3" t="s">
        <v>11</v>
      </c>
      <c r="C997" s="3" t="s">
        <v>65</v>
      </c>
      <c r="D997" s="3" t="s">
        <v>68</v>
      </c>
      <c r="E997" s="3" t="s">
        <v>64</v>
      </c>
      <c r="F997" s="3">
        <v>1987</v>
      </c>
      <c r="G997" s="3">
        <v>3</v>
      </c>
      <c r="H997" s="2">
        <v>3</v>
      </c>
      <c r="I997" s="4">
        <v>18434833</v>
      </c>
    </row>
    <row r="998" spans="1:9">
      <c r="A998" s="5">
        <v>10000997</v>
      </c>
      <c r="B998" s="3" t="s">
        <v>12</v>
      </c>
      <c r="C998" s="3" t="s">
        <v>67</v>
      </c>
      <c r="D998" s="3" t="s">
        <v>66</v>
      </c>
      <c r="E998" s="3" t="s">
        <v>64</v>
      </c>
      <c r="F998" s="3">
        <v>2009</v>
      </c>
      <c r="G998" s="3">
        <v>4</v>
      </c>
      <c r="H998" s="2">
        <v>5</v>
      </c>
      <c r="I998" s="4">
        <v>45046549</v>
      </c>
    </row>
    <row r="999" spans="1:9">
      <c r="A999" s="5">
        <v>10000998</v>
      </c>
      <c r="B999" s="3" t="s">
        <v>11</v>
      </c>
      <c r="C999" s="3" t="s">
        <v>65</v>
      </c>
      <c r="D999" s="3" t="s">
        <v>69</v>
      </c>
      <c r="E999" s="3" t="s">
        <v>63</v>
      </c>
      <c r="F999" s="3">
        <v>1980</v>
      </c>
      <c r="G999" s="3">
        <v>5</v>
      </c>
      <c r="H999" s="2">
        <v>1</v>
      </c>
      <c r="I999" s="4">
        <v>6332738</v>
      </c>
    </row>
    <row r="1000" spans="1:9">
      <c r="A1000" s="5">
        <v>10000999</v>
      </c>
      <c r="B1000" s="3" t="s">
        <v>13</v>
      </c>
      <c r="C1000" s="3" t="s">
        <v>65</v>
      </c>
      <c r="D1000" s="3" t="s">
        <v>68</v>
      </c>
      <c r="E1000" s="3" t="s">
        <v>63</v>
      </c>
      <c r="F1000" s="3">
        <v>2015</v>
      </c>
      <c r="G1000" s="3">
        <v>3</v>
      </c>
      <c r="H1000" s="2">
        <v>2</v>
      </c>
      <c r="I1000" s="4">
        <v>14981277</v>
      </c>
    </row>
    <row r="1001" spans="1:9">
      <c r="A1001" s="9">
        <v>10001000</v>
      </c>
      <c r="B1001" s="3" t="s">
        <v>12</v>
      </c>
      <c r="C1001" s="3" t="s">
        <v>67</v>
      </c>
      <c r="D1001" s="3" t="s">
        <v>66</v>
      </c>
      <c r="E1001" s="3" t="s">
        <v>64</v>
      </c>
      <c r="F1001" s="3">
        <v>2014</v>
      </c>
      <c r="G1001" s="3">
        <v>1</v>
      </c>
      <c r="H1001" s="2">
        <v>4</v>
      </c>
      <c r="I1001" s="4">
        <v>36139851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5EAC-1933-475C-98B2-044E59086E9E}">
  <dimension ref="A1:F9"/>
  <sheetViews>
    <sheetView showGridLines="0" workbookViewId="0">
      <selection activeCell="F4" sqref="F4"/>
    </sheetView>
  </sheetViews>
  <sheetFormatPr defaultRowHeight="14.4"/>
  <cols>
    <col min="1" max="1" width="12.6640625" customWidth="1"/>
    <col min="2" max="2" width="19.33203125" bestFit="1" customWidth="1"/>
    <col min="3" max="3" width="27.109375" bestFit="1" customWidth="1"/>
    <col min="4" max="4" width="24.6640625" customWidth="1"/>
    <col min="5" max="5" width="22.21875" customWidth="1"/>
    <col min="6" max="6" width="24" customWidth="1"/>
  </cols>
  <sheetData>
    <row r="1" spans="1:6">
      <c r="A1" s="11" t="s">
        <v>15</v>
      </c>
      <c r="B1" s="12" t="s">
        <v>1</v>
      </c>
      <c r="C1" s="12" t="s">
        <v>16</v>
      </c>
      <c r="D1" s="12" t="s">
        <v>17</v>
      </c>
      <c r="E1" s="12" t="s">
        <v>18</v>
      </c>
      <c r="F1" s="13" t="s">
        <v>19</v>
      </c>
    </row>
    <row r="2" spans="1:6">
      <c r="A2" s="14" t="s">
        <v>20</v>
      </c>
      <c r="B2" s="15" t="s">
        <v>14</v>
      </c>
      <c r="C2" s="15" t="s">
        <v>21</v>
      </c>
      <c r="D2" s="15">
        <v>100</v>
      </c>
      <c r="E2" s="16">
        <f>1/D2</f>
        <v>0.01</v>
      </c>
      <c r="F2" s="17">
        <v>12</v>
      </c>
    </row>
    <row r="3" spans="1:6">
      <c r="A3" s="14" t="s">
        <v>22</v>
      </c>
      <c r="B3" s="15" t="s">
        <v>14</v>
      </c>
      <c r="C3" s="15" t="s">
        <v>23</v>
      </c>
      <c r="D3" s="15">
        <v>50</v>
      </c>
      <c r="E3" s="16">
        <f t="shared" ref="E3:E9" si="0">1/D3</f>
        <v>0.02</v>
      </c>
      <c r="F3" s="17">
        <v>7</v>
      </c>
    </row>
    <row r="4" spans="1:6">
      <c r="A4" s="14" t="s">
        <v>24</v>
      </c>
      <c r="B4" s="15" t="s">
        <v>13</v>
      </c>
      <c r="C4" s="15" t="s">
        <v>25</v>
      </c>
      <c r="D4" s="15">
        <v>200</v>
      </c>
      <c r="E4" s="16">
        <f t="shared" si="0"/>
        <v>5.0000000000000001E-3</v>
      </c>
      <c r="F4" s="17">
        <v>10</v>
      </c>
    </row>
    <row r="5" spans="1:6">
      <c r="A5" s="14" t="s">
        <v>26</v>
      </c>
      <c r="B5" s="15" t="s">
        <v>13</v>
      </c>
      <c r="C5" s="15" t="s">
        <v>27</v>
      </c>
      <c r="D5" s="15">
        <v>25</v>
      </c>
      <c r="E5" s="16">
        <f t="shared" si="0"/>
        <v>0.04</v>
      </c>
      <c r="F5" s="17">
        <v>4</v>
      </c>
    </row>
    <row r="6" spans="1:6">
      <c r="A6" s="14" t="s">
        <v>28</v>
      </c>
      <c r="B6" s="15" t="s">
        <v>11</v>
      </c>
      <c r="C6" s="15" t="s">
        <v>29</v>
      </c>
      <c r="D6" s="15">
        <v>50</v>
      </c>
      <c r="E6" s="16">
        <f t="shared" si="0"/>
        <v>0.02</v>
      </c>
      <c r="F6" s="17">
        <v>6</v>
      </c>
    </row>
    <row r="7" spans="1:6">
      <c r="A7" s="14" t="s">
        <v>30</v>
      </c>
      <c r="B7" s="15" t="s">
        <v>9</v>
      </c>
      <c r="C7" s="15" t="s">
        <v>31</v>
      </c>
      <c r="D7" s="15">
        <v>10</v>
      </c>
      <c r="E7" s="16">
        <f t="shared" si="0"/>
        <v>0.1</v>
      </c>
      <c r="F7" s="17">
        <v>3</v>
      </c>
    </row>
    <row r="8" spans="1:6">
      <c r="A8" s="14" t="s">
        <v>32</v>
      </c>
      <c r="B8" s="15" t="s">
        <v>10</v>
      </c>
      <c r="C8" s="15" t="s">
        <v>33</v>
      </c>
      <c r="D8" s="15">
        <v>100</v>
      </c>
      <c r="E8" s="16">
        <f t="shared" si="0"/>
        <v>0.01</v>
      </c>
      <c r="F8" s="17">
        <v>8</v>
      </c>
    </row>
    <row r="9" spans="1:6">
      <c r="A9" s="18" t="s">
        <v>34</v>
      </c>
      <c r="B9" s="19" t="s">
        <v>12</v>
      </c>
      <c r="C9" s="19" t="s">
        <v>35</v>
      </c>
      <c r="D9" s="19">
        <v>50</v>
      </c>
      <c r="E9" s="20">
        <f t="shared" si="0"/>
        <v>0.02</v>
      </c>
      <c r="F9" s="2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8651-A396-4AEB-9D18-F265B4E65306}">
  <dimension ref="A1:H4"/>
  <sheetViews>
    <sheetView showGridLines="0" workbookViewId="0">
      <selection activeCell="A5" sqref="A5"/>
    </sheetView>
  </sheetViews>
  <sheetFormatPr defaultRowHeight="14.4"/>
  <cols>
    <col min="1" max="1" width="25.77734375" bestFit="1" customWidth="1"/>
    <col min="2" max="3" width="6.88671875" customWidth="1"/>
  </cols>
  <sheetData>
    <row r="1" spans="1:8">
      <c r="A1" s="11" t="s">
        <v>3</v>
      </c>
      <c r="B1" s="28" t="s">
        <v>36</v>
      </c>
      <c r="C1" s="28" t="s">
        <v>37</v>
      </c>
      <c r="D1" s="28" t="s">
        <v>38</v>
      </c>
      <c r="E1" s="28" t="s">
        <v>39</v>
      </c>
      <c r="F1" s="28" t="s">
        <v>40</v>
      </c>
      <c r="G1" s="28" t="s">
        <v>41</v>
      </c>
      <c r="H1" s="29" t="s">
        <v>42</v>
      </c>
    </row>
    <row r="2" spans="1:8">
      <c r="A2" s="22" t="s">
        <v>62</v>
      </c>
      <c r="B2" s="23">
        <v>0</v>
      </c>
      <c r="C2" s="23">
        <v>0.4</v>
      </c>
      <c r="D2" s="23">
        <v>0.8</v>
      </c>
      <c r="E2" s="23">
        <v>1</v>
      </c>
      <c r="F2" s="23">
        <v>1</v>
      </c>
      <c r="G2" s="23">
        <v>1</v>
      </c>
      <c r="H2" s="24">
        <v>1</v>
      </c>
    </row>
    <row r="3" spans="1:8">
      <c r="A3" s="22" t="s">
        <v>63</v>
      </c>
      <c r="B3" s="23">
        <v>0</v>
      </c>
      <c r="C3" s="23">
        <v>0.15</v>
      </c>
      <c r="D3" s="23">
        <v>0.3</v>
      </c>
      <c r="E3" s="23">
        <v>0.55000000000000004</v>
      </c>
      <c r="F3" s="23">
        <v>0.75</v>
      </c>
      <c r="G3" s="23">
        <v>0.9</v>
      </c>
      <c r="H3" s="24">
        <v>1</v>
      </c>
    </row>
    <row r="4" spans="1:8">
      <c r="A4" s="25" t="s">
        <v>64</v>
      </c>
      <c r="B4" s="26">
        <v>0</v>
      </c>
      <c r="C4" s="26">
        <v>0.02</v>
      </c>
      <c r="D4" s="26">
        <v>0.05</v>
      </c>
      <c r="E4" s="26">
        <v>0.1</v>
      </c>
      <c r="F4" s="26">
        <v>0.2</v>
      </c>
      <c r="G4" s="26">
        <v>0.35</v>
      </c>
      <c r="H4" s="27">
        <v>0.5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4ACA-10B2-466D-8BD1-E360D1E5BD07}">
  <dimension ref="A1:AC1009"/>
  <sheetViews>
    <sheetView showGridLines="0" topLeftCell="P1" zoomScale="90" zoomScaleNormal="90" workbookViewId="0">
      <selection activeCell="AB9" sqref="AB9:AC17"/>
    </sheetView>
  </sheetViews>
  <sheetFormatPr defaultRowHeight="14.4"/>
  <cols>
    <col min="1" max="1" width="21.5546875" bestFit="1" customWidth="1"/>
    <col min="2" max="2" width="17.44140625" bestFit="1" customWidth="1"/>
    <col min="3" max="3" width="20.6640625" bestFit="1" customWidth="1"/>
    <col min="4" max="4" width="14.88671875" bestFit="1" customWidth="1"/>
    <col min="5" max="5" width="31.33203125" bestFit="1" customWidth="1"/>
    <col min="6" max="6" width="17.109375" bestFit="1" customWidth="1"/>
    <col min="7" max="7" width="14.109375" bestFit="1" customWidth="1"/>
    <col min="8" max="8" width="16" bestFit="1" customWidth="1"/>
    <col min="9" max="9" width="14.88671875" bestFit="1" customWidth="1"/>
    <col min="10" max="10" width="19.21875" customWidth="1"/>
    <col min="18" max="18" width="17" bestFit="1" customWidth="1"/>
    <col min="19" max="21" width="13.33203125" bestFit="1" customWidth="1"/>
    <col min="22" max="22" width="12.21875" bestFit="1" customWidth="1"/>
    <col min="23" max="23" width="17.44140625" bestFit="1" customWidth="1"/>
    <col min="24" max="24" width="16.44140625" bestFit="1" customWidth="1"/>
    <col min="28" max="28" width="16.44140625" bestFit="1" customWidth="1"/>
    <col min="29" max="29" width="20.88671875" bestFit="1" customWidth="1"/>
  </cols>
  <sheetData>
    <row r="1" spans="1:29">
      <c r="A1" s="31" t="s">
        <v>43</v>
      </c>
      <c r="B1" s="3" t="s">
        <v>24</v>
      </c>
      <c r="E1" s="31" t="s">
        <v>53</v>
      </c>
      <c r="F1" s="3">
        <v>50000000</v>
      </c>
    </row>
    <row r="2" spans="1:29">
      <c r="A2" s="31" t="s">
        <v>44</v>
      </c>
      <c r="B2" s="3" t="str">
        <f>_xlfn.XLOOKUP(B1, tbl_Hazard[Event_ID], tbl_Hazard[District], "Event Not Found")</f>
        <v>Malda</v>
      </c>
      <c r="E2" s="31" t="s">
        <v>54</v>
      </c>
      <c r="F2" s="3">
        <v>200000000</v>
      </c>
    </row>
    <row r="3" spans="1:29">
      <c r="A3" s="31" t="s">
        <v>45</v>
      </c>
      <c r="B3" s="3">
        <f>_xlfn.XLOOKUP(B1, tbl_Hazard[Event_ID], tbl_Hazard[Max_Water_Depth_ft], 0)</f>
        <v>10</v>
      </c>
      <c r="E3" s="31" t="s">
        <v>55</v>
      </c>
      <c r="F3" s="4">
        <f>SUM(J10:J1009)</f>
        <v>952869803.4000001</v>
      </c>
      <c r="G3" s="35"/>
    </row>
    <row r="4" spans="1:29">
      <c r="A4" s="31" t="s">
        <v>52</v>
      </c>
      <c r="B4" s="32">
        <v>0.05</v>
      </c>
      <c r="E4" s="31" t="s">
        <v>56</v>
      </c>
      <c r="F4" s="4">
        <f>MIN(F2, MAX(0, F3-F1))</f>
        <v>200000000</v>
      </c>
    </row>
    <row r="5" spans="1:29">
      <c r="E5" s="31" t="s">
        <v>57</v>
      </c>
      <c r="F5" s="4">
        <f>F3-F4</f>
        <v>752869803.4000001</v>
      </c>
      <c r="H5" s="34"/>
    </row>
    <row r="9" spans="1:29">
      <c r="A9" s="31" t="s">
        <v>0</v>
      </c>
      <c r="B9" s="31" t="s">
        <v>1</v>
      </c>
      <c r="C9" s="31" t="s">
        <v>3</v>
      </c>
      <c r="D9" s="31" t="s">
        <v>7</v>
      </c>
      <c r="E9" s="31" t="s">
        <v>46</v>
      </c>
      <c r="F9" s="31" t="s">
        <v>47</v>
      </c>
      <c r="G9" s="31" t="s">
        <v>48</v>
      </c>
      <c r="H9" s="31" t="s">
        <v>49</v>
      </c>
      <c r="I9" s="31" t="s">
        <v>50</v>
      </c>
      <c r="J9" s="31" t="s">
        <v>51</v>
      </c>
      <c r="R9" t="s">
        <v>14</v>
      </c>
      <c r="S9" t="s">
        <v>13</v>
      </c>
      <c r="T9" t="s">
        <v>11</v>
      </c>
      <c r="U9" t="s">
        <v>9</v>
      </c>
      <c r="V9" t="s">
        <v>10</v>
      </c>
      <c r="W9" t="s">
        <v>12</v>
      </c>
      <c r="X9" t="s">
        <v>58</v>
      </c>
      <c r="AA9" s="3" t="s">
        <v>60</v>
      </c>
      <c r="AB9" s="3" t="s">
        <v>58</v>
      </c>
      <c r="AC9" s="3" t="s">
        <v>61</v>
      </c>
    </row>
    <row r="10" spans="1:29">
      <c r="A10" s="3" cm="1">
        <f t="array" ref="A10:A1009">Exposure_Data[Policy_ID]</f>
        <v>10000001</v>
      </c>
      <c r="B10" s="3" t="str" cm="1">
        <f t="array" ref="B10:B1009">Exposure_Data[District]</f>
        <v>South 24 Parganas</v>
      </c>
      <c r="C10" s="3" t="str" cm="1">
        <f t="array" ref="C10:C1009">Exposure_Data[Construction_Class]</f>
        <v>Reinforced Concrete</v>
      </c>
      <c r="D10" s="3" cm="1">
        <f t="array" ref="D10:D1009">Exposure_Data[Plinth_Height_ft]</f>
        <v>4</v>
      </c>
      <c r="E10" s="4" cm="1">
        <f t="array" ref="E10:E1009">Exposure_Data[Total_Insured_Value_TIV (INR)]</f>
        <v>57521588</v>
      </c>
      <c r="F10" s="3">
        <f>IF(B10=$B$2, MAX(0, $B$3 - D10), 0)</f>
        <v>0</v>
      </c>
      <c r="G10" s="30">
        <f>IF(F10=0, 0, INDEX(tbl_Vulnerability[[0 ft]:[10 ft]], MATCH(Simulation!C10, tbl_Vulnerability[Construction_Class], 0), MATCH(Simulation!F10,{0,1,2,3,5,8,10}, 1)))</f>
        <v>0</v>
      </c>
      <c r="H10" s="4">
        <f>E10*G10</f>
        <v>0</v>
      </c>
      <c r="I10" s="33">
        <f>E10*$B$4</f>
        <v>2876079.4000000004</v>
      </c>
      <c r="J10" s="33">
        <f>MAX(0, H10 - I10)</f>
        <v>0</v>
      </c>
      <c r="Q10" t="s">
        <v>59</v>
      </c>
      <c r="R10">
        <f>SUMIFS($J:$J,$B:$B, "South 24 Parganas")</f>
        <v>0</v>
      </c>
      <c r="S10">
        <f>SUMIFS($J:$J,$B:$B, "Malda")</f>
        <v>952869803.4000001</v>
      </c>
      <c r="T10">
        <f>SUMIFS($J:$J,$B:$B, "Jalpaiguri")</f>
        <v>0</v>
      </c>
      <c r="U10">
        <f>SUMIFS($J:$J,$B:$B, "Kolkata")</f>
        <v>0</v>
      </c>
      <c r="V10">
        <f>SUMIFS($J:$J,$B:$B, "Hooghly")</f>
        <v>0</v>
      </c>
      <c r="W10">
        <f>SUMIFS($J:$J,$B:$B, "Paschim Medinipur")</f>
        <v>0</v>
      </c>
      <c r="X10" s="35">
        <f>F5</f>
        <v>752869803.4000001</v>
      </c>
      <c r="AA10">
        <v>1</v>
      </c>
      <c r="AB10">
        <f>LARGE($X$11:$X$18,AA10)</f>
        <v>1118578253.2499998</v>
      </c>
      <c r="AC10" s="36">
        <f>AA10/9</f>
        <v>0.1111111111111111</v>
      </c>
    </row>
    <row r="11" spans="1:29">
      <c r="A11" s="3">
        <v>10000002</v>
      </c>
      <c r="B11" s="3" t="str">
        <v>Hooghly</v>
      </c>
      <c r="C11" s="3" t="str">
        <v>Reinforced Concrete</v>
      </c>
      <c r="D11" s="3">
        <v>3</v>
      </c>
      <c r="E11" s="4">
        <v>61301942</v>
      </c>
      <c r="F11" s="3">
        <f t="shared" ref="F11:F74" si="0">IF(B11=$B$2, MAX(0, $B$3 - D11), 0)</f>
        <v>0</v>
      </c>
      <c r="G11" s="30">
        <f>IF(F11=0, 0, INDEX(tbl_Vulnerability[[0 ft]:[10 ft]], MATCH(Simulation!C11, tbl_Vulnerability[Construction_Class], 0), MATCH(Simulation!F11,{0,1,2,3,5,8,10}, 1)))</f>
        <v>0</v>
      </c>
      <c r="H11" s="4">
        <f t="shared" ref="H11:H74" si="1">E11*G11</f>
        <v>0</v>
      </c>
      <c r="I11" s="33">
        <f t="shared" ref="I11:I74" si="2">E11*$B$4</f>
        <v>3065097.1</v>
      </c>
      <c r="J11" s="33">
        <f t="shared" ref="J11:J74" si="3">MAX(0, H11 - I11)</f>
        <v>0</v>
      </c>
      <c r="Q11" t="s">
        <v>20</v>
      </c>
      <c r="R11">
        <f t="dataTable" ref="R11:X18" dt2D="0" dtr="0" r1="B1"/>
        <v>1318578253.2499998</v>
      </c>
      <c r="S11">
        <v>0</v>
      </c>
      <c r="T11">
        <v>0</v>
      </c>
      <c r="U11">
        <v>0</v>
      </c>
      <c r="V11">
        <v>0</v>
      </c>
      <c r="W11">
        <v>0</v>
      </c>
      <c r="X11">
        <v>1118578253.2499998</v>
      </c>
      <c r="AA11">
        <v>2</v>
      </c>
      <c r="AB11">
        <f t="shared" ref="AB11:AB17" si="4">LARGE($X$11:$X$18,AA11)</f>
        <v>752869803.4000001</v>
      </c>
      <c r="AC11" s="36">
        <f t="shared" ref="AC11:AC17" si="5">AA11/9</f>
        <v>0.22222222222222221</v>
      </c>
    </row>
    <row r="12" spans="1:29">
      <c r="A12" s="3">
        <v>10000003</v>
      </c>
      <c r="B12" s="3" t="str">
        <v>Malda</v>
      </c>
      <c r="C12" s="3" t="str">
        <v>Reinforced Concrete</v>
      </c>
      <c r="D12" s="3">
        <v>5</v>
      </c>
      <c r="E12" s="4">
        <v>15044411</v>
      </c>
      <c r="F12" s="3">
        <f t="shared" si="0"/>
        <v>5</v>
      </c>
      <c r="G12" s="30">
        <f>IF(F12=0, 0, INDEX(tbl_Vulnerability[[0 ft]:[10 ft]], MATCH(Simulation!C12, tbl_Vulnerability[Construction_Class], 0), MATCH(Simulation!F12,{0,1,2,3,5,8,10}, 1)))</f>
        <v>0.2</v>
      </c>
      <c r="H12" s="4">
        <f t="shared" si="1"/>
        <v>3008882.2</v>
      </c>
      <c r="I12" s="33">
        <f t="shared" si="2"/>
        <v>752220.55</v>
      </c>
      <c r="J12" s="33">
        <f t="shared" si="3"/>
        <v>2256661.6500000004</v>
      </c>
      <c r="Q12" t="s">
        <v>22</v>
      </c>
      <c r="R12">
        <v>486787573.99999988</v>
      </c>
      <c r="S12">
        <v>0</v>
      </c>
      <c r="T12">
        <v>0</v>
      </c>
      <c r="U12">
        <v>0</v>
      </c>
      <c r="V12">
        <v>0</v>
      </c>
      <c r="W12">
        <v>0</v>
      </c>
      <c r="X12">
        <v>286787573.99999988</v>
      </c>
      <c r="AA12">
        <v>3</v>
      </c>
      <c r="AB12">
        <f t="shared" si="4"/>
        <v>408017423.50000024</v>
      </c>
      <c r="AC12" s="36">
        <f t="shared" si="5"/>
        <v>0.33333333333333331</v>
      </c>
    </row>
    <row r="13" spans="1:29">
      <c r="A13" s="3">
        <v>10000004</v>
      </c>
      <c r="B13" s="3" t="str">
        <v>Malda</v>
      </c>
      <c r="C13" s="3" t="str">
        <v>Reinforced Concrete</v>
      </c>
      <c r="D13" s="3">
        <v>5</v>
      </c>
      <c r="E13" s="4">
        <v>45461395</v>
      </c>
      <c r="F13" s="3">
        <f t="shared" si="0"/>
        <v>5</v>
      </c>
      <c r="G13" s="30">
        <f>IF(F13=0, 0, INDEX(tbl_Vulnerability[[0 ft]:[10 ft]], MATCH(Simulation!C13, tbl_Vulnerability[Construction_Class], 0), MATCH(Simulation!F13,{0,1,2,3,5,8,10}, 1)))</f>
        <v>0.2</v>
      </c>
      <c r="H13" s="4">
        <f t="shared" si="1"/>
        <v>9092279</v>
      </c>
      <c r="I13" s="33">
        <f t="shared" si="2"/>
        <v>2273069.75</v>
      </c>
      <c r="J13" s="33">
        <f t="shared" si="3"/>
        <v>6819209.25</v>
      </c>
      <c r="Q13" t="s">
        <v>24</v>
      </c>
      <c r="R13">
        <v>0</v>
      </c>
      <c r="S13">
        <v>952869803.4000001</v>
      </c>
      <c r="T13">
        <v>0</v>
      </c>
      <c r="U13">
        <v>0</v>
      </c>
      <c r="V13">
        <v>0</v>
      </c>
      <c r="W13">
        <v>0</v>
      </c>
      <c r="X13">
        <v>752869803.4000001</v>
      </c>
      <c r="AA13">
        <v>4</v>
      </c>
      <c r="AB13">
        <f t="shared" si="4"/>
        <v>286787573.99999988</v>
      </c>
      <c r="AC13" s="36">
        <f t="shared" si="5"/>
        <v>0.44444444444444442</v>
      </c>
    </row>
    <row r="14" spans="1:29">
      <c r="A14" s="3">
        <v>10000005</v>
      </c>
      <c r="B14" s="3" t="str">
        <v>South 24 Parganas</v>
      </c>
      <c r="C14" s="3" t="str">
        <v>Reinforced Concrete</v>
      </c>
      <c r="D14" s="3">
        <v>5</v>
      </c>
      <c r="E14" s="4">
        <v>5788430</v>
      </c>
      <c r="F14" s="3">
        <f t="shared" si="0"/>
        <v>0</v>
      </c>
      <c r="G14" s="30">
        <f>IF(F14=0, 0, INDEX(tbl_Vulnerability[[0 ft]:[10 ft]], MATCH(Simulation!C14, tbl_Vulnerability[Construction_Class], 0), MATCH(Simulation!F14,{0,1,2,3,5,8,10}, 1)))</f>
        <v>0</v>
      </c>
      <c r="H14" s="4">
        <f t="shared" si="1"/>
        <v>0</v>
      </c>
      <c r="I14" s="33">
        <f t="shared" si="2"/>
        <v>289421.5</v>
      </c>
      <c r="J14" s="33">
        <f t="shared" si="3"/>
        <v>0</v>
      </c>
      <c r="Q14" t="s">
        <v>26</v>
      </c>
      <c r="R14">
        <v>0</v>
      </c>
      <c r="S14">
        <v>186143163.49999997</v>
      </c>
      <c r="T14">
        <v>0</v>
      </c>
      <c r="U14">
        <v>0</v>
      </c>
      <c r="V14">
        <v>0</v>
      </c>
      <c r="W14">
        <v>0</v>
      </c>
      <c r="X14">
        <v>50000000</v>
      </c>
      <c r="AA14">
        <v>5</v>
      </c>
      <c r="AB14">
        <f t="shared" si="4"/>
        <v>192639297.9000001</v>
      </c>
      <c r="AC14" s="36">
        <f t="shared" si="5"/>
        <v>0.55555555555555558</v>
      </c>
    </row>
    <row r="15" spans="1:29">
      <c r="A15" s="3">
        <v>10000006</v>
      </c>
      <c r="B15" s="3" t="str">
        <v>Kolkata</v>
      </c>
      <c r="C15" s="3" t="str">
        <v>Reinforced Concrete</v>
      </c>
      <c r="D15" s="3">
        <v>5</v>
      </c>
      <c r="E15" s="4">
        <v>3737567</v>
      </c>
      <c r="F15" s="3">
        <f t="shared" si="0"/>
        <v>0</v>
      </c>
      <c r="G15" s="30">
        <f>IF(F15=0, 0, INDEX(tbl_Vulnerability[[0 ft]:[10 ft]], MATCH(Simulation!C15, tbl_Vulnerability[Construction_Class], 0), MATCH(Simulation!F15,{0,1,2,3,5,8,10}, 1)))</f>
        <v>0</v>
      </c>
      <c r="H15" s="4">
        <f t="shared" si="1"/>
        <v>0</v>
      </c>
      <c r="I15" s="33">
        <f t="shared" si="2"/>
        <v>186878.35</v>
      </c>
      <c r="J15" s="33">
        <f t="shared" si="3"/>
        <v>0</v>
      </c>
      <c r="Q15" t="s">
        <v>28</v>
      </c>
      <c r="R15">
        <v>0</v>
      </c>
      <c r="S15">
        <v>0</v>
      </c>
      <c r="T15">
        <v>392639297.9000001</v>
      </c>
      <c r="U15">
        <v>0</v>
      </c>
      <c r="V15">
        <v>0</v>
      </c>
      <c r="W15">
        <v>0</v>
      </c>
      <c r="X15">
        <v>192639297.9000001</v>
      </c>
      <c r="AA15">
        <v>6</v>
      </c>
      <c r="AB15">
        <f t="shared" si="4"/>
        <v>132234421.59999996</v>
      </c>
      <c r="AC15" s="36">
        <f t="shared" si="5"/>
        <v>0.66666666666666663</v>
      </c>
    </row>
    <row r="16" spans="1:29">
      <c r="A16" s="3">
        <v>10000007</v>
      </c>
      <c r="B16" s="3" t="str">
        <v>Kolkata</v>
      </c>
      <c r="C16" s="3" t="str">
        <v>Reinforced Concrete</v>
      </c>
      <c r="D16" s="3">
        <v>3</v>
      </c>
      <c r="E16" s="4">
        <v>46941556</v>
      </c>
      <c r="F16" s="3">
        <f t="shared" si="0"/>
        <v>0</v>
      </c>
      <c r="G16" s="30">
        <f>IF(F16=0, 0, INDEX(tbl_Vulnerability[[0 ft]:[10 ft]], MATCH(Simulation!C16, tbl_Vulnerability[Construction_Class], 0), MATCH(Simulation!F16,{0,1,2,3,5,8,10}, 1)))</f>
        <v>0</v>
      </c>
      <c r="H16" s="4">
        <f t="shared" si="1"/>
        <v>0</v>
      </c>
      <c r="I16" s="33">
        <f t="shared" si="2"/>
        <v>2347077.8000000003</v>
      </c>
      <c r="J16" s="33">
        <f t="shared" si="3"/>
        <v>0</v>
      </c>
      <c r="Q16" t="s">
        <v>30</v>
      </c>
      <c r="R16">
        <v>0</v>
      </c>
      <c r="S16">
        <v>0</v>
      </c>
      <c r="T16">
        <v>0</v>
      </c>
      <c r="U16">
        <v>135211445.75</v>
      </c>
      <c r="V16">
        <v>0</v>
      </c>
      <c r="W16">
        <v>0</v>
      </c>
      <c r="X16">
        <v>50000000</v>
      </c>
      <c r="AA16">
        <v>7</v>
      </c>
      <c r="AB16">
        <f t="shared" si="4"/>
        <v>50000000</v>
      </c>
      <c r="AC16" s="36">
        <f t="shared" si="5"/>
        <v>0.77777777777777779</v>
      </c>
    </row>
    <row r="17" spans="1:29">
      <c r="A17" s="3">
        <v>10000008</v>
      </c>
      <c r="B17" s="3" t="str">
        <v>Jalpaiguri</v>
      </c>
      <c r="C17" s="3" t="str">
        <v>Reinforced Concrete</v>
      </c>
      <c r="D17" s="3">
        <v>4</v>
      </c>
      <c r="E17" s="4">
        <v>4957360</v>
      </c>
      <c r="F17" s="3">
        <f t="shared" si="0"/>
        <v>0</v>
      </c>
      <c r="G17" s="30">
        <f>IF(F17=0, 0, INDEX(tbl_Vulnerability[[0 ft]:[10 ft]], MATCH(Simulation!C17, tbl_Vulnerability[Construction_Class], 0), MATCH(Simulation!F17,{0,1,2,3,5,8,10}, 1)))</f>
        <v>0</v>
      </c>
      <c r="H17" s="4">
        <f t="shared" si="1"/>
        <v>0</v>
      </c>
      <c r="I17" s="33">
        <f t="shared" si="2"/>
        <v>247868</v>
      </c>
      <c r="J17" s="33">
        <f t="shared" si="3"/>
        <v>0</v>
      </c>
      <c r="Q17" t="s">
        <v>32</v>
      </c>
      <c r="R17">
        <v>0</v>
      </c>
      <c r="S17">
        <v>0</v>
      </c>
      <c r="T17">
        <v>0</v>
      </c>
      <c r="U17">
        <v>0</v>
      </c>
      <c r="V17">
        <v>608017423.50000024</v>
      </c>
      <c r="W17">
        <v>0</v>
      </c>
      <c r="X17">
        <v>408017423.50000024</v>
      </c>
      <c r="AA17">
        <v>8</v>
      </c>
      <c r="AB17">
        <f t="shared" si="4"/>
        <v>50000000</v>
      </c>
      <c r="AC17" s="36">
        <f t="shared" si="5"/>
        <v>0.88888888888888884</v>
      </c>
    </row>
    <row r="18" spans="1:29">
      <c r="A18" s="3">
        <v>10000009</v>
      </c>
      <c r="B18" s="3" t="str">
        <v>Malda</v>
      </c>
      <c r="C18" s="3" t="str">
        <v>Reinforced Concrete</v>
      </c>
      <c r="D18" s="3">
        <v>5</v>
      </c>
      <c r="E18" s="4">
        <v>14602667</v>
      </c>
      <c r="F18" s="3">
        <f t="shared" si="0"/>
        <v>5</v>
      </c>
      <c r="G18" s="30">
        <f>IF(F18=0, 0, INDEX(tbl_Vulnerability[[0 ft]:[10 ft]], MATCH(Simulation!C18, tbl_Vulnerability[Construction_Class], 0), MATCH(Simulation!F18,{0,1,2,3,5,8,10}, 1)))</f>
        <v>0.2</v>
      </c>
      <c r="H18" s="4">
        <f t="shared" si="1"/>
        <v>2920533.4000000004</v>
      </c>
      <c r="I18" s="33">
        <f t="shared" si="2"/>
        <v>730133.35000000009</v>
      </c>
      <c r="J18" s="33">
        <f t="shared" si="3"/>
        <v>2190400.0500000003</v>
      </c>
      <c r="Q18" t="s">
        <v>34</v>
      </c>
      <c r="R18">
        <v>0</v>
      </c>
      <c r="S18">
        <v>0</v>
      </c>
      <c r="T18">
        <v>0</v>
      </c>
      <c r="U18">
        <v>0</v>
      </c>
      <c r="V18">
        <v>0</v>
      </c>
      <c r="W18">
        <v>332234421.59999996</v>
      </c>
      <c r="X18">
        <v>132234421.59999996</v>
      </c>
    </row>
    <row r="19" spans="1:29">
      <c r="A19" s="3">
        <v>10000010</v>
      </c>
      <c r="B19" s="3" t="str">
        <v>Malda</v>
      </c>
      <c r="C19" s="3" t="str">
        <v>Unreinforced Masonry</v>
      </c>
      <c r="D19" s="3">
        <v>0</v>
      </c>
      <c r="E19" s="4">
        <v>7855649</v>
      </c>
      <c r="F19" s="3">
        <f t="shared" si="0"/>
        <v>10</v>
      </c>
      <c r="G19" s="30">
        <f>IF(F19=0, 0, INDEX(tbl_Vulnerability[[0 ft]:[10 ft]], MATCH(Simulation!C19, tbl_Vulnerability[Construction_Class], 0), MATCH(Simulation!F19,{0,1,2,3,5,8,10}, 1)))</f>
        <v>1</v>
      </c>
      <c r="H19" s="4">
        <f t="shared" si="1"/>
        <v>7855649</v>
      </c>
      <c r="I19" s="33">
        <f t="shared" si="2"/>
        <v>392782.45</v>
      </c>
      <c r="J19" s="33">
        <f t="shared" si="3"/>
        <v>7462866.5499999998</v>
      </c>
    </row>
    <row r="20" spans="1:29">
      <c r="A20" s="3">
        <v>10000011</v>
      </c>
      <c r="B20" s="3" t="str">
        <v>Paschim Medinipur</v>
      </c>
      <c r="C20" s="3" t="str">
        <v>Unreinforced Masonry</v>
      </c>
      <c r="D20" s="3">
        <v>2</v>
      </c>
      <c r="E20" s="4">
        <v>3944418</v>
      </c>
      <c r="F20" s="3">
        <f t="shared" si="0"/>
        <v>0</v>
      </c>
      <c r="G20" s="30">
        <f>IF(F20=0, 0, INDEX(tbl_Vulnerability[[0 ft]:[10 ft]], MATCH(Simulation!C20, tbl_Vulnerability[Construction_Class], 0), MATCH(Simulation!F20,{0,1,2,3,5,8,10}, 1)))</f>
        <v>0</v>
      </c>
      <c r="H20" s="4">
        <f t="shared" si="1"/>
        <v>0</v>
      </c>
      <c r="I20" s="33">
        <f t="shared" si="2"/>
        <v>197220.90000000002</v>
      </c>
      <c r="J20" s="33">
        <f t="shared" si="3"/>
        <v>0</v>
      </c>
    </row>
    <row r="21" spans="1:29">
      <c r="A21" s="3">
        <v>10000012</v>
      </c>
      <c r="B21" s="3" t="str">
        <v>Malda</v>
      </c>
      <c r="C21" s="3" t="str">
        <v>Unreinforced Masonry</v>
      </c>
      <c r="D21" s="3">
        <v>0</v>
      </c>
      <c r="E21" s="4">
        <v>7756872</v>
      </c>
      <c r="F21" s="3">
        <f t="shared" si="0"/>
        <v>10</v>
      </c>
      <c r="G21" s="30">
        <f>IF(F21=0, 0, INDEX(tbl_Vulnerability[[0 ft]:[10 ft]], MATCH(Simulation!C21, tbl_Vulnerability[Construction_Class], 0), MATCH(Simulation!F21,{0,1,2,3,5,8,10}, 1)))</f>
        <v>1</v>
      </c>
      <c r="H21" s="4">
        <f t="shared" si="1"/>
        <v>7756872</v>
      </c>
      <c r="I21" s="33">
        <f t="shared" si="2"/>
        <v>387843.60000000003</v>
      </c>
      <c r="J21" s="33">
        <f t="shared" si="3"/>
        <v>7369028.4000000004</v>
      </c>
    </row>
    <row r="22" spans="1:29">
      <c r="A22" s="3">
        <v>10000013</v>
      </c>
      <c r="B22" s="3" t="str">
        <v>South 24 Parganas</v>
      </c>
      <c r="C22" s="3" t="str">
        <v>Unreinforced Masonry</v>
      </c>
      <c r="D22" s="3">
        <v>0</v>
      </c>
      <c r="E22" s="4">
        <v>27443607</v>
      </c>
      <c r="F22" s="3">
        <f t="shared" si="0"/>
        <v>0</v>
      </c>
      <c r="G22" s="30">
        <f>IF(F22=0, 0, INDEX(tbl_Vulnerability[[0 ft]:[10 ft]], MATCH(Simulation!C22, tbl_Vulnerability[Construction_Class], 0), MATCH(Simulation!F22,{0,1,2,3,5,8,10}, 1)))</f>
        <v>0</v>
      </c>
      <c r="H22" s="4">
        <f t="shared" si="1"/>
        <v>0</v>
      </c>
      <c r="I22" s="33">
        <f t="shared" si="2"/>
        <v>1372180.35</v>
      </c>
      <c r="J22" s="33">
        <f t="shared" si="3"/>
        <v>0</v>
      </c>
    </row>
    <row r="23" spans="1:29">
      <c r="A23" s="3">
        <v>10000014</v>
      </c>
      <c r="B23" s="3" t="str">
        <v>Jalpaiguri</v>
      </c>
      <c r="C23" s="3" t="str">
        <v>Reinforced Concrete</v>
      </c>
      <c r="D23" s="3">
        <v>3</v>
      </c>
      <c r="E23" s="4">
        <v>5071747</v>
      </c>
      <c r="F23" s="3">
        <f t="shared" si="0"/>
        <v>0</v>
      </c>
      <c r="G23" s="30">
        <f>IF(F23=0, 0, INDEX(tbl_Vulnerability[[0 ft]:[10 ft]], MATCH(Simulation!C23, tbl_Vulnerability[Construction_Class], 0), MATCH(Simulation!F23,{0,1,2,3,5,8,10}, 1)))</f>
        <v>0</v>
      </c>
      <c r="H23" s="4">
        <f t="shared" si="1"/>
        <v>0</v>
      </c>
      <c r="I23" s="33">
        <f t="shared" si="2"/>
        <v>253587.35</v>
      </c>
      <c r="J23" s="33">
        <f t="shared" si="3"/>
        <v>0</v>
      </c>
    </row>
    <row r="24" spans="1:29">
      <c r="A24" s="3">
        <v>10000015</v>
      </c>
      <c r="B24" s="3" t="str">
        <v>South 24 Parganas</v>
      </c>
      <c r="C24" s="3" t="str">
        <v>Reinforced Concrete</v>
      </c>
      <c r="D24" s="3">
        <v>4</v>
      </c>
      <c r="E24" s="4">
        <v>58063151</v>
      </c>
      <c r="F24" s="3">
        <f t="shared" si="0"/>
        <v>0</v>
      </c>
      <c r="G24" s="30">
        <f>IF(F24=0, 0, INDEX(tbl_Vulnerability[[0 ft]:[10 ft]], MATCH(Simulation!C24, tbl_Vulnerability[Construction_Class], 0), MATCH(Simulation!F24,{0,1,2,3,5,8,10}, 1)))</f>
        <v>0</v>
      </c>
      <c r="H24" s="4">
        <f t="shared" si="1"/>
        <v>0</v>
      </c>
      <c r="I24" s="33">
        <f t="shared" si="2"/>
        <v>2903157.5500000003</v>
      </c>
      <c r="J24" s="33">
        <f t="shared" si="3"/>
        <v>0</v>
      </c>
    </row>
    <row r="25" spans="1:29">
      <c r="A25" s="3">
        <v>10000016</v>
      </c>
      <c r="B25" s="3" t="str">
        <v>Hooghly</v>
      </c>
      <c r="C25" s="3" t="str">
        <v>Reinforced Concrete</v>
      </c>
      <c r="D25" s="3">
        <v>5</v>
      </c>
      <c r="E25" s="4">
        <v>2535323</v>
      </c>
      <c r="F25" s="3">
        <f t="shared" si="0"/>
        <v>0</v>
      </c>
      <c r="G25" s="30">
        <f>IF(F25=0, 0, INDEX(tbl_Vulnerability[[0 ft]:[10 ft]], MATCH(Simulation!C25, tbl_Vulnerability[Construction_Class], 0), MATCH(Simulation!F25,{0,1,2,3,5,8,10}, 1)))</f>
        <v>0</v>
      </c>
      <c r="H25" s="4">
        <f t="shared" si="1"/>
        <v>0</v>
      </c>
      <c r="I25" s="33">
        <f t="shared" si="2"/>
        <v>126766.15000000001</v>
      </c>
      <c r="J25" s="33">
        <f t="shared" si="3"/>
        <v>0</v>
      </c>
    </row>
    <row r="26" spans="1:29">
      <c r="A26" s="3">
        <v>10000017</v>
      </c>
      <c r="B26" s="3" t="str">
        <v>Hooghly</v>
      </c>
      <c r="C26" s="3" t="str">
        <v>Unreinforced Masonry</v>
      </c>
      <c r="D26" s="3">
        <v>0</v>
      </c>
      <c r="E26" s="4">
        <v>16676916</v>
      </c>
      <c r="F26" s="3">
        <f t="shared" si="0"/>
        <v>0</v>
      </c>
      <c r="G26" s="30">
        <f>IF(F26=0, 0, INDEX(tbl_Vulnerability[[0 ft]:[10 ft]], MATCH(Simulation!C26, tbl_Vulnerability[Construction_Class], 0), MATCH(Simulation!F26,{0,1,2,3,5,8,10}, 1)))</f>
        <v>0</v>
      </c>
      <c r="H26" s="4">
        <f t="shared" si="1"/>
        <v>0</v>
      </c>
      <c r="I26" s="33">
        <f t="shared" si="2"/>
        <v>833845.8</v>
      </c>
      <c r="J26" s="33">
        <f t="shared" si="3"/>
        <v>0</v>
      </c>
    </row>
    <row r="27" spans="1:29">
      <c r="A27" s="3">
        <v>10000018</v>
      </c>
      <c r="B27" s="3" t="str">
        <v>Jalpaiguri</v>
      </c>
      <c r="C27" s="3" t="str">
        <v>Reinforced Concrete</v>
      </c>
      <c r="D27" s="3">
        <v>5</v>
      </c>
      <c r="E27" s="4">
        <v>45410217</v>
      </c>
      <c r="F27" s="3">
        <f t="shared" si="0"/>
        <v>0</v>
      </c>
      <c r="G27" s="30">
        <f>IF(F27=0, 0, INDEX(tbl_Vulnerability[[0 ft]:[10 ft]], MATCH(Simulation!C27, tbl_Vulnerability[Construction_Class], 0), MATCH(Simulation!F27,{0,1,2,3,5,8,10}, 1)))</f>
        <v>0</v>
      </c>
      <c r="H27" s="4">
        <f t="shared" si="1"/>
        <v>0</v>
      </c>
      <c r="I27" s="33">
        <f t="shared" si="2"/>
        <v>2270510.85</v>
      </c>
      <c r="J27" s="33">
        <f t="shared" si="3"/>
        <v>0</v>
      </c>
    </row>
    <row r="28" spans="1:29">
      <c r="A28" s="3">
        <v>10000019</v>
      </c>
      <c r="B28" s="3" t="str">
        <v>Kolkata</v>
      </c>
      <c r="C28" s="3" t="str">
        <v>Reinforced Concrete</v>
      </c>
      <c r="D28" s="3">
        <v>3</v>
      </c>
      <c r="E28" s="4">
        <v>13178894</v>
      </c>
      <c r="F28" s="3">
        <f t="shared" si="0"/>
        <v>0</v>
      </c>
      <c r="G28" s="30">
        <f>IF(F28=0, 0, INDEX(tbl_Vulnerability[[0 ft]:[10 ft]], MATCH(Simulation!C28, tbl_Vulnerability[Construction_Class], 0), MATCH(Simulation!F28,{0,1,2,3,5,8,10}, 1)))</f>
        <v>0</v>
      </c>
      <c r="H28" s="4">
        <f t="shared" si="1"/>
        <v>0</v>
      </c>
      <c r="I28" s="33">
        <f t="shared" si="2"/>
        <v>658944.70000000007</v>
      </c>
      <c r="J28" s="33">
        <f t="shared" si="3"/>
        <v>0</v>
      </c>
    </row>
    <row r="29" spans="1:29">
      <c r="A29" s="3">
        <v>10000020</v>
      </c>
      <c r="B29" s="3" t="str">
        <v>Paschim Medinipur</v>
      </c>
      <c r="C29" s="3" t="str">
        <v>Reinforced Concrete</v>
      </c>
      <c r="D29" s="3">
        <v>3</v>
      </c>
      <c r="E29" s="4">
        <v>10084141</v>
      </c>
      <c r="F29" s="3">
        <f t="shared" si="0"/>
        <v>0</v>
      </c>
      <c r="G29" s="30">
        <f>IF(F29=0, 0, INDEX(tbl_Vulnerability[[0 ft]:[10 ft]], MATCH(Simulation!C29, tbl_Vulnerability[Construction_Class], 0), MATCH(Simulation!F29,{0,1,2,3,5,8,10}, 1)))</f>
        <v>0</v>
      </c>
      <c r="H29" s="4">
        <f t="shared" si="1"/>
        <v>0</v>
      </c>
      <c r="I29" s="33">
        <f t="shared" si="2"/>
        <v>504207.05000000005</v>
      </c>
      <c r="J29" s="33">
        <f t="shared" si="3"/>
        <v>0</v>
      </c>
    </row>
    <row r="30" spans="1:29">
      <c r="A30" s="3">
        <v>10000021</v>
      </c>
      <c r="B30" s="3" t="str">
        <v>Kolkata</v>
      </c>
      <c r="C30" s="3" t="str">
        <v>Reinforced Concrete</v>
      </c>
      <c r="D30" s="3">
        <v>4</v>
      </c>
      <c r="E30" s="4">
        <v>37142074</v>
      </c>
      <c r="F30" s="3">
        <f t="shared" si="0"/>
        <v>0</v>
      </c>
      <c r="G30" s="30">
        <f>IF(F30=0, 0, INDEX(tbl_Vulnerability[[0 ft]:[10 ft]], MATCH(Simulation!C30, tbl_Vulnerability[Construction_Class], 0), MATCH(Simulation!F30,{0,1,2,3,5,8,10}, 1)))</f>
        <v>0</v>
      </c>
      <c r="H30" s="4">
        <f t="shared" si="1"/>
        <v>0</v>
      </c>
      <c r="I30" s="33">
        <f t="shared" si="2"/>
        <v>1857103.7000000002</v>
      </c>
      <c r="J30" s="33">
        <f t="shared" si="3"/>
        <v>0</v>
      </c>
    </row>
    <row r="31" spans="1:29">
      <c r="A31" s="3">
        <v>10000022</v>
      </c>
      <c r="B31" s="3" t="str">
        <v>Kolkata</v>
      </c>
      <c r="C31" s="3" t="str">
        <v>Unreinforced Masonry</v>
      </c>
      <c r="D31" s="3">
        <v>0</v>
      </c>
      <c r="E31" s="4">
        <v>12375516</v>
      </c>
      <c r="F31" s="3">
        <f t="shared" si="0"/>
        <v>0</v>
      </c>
      <c r="G31" s="30">
        <f>IF(F31=0, 0, INDEX(tbl_Vulnerability[[0 ft]:[10 ft]], MATCH(Simulation!C31, tbl_Vulnerability[Construction_Class], 0), MATCH(Simulation!F31,{0,1,2,3,5,8,10}, 1)))</f>
        <v>0</v>
      </c>
      <c r="H31" s="4">
        <f t="shared" si="1"/>
        <v>0</v>
      </c>
      <c r="I31" s="33">
        <f t="shared" si="2"/>
        <v>618775.80000000005</v>
      </c>
      <c r="J31" s="33">
        <f t="shared" si="3"/>
        <v>0</v>
      </c>
    </row>
    <row r="32" spans="1:29">
      <c r="A32" s="3">
        <v>10000023</v>
      </c>
      <c r="B32" s="3" t="str">
        <v>Jalpaiguri</v>
      </c>
      <c r="C32" s="3" t="str">
        <v>Reinforced Concrete</v>
      </c>
      <c r="D32" s="3">
        <v>3</v>
      </c>
      <c r="E32" s="4">
        <v>57581943</v>
      </c>
      <c r="F32" s="3">
        <f t="shared" si="0"/>
        <v>0</v>
      </c>
      <c r="G32" s="30">
        <f>IF(F32=0, 0, INDEX(tbl_Vulnerability[[0 ft]:[10 ft]], MATCH(Simulation!C32, tbl_Vulnerability[Construction_Class], 0), MATCH(Simulation!F32,{0,1,2,3,5,8,10}, 1)))</f>
        <v>0</v>
      </c>
      <c r="H32" s="4">
        <f t="shared" si="1"/>
        <v>0</v>
      </c>
      <c r="I32" s="33">
        <f t="shared" si="2"/>
        <v>2879097.1500000004</v>
      </c>
      <c r="J32" s="33">
        <f t="shared" si="3"/>
        <v>0</v>
      </c>
    </row>
    <row r="33" spans="1:10">
      <c r="A33" s="3">
        <v>10000024</v>
      </c>
      <c r="B33" s="3" t="str">
        <v>South 24 Parganas</v>
      </c>
      <c r="C33" s="3" t="str">
        <v>Reinforced Concrete</v>
      </c>
      <c r="D33" s="3">
        <v>5</v>
      </c>
      <c r="E33" s="4">
        <v>3901414</v>
      </c>
      <c r="F33" s="3">
        <f t="shared" si="0"/>
        <v>0</v>
      </c>
      <c r="G33" s="30">
        <f>IF(F33=0, 0, INDEX(tbl_Vulnerability[[0 ft]:[10 ft]], MATCH(Simulation!C33, tbl_Vulnerability[Construction_Class], 0), MATCH(Simulation!F33,{0,1,2,3,5,8,10}, 1)))</f>
        <v>0</v>
      </c>
      <c r="H33" s="4">
        <f t="shared" si="1"/>
        <v>0</v>
      </c>
      <c r="I33" s="33">
        <f t="shared" si="2"/>
        <v>195070.7</v>
      </c>
      <c r="J33" s="33">
        <f t="shared" si="3"/>
        <v>0</v>
      </c>
    </row>
    <row r="34" spans="1:10">
      <c r="A34" s="3">
        <v>10000025</v>
      </c>
      <c r="B34" s="3" t="str">
        <v>Malda</v>
      </c>
      <c r="C34" s="3" t="str">
        <v>Unreinforced Masonry</v>
      </c>
      <c r="D34" s="3">
        <v>1</v>
      </c>
      <c r="E34" s="4">
        <v>16928456</v>
      </c>
      <c r="F34" s="3">
        <f t="shared" si="0"/>
        <v>9</v>
      </c>
      <c r="G34" s="30">
        <f>IF(F34=0, 0, INDEX(tbl_Vulnerability[[0 ft]:[10 ft]], MATCH(Simulation!C34, tbl_Vulnerability[Construction_Class], 0), MATCH(Simulation!F34,{0,1,2,3,5,8,10}, 1)))</f>
        <v>0.9</v>
      </c>
      <c r="H34" s="4">
        <f t="shared" si="1"/>
        <v>15235610.4</v>
      </c>
      <c r="I34" s="33">
        <f t="shared" si="2"/>
        <v>846422.8</v>
      </c>
      <c r="J34" s="33">
        <f t="shared" si="3"/>
        <v>14389187.6</v>
      </c>
    </row>
    <row r="35" spans="1:10">
      <c r="A35" s="3">
        <v>10000026</v>
      </c>
      <c r="B35" s="3" t="str">
        <v>Paschim Medinipur</v>
      </c>
      <c r="C35" s="3" t="str">
        <v>Reinforced Concrete</v>
      </c>
      <c r="D35" s="3">
        <v>4</v>
      </c>
      <c r="E35" s="4">
        <v>57229885</v>
      </c>
      <c r="F35" s="3">
        <f t="shared" si="0"/>
        <v>0</v>
      </c>
      <c r="G35" s="30">
        <f>IF(F35=0, 0, INDEX(tbl_Vulnerability[[0 ft]:[10 ft]], MATCH(Simulation!C35, tbl_Vulnerability[Construction_Class], 0), MATCH(Simulation!F35,{0,1,2,3,5,8,10}, 1)))</f>
        <v>0</v>
      </c>
      <c r="H35" s="4">
        <f t="shared" si="1"/>
        <v>0</v>
      </c>
      <c r="I35" s="33">
        <f t="shared" si="2"/>
        <v>2861494.25</v>
      </c>
      <c r="J35" s="33">
        <f t="shared" si="3"/>
        <v>0</v>
      </c>
    </row>
    <row r="36" spans="1:10">
      <c r="A36" s="3">
        <v>10000027</v>
      </c>
      <c r="B36" s="3" t="str">
        <v>Hooghly</v>
      </c>
      <c r="C36" s="3" t="str">
        <v>Reinforced Concrete</v>
      </c>
      <c r="D36" s="3">
        <v>5</v>
      </c>
      <c r="E36" s="4">
        <v>29740449</v>
      </c>
      <c r="F36" s="3">
        <f t="shared" si="0"/>
        <v>0</v>
      </c>
      <c r="G36" s="30">
        <f>IF(F36=0, 0, INDEX(tbl_Vulnerability[[0 ft]:[10 ft]], MATCH(Simulation!C36, tbl_Vulnerability[Construction_Class], 0), MATCH(Simulation!F36,{0,1,2,3,5,8,10}, 1)))</f>
        <v>0</v>
      </c>
      <c r="H36" s="4">
        <f t="shared" si="1"/>
        <v>0</v>
      </c>
      <c r="I36" s="33">
        <f t="shared" si="2"/>
        <v>1487022.4500000002</v>
      </c>
      <c r="J36" s="33">
        <f t="shared" si="3"/>
        <v>0</v>
      </c>
    </row>
    <row r="37" spans="1:10">
      <c r="A37" s="3">
        <v>10000028</v>
      </c>
      <c r="B37" s="3" t="str">
        <v>South 24 Parganas</v>
      </c>
      <c r="C37" s="3" t="str">
        <v>Unreinforced Masonry</v>
      </c>
      <c r="D37" s="3">
        <v>0</v>
      </c>
      <c r="E37" s="4">
        <v>3650891</v>
      </c>
      <c r="F37" s="3">
        <f t="shared" si="0"/>
        <v>0</v>
      </c>
      <c r="G37" s="30">
        <f>IF(F37=0, 0, INDEX(tbl_Vulnerability[[0 ft]:[10 ft]], MATCH(Simulation!C37, tbl_Vulnerability[Construction_Class], 0), MATCH(Simulation!F37,{0,1,2,3,5,8,10}, 1)))</f>
        <v>0</v>
      </c>
      <c r="H37" s="4">
        <f t="shared" si="1"/>
        <v>0</v>
      </c>
      <c r="I37" s="33">
        <f t="shared" si="2"/>
        <v>182544.55000000002</v>
      </c>
      <c r="J37" s="33">
        <f t="shared" si="3"/>
        <v>0</v>
      </c>
    </row>
    <row r="38" spans="1:10">
      <c r="A38" s="3">
        <v>10000029</v>
      </c>
      <c r="B38" s="3" t="str">
        <v>Paschim Medinipur</v>
      </c>
      <c r="C38" s="3" t="str">
        <v>Unreinforced Masonry</v>
      </c>
      <c r="D38" s="3">
        <v>2</v>
      </c>
      <c r="E38" s="4">
        <v>15706224</v>
      </c>
      <c r="F38" s="3">
        <f t="shared" si="0"/>
        <v>0</v>
      </c>
      <c r="G38" s="30">
        <f>IF(F38=0, 0, INDEX(tbl_Vulnerability[[0 ft]:[10 ft]], MATCH(Simulation!C38, tbl_Vulnerability[Construction_Class], 0), MATCH(Simulation!F38,{0,1,2,3,5,8,10}, 1)))</f>
        <v>0</v>
      </c>
      <c r="H38" s="4">
        <f t="shared" si="1"/>
        <v>0</v>
      </c>
      <c r="I38" s="33">
        <f t="shared" si="2"/>
        <v>785311.20000000007</v>
      </c>
      <c r="J38" s="33">
        <f t="shared" si="3"/>
        <v>0</v>
      </c>
    </row>
    <row r="39" spans="1:10">
      <c r="A39" s="3">
        <v>10000030</v>
      </c>
      <c r="B39" s="3" t="str">
        <v>Paschim Medinipur</v>
      </c>
      <c r="C39" s="3" t="str">
        <v>Unreinforced Masonry</v>
      </c>
      <c r="D39" s="3">
        <v>1</v>
      </c>
      <c r="E39" s="4">
        <v>15902118</v>
      </c>
      <c r="F39" s="3">
        <f t="shared" si="0"/>
        <v>0</v>
      </c>
      <c r="G39" s="30">
        <f>IF(F39=0, 0, INDEX(tbl_Vulnerability[[0 ft]:[10 ft]], MATCH(Simulation!C39, tbl_Vulnerability[Construction_Class], 0), MATCH(Simulation!F39,{0,1,2,3,5,8,10}, 1)))</f>
        <v>0</v>
      </c>
      <c r="H39" s="4">
        <f t="shared" si="1"/>
        <v>0</v>
      </c>
      <c r="I39" s="33">
        <f t="shared" si="2"/>
        <v>795105.9</v>
      </c>
      <c r="J39" s="33">
        <f t="shared" si="3"/>
        <v>0</v>
      </c>
    </row>
    <row r="40" spans="1:10">
      <c r="A40" s="3">
        <v>10000031</v>
      </c>
      <c r="B40" s="3" t="str">
        <v>Paschim Medinipur</v>
      </c>
      <c r="C40" s="3" t="str">
        <v>Reinforced Concrete</v>
      </c>
      <c r="D40" s="3">
        <v>4</v>
      </c>
      <c r="E40" s="4">
        <v>65040379</v>
      </c>
      <c r="F40" s="3">
        <f t="shared" si="0"/>
        <v>0</v>
      </c>
      <c r="G40" s="30">
        <f>IF(F40=0, 0, INDEX(tbl_Vulnerability[[0 ft]:[10 ft]], MATCH(Simulation!C40, tbl_Vulnerability[Construction_Class], 0), MATCH(Simulation!F40,{0,1,2,3,5,8,10}, 1)))</f>
        <v>0</v>
      </c>
      <c r="H40" s="4">
        <f t="shared" si="1"/>
        <v>0</v>
      </c>
      <c r="I40" s="33">
        <f t="shared" si="2"/>
        <v>3252018.95</v>
      </c>
      <c r="J40" s="33">
        <f t="shared" si="3"/>
        <v>0</v>
      </c>
    </row>
    <row r="41" spans="1:10">
      <c r="A41" s="3">
        <v>10000032</v>
      </c>
      <c r="B41" s="3" t="str">
        <v>Paschim Medinipur</v>
      </c>
      <c r="C41" s="3" t="str">
        <v>Adobe / Light Timber</v>
      </c>
      <c r="D41" s="3">
        <v>1</v>
      </c>
      <c r="E41" s="4">
        <v>690579</v>
      </c>
      <c r="F41" s="3">
        <f t="shared" si="0"/>
        <v>0</v>
      </c>
      <c r="G41" s="30">
        <f>IF(F41=0, 0, INDEX(tbl_Vulnerability[[0 ft]:[10 ft]], MATCH(Simulation!C41, tbl_Vulnerability[Construction_Class], 0), MATCH(Simulation!F41,{0,1,2,3,5,8,10}, 1)))</f>
        <v>0</v>
      </c>
      <c r="H41" s="4">
        <f t="shared" si="1"/>
        <v>0</v>
      </c>
      <c r="I41" s="33">
        <f t="shared" si="2"/>
        <v>34528.950000000004</v>
      </c>
      <c r="J41" s="33">
        <f t="shared" si="3"/>
        <v>0</v>
      </c>
    </row>
    <row r="42" spans="1:10">
      <c r="A42" s="3">
        <v>10000033</v>
      </c>
      <c r="B42" s="3" t="str">
        <v>South 24 Parganas</v>
      </c>
      <c r="C42" s="3" t="str">
        <v>Unreinforced Masonry</v>
      </c>
      <c r="D42" s="3">
        <v>1</v>
      </c>
      <c r="E42" s="4">
        <v>10615989</v>
      </c>
      <c r="F42" s="3">
        <f t="shared" si="0"/>
        <v>0</v>
      </c>
      <c r="G42" s="30">
        <f>IF(F42=0, 0, INDEX(tbl_Vulnerability[[0 ft]:[10 ft]], MATCH(Simulation!C42, tbl_Vulnerability[Construction_Class], 0), MATCH(Simulation!F42,{0,1,2,3,5,8,10}, 1)))</f>
        <v>0</v>
      </c>
      <c r="H42" s="4">
        <f t="shared" si="1"/>
        <v>0</v>
      </c>
      <c r="I42" s="33">
        <f t="shared" si="2"/>
        <v>530799.45000000007</v>
      </c>
      <c r="J42" s="33">
        <f t="shared" si="3"/>
        <v>0</v>
      </c>
    </row>
    <row r="43" spans="1:10">
      <c r="A43" s="3">
        <v>10000034</v>
      </c>
      <c r="B43" s="3" t="str">
        <v>Malda</v>
      </c>
      <c r="C43" s="3" t="str">
        <v>Unreinforced Masonry</v>
      </c>
      <c r="D43" s="3">
        <v>2</v>
      </c>
      <c r="E43" s="4">
        <v>15146958</v>
      </c>
      <c r="F43" s="3">
        <f t="shared" si="0"/>
        <v>8</v>
      </c>
      <c r="G43" s="30">
        <f>IF(F43=0, 0, INDEX(tbl_Vulnerability[[0 ft]:[10 ft]], MATCH(Simulation!C43, tbl_Vulnerability[Construction_Class], 0), MATCH(Simulation!F43,{0,1,2,3,5,8,10}, 1)))</f>
        <v>0.9</v>
      </c>
      <c r="H43" s="4">
        <f t="shared" si="1"/>
        <v>13632262.200000001</v>
      </c>
      <c r="I43" s="33">
        <f t="shared" si="2"/>
        <v>757347.9</v>
      </c>
      <c r="J43" s="33">
        <f t="shared" si="3"/>
        <v>12874914.300000001</v>
      </c>
    </row>
    <row r="44" spans="1:10">
      <c r="A44" s="3">
        <v>10000035</v>
      </c>
      <c r="B44" s="3" t="str">
        <v>South 24 Parganas</v>
      </c>
      <c r="C44" s="3" t="str">
        <v>Reinforced Concrete</v>
      </c>
      <c r="D44" s="3">
        <v>3</v>
      </c>
      <c r="E44" s="4">
        <v>45047434</v>
      </c>
      <c r="F44" s="3">
        <f t="shared" si="0"/>
        <v>0</v>
      </c>
      <c r="G44" s="30">
        <f>IF(F44=0, 0, INDEX(tbl_Vulnerability[[0 ft]:[10 ft]], MATCH(Simulation!C44, tbl_Vulnerability[Construction_Class], 0), MATCH(Simulation!F44,{0,1,2,3,5,8,10}, 1)))</f>
        <v>0</v>
      </c>
      <c r="H44" s="4">
        <f t="shared" si="1"/>
        <v>0</v>
      </c>
      <c r="I44" s="33">
        <f t="shared" si="2"/>
        <v>2252371.7000000002</v>
      </c>
      <c r="J44" s="33">
        <f t="shared" si="3"/>
        <v>0</v>
      </c>
    </row>
    <row r="45" spans="1:10">
      <c r="A45" s="3">
        <v>10000036</v>
      </c>
      <c r="B45" s="3" t="str">
        <v>Paschim Medinipur</v>
      </c>
      <c r="C45" s="3" t="str">
        <v>Reinforced Concrete</v>
      </c>
      <c r="D45" s="3">
        <v>5</v>
      </c>
      <c r="E45" s="4">
        <v>11281991</v>
      </c>
      <c r="F45" s="3">
        <f t="shared" si="0"/>
        <v>0</v>
      </c>
      <c r="G45" s="30">
        <f>IF(F45=0, 0, INDEX(tbl_Vulnerability[[0 ft]:[10 ft]], MATCH(Simulation!C45, tbl_Vulnerability[Construction_Class], 0), MATCH(Simulation!F45,{0,1,2,3,5,8,10}, 1)))</f>
        <v>0</v>
      </c>
      <c r="H45" s="4">
        <f t="shared" si="1"/>
        <v>0</v>
      </c>
      <c r="I45" s="33">
        <f t="shared" si="2"/>
        <v>564099.55000000005</v>
      </c>
      <c r="J45" s="33">
        <f t="shared" si="3"/>
        <v>0</v>
      </c>
    </row>
    <row r="46" spans="1:10">
      <c r="A46" s="3">
        <v>10000037</v>
      </c>
      <c r="B46" s="3" t="str">
        <v>Jalpaiguri</v>
      </c>
      <c r="C46" s="3" t="str">
        <v>Unreinforced Masonry</v>
      </c>
      <c r="D46" s="3">
        <v>1</v>
      </c>
      <c r="E46" s="4">
        <v>13700702</v>
      </c>
      <c r="F46" s="3">
        <f t="shared" si="0"/>
        <v>0</v>
      </c>
      <c r="G46" s="30">
        <f>IF(F46=0, 0, INDEX(tbl_Vulnerability[[0 ft]:[10 ft]], MATCH(Simulation!C46, tbl_Vulnerability[Construction_Class], 0), MATCH(Simulation!F46,{0,1,2,3,5,8,10}, 1)))</f>
        <v>0</v>
      </c>
      <c r="H46" s="4">
        <f t="shared" si="1"/>
        <v>0</v>
      </c>
      <c r="I46" s="33">
        <f t="shared" si="2"/>
        <v>685035.10000000009</v>
      </c>
      <c r="J46" s="33">
        <f t="shared" si="3"/>
        <v>0</v>
      </c>
    </row>
    <row r="47" spans="1:10">
      <c r="A47" s="3">
        <v>10000038</v>
      </c>
      <c r="B47" s="3" t="str">
        <v>Hooghly</v>
      </c>
      <c r="C47" s="3" t="str">
        <v>Reinforced Concrete</v>
      </c>
      <c r="D47" s="3">
        <v>3</v>
      </c>
      <c r="E47" s="4">
        <v>2544527</v>
      </c>
      <c r="F47" s="3">
        <f t="shared" si="0"/>
        <v>0</v>
      </c>
      <c r="G47" s="30">
        <f>IF(F47=0, 0, INDEX(tbl_Vulnerability[[0 ft]:[10 ft]], MATCH(Simulation!C47, tbl_Vulnerability[Construction_Class], 0), MATCH(Simulation!F47,{0,1,2,3,5,8,10}, 1)))</f>
        <v>0</v>
      </c>
      <c r="H47" s="4">
        <f t="shared" si="1"/>
        <v>0</v>
      </c>
      <c r="I47" s="33">
        <f t="shared" si="2"/>
        <v>127226.35</v>
      </c>
      <c r="J47" s="33">
        <f t="shared" si="3"/>
        <v>0</v>
      </c>
    </row>
    <row r="48" spans="1:10">
      <c r="A48" s="3">
        <v>10000039</v>
      </c>
      <c r="B48" s="3" t="str">
        <v>Jalpaiguri</v>
      </c>
      <c r="C48" s="3" t="str">
        <v>Reinforced Concrete</v>
      </c>
      <c r="D48" s="3">
        <v>5</v>
      </c>
      <c r="E48" s="4">
        <v>14297476</v>
      </c>
      <c r="F48" s="3">
        <f t="shared" si="0"/>
        <v>0</v>
      </c>
      <c r="G48" s="30">
        <f>IF(F48=0, 0, INDEX(tbl_Vulnerability[[0 ft]:[10 ft]], MATCH(Simulation!C48, tbl_Vulnerability[Construction_Class], 0), MATCH(Simulation!F48,{0,1,2,3,5,8,10}, 1)))</f>
        <v>0</v>
      </c>
      <c r="H48" s="4">
        <f t="shared" si="1"/>
        <v>0</v>
      </c>
      <c r="I48" s="33">
        <f t="shared" si="2"/>
        <v>714873.8</v>
      </c>
      <c r="J48" s="33">
        <f t="shared" si="3"/>
        <v>0</v>
      </c>
    </row>
    <row r="49" spans="1:10">
      <c r="A49" s="3">
        <v>10000040</v>
      </c>
      <c r="B49" s="3" t="str">
        <v>South 24 Parganas</v>
      </c>
      <c r="C49" s="3" t="str">
        <v>Unreinforced Masonry</v>
      </c>
      <c r="D49" s="3">
        <v>0</v>
      </c>
      <c r="E49" s="4">
        <v>4450630</v>
      </c>
      <c r="F49" s="3">
        <f t="shared" si="0"/>
        <v>0</v>
      </c>
      <c r="G49" s="30">
        <f>IF(F49=0, 0, INDEX(tbl_Vulnerability[[0 ft]:[10 ft]], MATCH(Simulation!C49, tbl_Vulnerability[Construction_Class], 0), MATCH(Simulation!F49,{0,1,2,3,5,8,10}, 1)))</f>
        <v>0</v>
      </c>
      <c r="H49" s="4">
        <f t="shared" si="1"/>
        <v>0</v>
      </c>
      <c r="I49" s="33">
        <f t="shared" si="2"/>
        <v>222531.5</v>
      </c>
      <c r="J49" s="33">
        <f t="shared" si="3"/>
        <v>0</v>
      </c>
    </row>
    <row r="50" spans="1:10">
      <c r="A50" s="3">
        <v>10000041</v>
      </c>
      <c r="B50" s="3" t="str">
        <v>Paschim Medinipur</v>
      </c>
      <c r="C50" s="3" t="str">
        <v>Unreinforced Masonry</v>
      </c>
      <c r="D50" s="3">
        <v>0</v>
      </c>
      <c r="E50" s="4">
        <v>19529974</v>
      </c>
      <c r="F50" s="3">
        <f t="shared" si="0"/>
        <v>0</v>
      </c>
      <c r="G50" s="30">
        <f>IF(F50=0, 0, INDEX(tbl_Vulnerability[[0 ft]:[10 ft]], MATCH(Simulation!C50, tbl_Vulnerability[Construction_Class], 0), MATCH(Simulation!F50,{0,1,2,3,5,8,10}, 1)))</f>
        <v>0</v>
      </c>
      <c r="H50" s="4">
        <f t="shared" si="1"/>
        <v>0</v>
      </c>
      <c r="I50" s="33">
        <f t="shared" si="2"/>
        <v>976498.70000000007</v>
      </c>
      <c r="J50" s="33">
        <f t="shared" si="3"/>
        <v>0</v>
      </c>
    </row>
    <row r="51" spans="1:10">
      <c r="A51" s="3">
        <v>10000042</v>
      </c>
      <c r="B51" s="3" t="str">
        <v>Kolkata</v>
      </c>
      <c r="C51" s="3" t="str">
        <v>Reinforced Concrete</v>
      </c>
      <c r="D51" s="3">
        <v>5</v>
      </c>
      <c r="E51" s="4">
        <v>54174578</v>
      </c>
      <c r="F51" s="3">
        <f t="shared" si="0"/>
        <v>0</v>
      </c>
      <c r="G51" s="30">
        <f>IF(F51=0, 0, INDEX(tbl_Vulnerability[[0 ft]:[10 ft]], MATCH(Simulation!C51, tbl_Vulnerability[Construction_Class], 0), MATCH(Simulation!F51,{0,1,2,3,5,8,10}, 1)))</f>
        <v>0</v>
      </c>
      <c r="H51" s="4">
        <f t="shared" si="1"/>
        <v>0</v>
      </c>
      <c r="I51" s="33">
        <f t="shared" si="2"/>
        <v>2708728.9000000004</v>
      </c>
      <c r="J51" s="33">
        <f t="shared" si="3"/>
        <v>0</v>
      </c>
    </row>
    <row r="52" spans="1:10">
      <c r="A52" s="3">
        <v>10000043</v>
      </c>
      <c r="B52" s="3" t="str">
        <v>Paschim Medinipur</v>
      </c>
      <c r="C52" s="3" t="str">
        <v>Reinforced Concrete</v>
      </c>
      <c r="D52" s="3">
        <v>3</v>
      </c>
      <c r="E52" s="4">
        <v>39597411</v>
      </c>
      <c r="F52" s="3">
        <f t="shared" si="0"/>
        <v>0</v>
      </c>
      <c r="G52" s="30">
        <f>IF(F52=0, 0, INDEX(tbl_Vulnerability[[0 ft]:[10 ft]], MATCH(Simulation!C52, tbl_Vulnerability[Construction_Class], 0), MATCH(Simulation!F52,{0,1,2,3,5,8,10}, 1)))</f>
        <v>0</v>
      </c>
      <c r="H52" s="4">
        <f t="shared" si="1"/>
        <v>0</v>
      </c>
      <c r="I52" s="33">
        <f t="shared" si="2"/>
        <v>1979870.55</v>
      </c>
      <c r="J52" s="33">
        <f t="shared" si="3"/>
        <v>0</v>
      </c>
    </row>
    <row r="53" spans="1:10">
      <c r="A53" s="3">
        <v>10000044</v>
      </c>
      <c r="B53" s="3" t="str">
        <v>Kolkata</v>
      </c>
      <c r="C53" s="3" t="str">
        <v>Reinforced Concrete</v>
      </c>
      <c r="D53" s="3">
        <v>5</v>
      </c>
      <c r="E53" s="4">
        <v>2235900</v>
      </c>
      <c r="F53" s="3">
        <f t="shared" si="0"/>
        <v>0</v>
      </c>
      <c r="G53" s="30">
        <f>IF(F53=0, 0, INDEX(tbl_Vulnerability[[0 ft]:[10 ft]], MATCH(Simulation!C53, tbl_Vulnerability[Construction_Class], 0), MATCH(Simulation!F53,{0,1,2,3,5,8,10}, 1)))</f>
        <v>0</v>
      </c>
      <c r="H53" s="4">
        <f t="shared" si="1"/>
        <v>0</v>
      </c>
      <c r="I53" s="33">
        <f t="shared" si="2"/>
        <v>111795</v>
      </c>
      <c r="J53" s="33">
        <f t="shared" si="3"/>
        <v>0</v>
      </c>
    </row>
    <row r="54" spans="1:10">
      <c r="A54" s="3">
        <v>10000045</v>
      </c>
      <c r="B54" s="3" t="str">
        <v>Kolkata</v>
      </c>
      <c r="C54" s="3" t="str">
        <v>Reinforced Concrete</v>
      </c>
      <c r="D54" s="3">
        <v>3</v>
      </c>
      <c r="E54" s="4">
        <v>58593550</v>
      </c>
      <c r="F54" s="3">
        <f t="shared" si="0"/>
        <v>0</v>
      </c>
      <c r="G54" s="30">
        <f>IF(F54=0, 0, INDEX(tbl_Vulnerability[[0 ft]:[10 ft]], MATCH(Simulation!C54, tbl_Vulnerability[Construction_Class], 0), MATCH(Simulation!F54,{0,1,2,3,5,8,10}, 1)))</f>
        <v>0</v>
      </c>
      <c r="H54" s="4">
        <f t="shared" si="1"/>
        <v>0</v>
      </c>
      <c r="I54" s="33">
        <f t="shared" si="2"/>
        <v>2929677.5</v>
      </c>
      <c r="J54" s="33">
        <f t="shared" si="3"/>
        <v>0</v>
      </c>
    </row>
    <row r="55" spans="1:10">
      <c r="A55" s="3">
        <v>10000046</v>
      </c>
      <c r="B55" s="3" t="str">
        <v>Kolkata</v>
      </c>
      <c r="C55" s="3" t="str">
        <v>Unreinforced Masonry</v>
      </c>
      <c r="D55" s="3">
        <v>1</v>
      </c>
      <c r="E55" s="4">
        <v>21366431</v>
      </c>
      <c r="F55" s="3">
        <f t="shared" si="0"/>
        <v>0</v>
      </c>
      <c r="G55" s="30">
        <f>IF(F55=0, 0, INDEX(tbl_Vulnerability[[0 ft]:[10 ft]], MATCH(Simulation!C55, tbl_Vulnerability[Construction_Class], 0), MATCH(Simulation!F55,{0,1,2,3,5,8,10}, 1)))</f>
        <v>0</v>
      </c>
      <c r="H55" s="4">
        <f t="shared" si="1"/>
        <v>0</v>
      </c>
      <c r="I55" s="33">
        <f t="shared" si="2"/>
        <v>1068321.55</v>
      </c>
      <c r="J55" s="33">
        <f t="shared" si="3"/>
        <v>0</v>
      </c>
    </row>
    <row r="56" spans="1:10">
      <c r="A56" s="3">
        <v>10000047</v>
      </c>
      <c r="B56" s="3" t="str">
        <v>Jalpaiguri</v>
      </c>
      <c r="C56" s="3" t="str">
        <v>Reinforced Concrete</v>
      </c>
      <c r="D56" s="3">
        <v>4</v>
      </c>
      <c r="E56" s="4">
        <v>35832016</v>
      </c>
      <c r="F56" s="3">
        <f t="shared" si="0"/>
        <v>0</v>
      </c>
      <c r="G56" s="30">
        <f>IF(F56=0, 0, INDEX(tbl_Vulnerability[[0 ft]:[10 ft]], MATCH(Simulation!C56, tbl_Vulnerability[Construction_Class], 0), MATCH(Simulation!F56,{0,1,2,3,5,8,10}, 1)))</f>
        <v>0</v>
      </c>
      <c r="H56" s="4">
        <f t="shared" si="1"/>
        <v>0</v>
      </c>
      <c r="I56" s="33">
        <f t="shared" si="2"/>
        <v>1791600.8</v>
      </c>
      <c r="J56" s="33">
        <f t="shared" si="3"/>
        <v>0</v>
      </c>
    </row>
    <row r="57" spans="1:10">
      <c r="A57" s="3">
        <v>10000048</v>
      </c>
      <c r="B57" s="3" t="str">
        <v>Paschim Medinipur</v>
      </c>
      <c r="C57" s="3" t="str">
        <v>Unreinforced Masonry</v>
      </c>
      <c r="D57" s="3">
        <v>1</v>
      </c>
      <c r="E57" s="4">
        <v>8341326</v>
      </c>
      <c r="F57" s="3">
        <f t="shared" si="0"/>
        <v>0</v>
      </c>
      <c r="G57" s="30">
        <f>IF(F57=0, 0, INDEX(tbl_Vulnerability[[0 ft]:[10 ft]], MATCH(Simulation!C57, tbl_Vulnerability[Construction_Class], 0), MATCH(Simulation!F57,{0,1,2,3,5,8,10}, 1)))</f>
        <v>0</v>
      </c>
      <c r="H57" s="4">
        <f t="shared" si="1"/>
        <v>0</v>
      </c>
      <c r="I57" s="33">
        <f t="shared" si="2"/>
        <v>417066.30000000005</v>
      </c>
      <c r="J57" s="33">
        <f t="shared" si="3"/>
        <v>0</v>
      </c>
    </row>
    <row r="58" spans="1:10">
      <c r="A58" s="3">
        <v>10000049</v>
      </c>
      <c r="B58" s="3" t="str">
        <v>Jalpaiguri</v>
      </c>
      <c r="C58" s="3" t="str">
        <v>Reinforced Concrete</v>
      </c>
      <c r="D58" s="3">
        <v>3</v>
      </c>
      <c r="E58" s="4">
        <v>36721748</v>
      </c>
      <c r="F58" s="3">
        <f t="shared" si="0"/>
        <v>0</v>
      </c>
      <c r="G58" s="30">
        <f>IF(F58=0, 0, INDEX(tbl_Vulnerability[[0 ft]:[10 ft]], MATCH(Simulation!C58, tbl_Vulnerability[Construction_Class], 0), MATCH(Simulation!F58,{0,1,2,3,5,8,10}, 1)))</f>
        <v>0</v>
      </c>
      <c r="H58" s="4">
        <f t="shared" si="1"/>
        <v>0</v>
      </c>
      <c r="I58" s="33">
        <f t="shared" si="2"/>
        <v>1836087.4000000001</v>
      </c>
      <c r="J58" s="33">
        <f t="shared" si="3"/>
        <v>0</v>
      </c>
    </row>
    <row r="59" spans="1:10">
      <c r="A59" s="3">
        <v>10000050</v>
      </c>
      <c r="B59" s="3" t="str">
        <v>Malda</v>
      </c>
      <c r="C59" s="3" t="str">
        <v>Reinforced Concrete</v>
      </c>
      <c r="D59" s="3">
        <v>5</v>
      </c>
      <c r="E59" s="4">
        <v>40413609</v>
      </c>
      <c r="F59" s="3">
        <f t="shared" si="0"/>
        <v>5</v>
      </c>
      <c r="G59" s="30">
        <f>IF(F59=0, 0, INDEX(tbl_Vulnerability[[0 ft]:[10 ft]], MATCH(Simulation!C59, tbl_Vulnerability[Construction_Class], 0), MATCH(Simulation!F59,{0,1,2,3,5,8,10}, 1)))</f>
        <v>0.2</v>
      </c>
      <c r="H59" s="4">
        <f t="shared" si="1"/>
        <v>8082721.8000000007</v>
      </c>
      <c r="I59" s="33">
        <f t="shared" si="2"/>
        <v>2020680.4500000002</v>
      </c>
      <c r="J59" s="33">
        <f t="shared" si="3"/>
        <v>6062041.3500000006</v>
      </c>
    </row>
    <row r="60" spans="1:10">
      <c r="A60" s="3">
        <v>10000051</v>
      </c>
      <c r="B60" s="3" t="str">
        <v>Jalpaiguri</v>
      </c>
      <c r="C60" s="3" t="str">
        <v>Reinforced Concrete</v>
      </c>
      <c r="D60" s="3">
        <v>3</v>
      </c>
      <c r="E60" s="4">
        <v>55853393</v>
      </c>
      <c r="F60" s="3">
        <f t="shared" si="0"/>
        <v>0</v>
      </c>
      <c r="G60" s="30">
        <f>IF(F60=0, 0, INDEX(tbl_Vulnerability[[0 ft]:[10 ft]], MATCH(Simulation!C60, tbl_Vulnerability[Construction_Class], 0), MATCH(Simulation!F60,{0,1,2,3,5,8,10}, 1)))</f>
        <v>0</v>
      </c>
      <c r="H60" s="4">
        <f t="shared" si="1"/>
        <v>0</v>
      </c>
      <c r="I60" s="33">
        <f t="shared" si="2"/>
        <v>2792669.6500000004</v>
      </c>
      <c r="J60" s="33">
        <f t="shared" si="3"/>
        <v>0</v>
      </c>
    </row>
    <row r="61" spans="1:10">
      <c r="A61" s="3">
        <v>10000052</v>
      </c>
      <c r="B61" s="3" t="str">
        <v>South 24 Parganas</v>
      </c>
      <c r="C61" s="3" t="str">
        <v>Reinforced Concrete</v>
      </c>
      <c r="D61" s="3">
        <v>5</v>
      </c>
      <c r="E61" s="4">
        <v>53245951</v>
      </c>
      <c r="F61" s="3">
        <f t="shared" si="0"/>
        <v>0</v>
      </c>
      <c r="G61" s="30">
        <f>IF(F61=0, 0, INDEX(tbl_Vulnerability[[0 ft]:[10 ft]], MATCH(Simulation!C61, tbl_Vulnerability[Construction_Class], 0), MATCH(Simulation!F61,{0,1,2,3,5,8,10}, 1)))</f>
        <v>0</v>
      </c>
      <c r="H61" s="4">
        <f t="shared" si="1"/>
        <v>0</v>
      </c>
      <c r="I61" s="33">
        <f t="shared" si="2"/>
        <v>2662297.5500000003</v>
      </c>
      <c r="J61" s="33">
        <f t="shared" si="3"/>
        <v>0</v>
      </c>
    </row>
    <row r="62" spans="1:10">
      <c r="A62" s="3">
        <v>10000053</v>
      </c>
      <c r="B62" s="3" t="str">
        <v>South 24 Parganas</v>
      </c>
      <c r="C62" s="3" t="str">
        <v>Reinforced Concrete</v>
      </c>
      <c r="D62" s="3">
        <v>4</v>
      </c>
      <c r="E62" s="4">
        <v>58288231</v>
      </c>
      <c r="F62" s="3">
        <f t="shared" si="0"/>
        <v>0</v>
      </c>
      <c r="G62" s="30">
        <f>IF(F62=0, 0, INDEX(tbl_Vulnerability[[0 ft]:[10 ft]], MATCH(Simulation!C62, tbl_Vulnerability[Construction_Class], 0), MATCH(Simulation!F62,{0,1,2,3,5,8,10}, 1)))</f>
        <v>0</v>
      </c>
      <c r="H62" s="4">
        <f t="shared" si="1"/>
        <v>0</v>
      </c>
      <c r="I62" s="33">
        <f t="shared" si="2"/>
        <v>2914411.5500000003</v>
      </c>
      <c r="J62" s="33">
        <f t="shared" si="3"/>
        <v>0</v>
      </c>
    </row>
    <row r="63" spans="1:10">
      <c r="A63" s="3">
        <v>10000054</v>
      </c>
      <c r="B63" s="3" t="str">
        <v>Jalpaiguri</v>
      </c>
      <c r="C63" s="3" t="str">
        <v>Adobe / Light Timber</v>
      </c>
      <c r="D63" s="3">
        <v>2</v>
      </c>
      <c r="E63" s="4">
        <v>529351</v>
      </c>
      <c r="F63" s="3">
        <f t="shared" si="0"/>
        <v>0</v>
      </c>
      <c r="G63" s="30">
        <f>IF(F63=0, 0, INDEX(tbl_Vulnerability[[0 ft]:[10 ft]], MATCH(Simulation!C63, tbl_Vulnerability[Construction_Class], 0), MATCH(Simulation!F63,{0,1,2,3,5,8,10}, 1)))</f>
        <v>0</v>
      </c>
      <c r="H63" s="4">
        <f t="shared" si="1"/>
        <v>0</v>
      </c>
      <c r="I63" s="33">
        <f t="shared" si="2"/>
        <v>26467.550000000003</v>
      </c>
      <c r="J63" s="33">
        <f t="shared" si="3"/>
        <v>0</v>
      </c>
    </row>
    <row r="64" spans="1:10">
      <c r="A64" s="3">
        <v>10000055</v>
      </c>
      <c r="B64" s="3" t="str">
        <v>South 24 Parganas</v>
      </c>
      <c r="C64" s="3" t="str">
        <v>Unreinforced Masonry</v>
      </c>
      <c r="D64" s="3">
        <v>1</v>
      </c>
      <c r="E64" s="4">
        <v>6191974</v>
      </c>
      <c r="F64" s="3">
        <f t="shared" si="0"/>
        <v>0</v>
      </c>
      <c r="G64" s="30">
        <f>IF(F64=0, 0, INDEX(tbl_Vulnerability[[0 ft]:[10 ft]], MATCH(Simulation!C64, tbl_Vulnerability[Construction_Class], 0), MATCH(Simulation!F64,{0,1,2,3,5,8,10}, 1)))</f>
        <v>0</v>
      </c>
      <c r="H64" s="4">
        <f t="shared" si="1"/>
        <v>0</v>
      </c>
      <c r="I64" s="33">
        <f t="shared" si="2"/>
        <v>309598.7</v>
      </c>
      <c r="J64" s="33">
        <f t="shared" si="3"/>
        <v>0</v>
      </c>
    </row>
    <row r="65" spans="1:10">
      <c r="A65" s="3">
        <v>10000056</v>
      </c>
      <c r="B65" s="3" t="str">
        <v>Jalpaiguri</v>
      </c>
      <c r="C65" s="3" t="str">
        <v>Reinforced Concrete</v>
      </c>
      <c r="D65" s="3">
        <v>4</v>
      </c>
      <c r="E65" s="4">
        <v>47872314</v>
      </c>
      <c r="F65" s="3">
        <f t="shared" si="0"/>
        <v>0</v>
      </c>
      <c r="G65" s="30">
        <f>IF(F65=0, 0, INDEX(tbl_Vulnerability[[0 ft]:[10 ft]], MATCH(Simulation!C65, tbl_Vulnerability[Construction_Class], 0), MATCH(Simulation!F65,{0,1,2,3,5,8,10}, 1)))</f>
        <v>0</v>
      </c>
      <c r="H65" s="4">
        <f t="shared" si="1"/>
        <v>0</v>
      </c>
      <c r="I65" s="33">
        <f t="shared" si="2"/>
        <v>2393615.7000000002</v>
      </c>
      <c r="J65" s="33">
        <f t="shared" si="3"/>
        <v>0</v>
      </c>
    </row>
    <row r="66" spans="1:10">
      <c r="A66" s="3">
        <v>10000057</v>
      </c>
      <c r="B66" s="3" t="str">
        <v>Paschim Medinipur</v>
      </c>
      <c r="C66" s="3" t="str">
        <v>Unreinforced Masonry</v>
      </c>
      <c r="D66" s="3">
        <v>0</v>
      </c>
      <c r="E66" s="4">
        <v>21442526</v>
      </c>
      <c r="F66" s="3">
        <f t="shared" si="0"/>
        <v>0</v>
      </c>
      <c r="G66" s="30">
        <f>IF(F66=0, 0, INDEX(tbl_Vulnerability[[0 ft]:[10 ft]], MATCH(Simulation!C66, tbl_Vulnerability[Construction_Class], 0), MATCH(Simulation!F66,{0,1,2,3,5,8,10}, 1)))</f>
        <v>0</v>
      </c>
      <c r="H66" s="4">
        <f t="shared" si="1"/>
        <v>0</v>
      </c>
      <c r="I66" s="33">
        <f t="shared" si="2"/>
        <v>1072126.3</v>
      </c>
      <c r="J66" s="33">
        <f t="shared" si="3"/>
        <v>0</v>
      </c>
    </row>
    <row r="67" spans="1:10">
      <c r="A67" s="3">
        <v>10000058</v>
      </c>
      <c r="B67" s="3" t="str">
        <v>Hooghly</v>
      </c>
      <c r="C67" s="3" t="str">
        <v>Reinforced Concrete</v>
      </c>
      <c r="D67" s="3">
        <v>5</v>
      </c>
      <c r="E67" s="4">
        <v>4979693</v>
      </c>
      <c r="F67" s="3">
        <f t="shared" si="0"/>
        <v>0</v>
      </c>
      <c r="G67" s="30">
        <f>IF(F67=0, 0, INDEX(tbl_Vulnerability[[0 ft]:[10 ft]], MATCH(Simulation!C67, tbl_Vulnerability[Construction_Class], 0), MATCH(Simulation!F67,{0,1,2,3,5,8,10}, 1)))</f>
        <v>0</v>
      </c>
      <c r="H67" s="4">
        <f t="shared" si="1"/>
        <v>0</v>
      </c>
      <c r="I67" s="33">
        <f t="shared" si="2"/>
        <v>248984.65000000002</v>
      </c>
      <c r="J67" s="33">
        <f t="shared" si="3"/>
        <v>0</v>
      </c>
    </row>
    <row r="68" spans="1:10">
      <c r="A68" s="3">
        <v>10000059</v>
      </c>
      <c r="B68" s="3" t="str">
        <v>Malda</v>
      </c>
      <c r="C68" s="3" t="str">
        <v>Unreinforced Masonry</v>
      </c>
      <c r="D68" s="3">
        <v>2</v>
      </c>
      <c r="E68" s="4">
        <v>25496044</v>
      </c>
      <c r="F68" s="3">
        <f t="shared" si="0"/>
        <v>8</v>
      </c>
      <c r="G68" s="30">
        <f>IF(F68=0, 0, INDEX(tbl_Vulnerability[[0 ft]:[10 ft]], MATCH(Simulation!C68, tbl_Vulnerability[Construction_Class], 0), MATCH(Simulation!F68,{0,1,2,3,5,8,10}, 1)))</f>
        <v>0.9</v>
      </c>
      <c r="H68" s="4">
        <f t="shared" si="1"/>
        <v>22946439.600000001</v>
      </c>
      <c r="I68" s="33">
        <f t="shared" si="2"/>
        <v>1274802.2000000002</v>
      </c>
      <c r="J68" s="33">
        <f t="shared" si="3"/>
        <v>21671637.400000002</v>
      </c>
    </row>
    <row r="69" spans="1:10">
      <c r="A69" s="3">
        <v>10000060</v>
      </c>
      <c r="B69" s="3" t="str">
        <v>Malda</v>
      </c>
      <c r="C69" s="3" t="str">
        <v>Reinforced Concrete</v>
      </c>
      <c r="D69" s="3">
        <v>3</v>
      </c>
      <c r="E69" s="4">
        <v>1604840</v>
      </c>
      <c r="F69" s="3">
        <f t="shared" si="0"/>
        <v>7</v>
      </c>
      <c r="G69" s="30">
        <f>IF(F69=0, 0, INDEX(tbl_Vulnerability[[0 ft]:[10 ft]], MATCH(Simulation!C69, tbl_Vulnerability[Construction_Class], 0), MATCH(Simulation!F69,{0,1,2,3,5,8,10}, 1)))</f>
        <v>0.2</v>
      </c>
      <c r="H69" s="4">
        <f t="shared" si="1"/>
        <v>320968</v>
      </c>
      <c r="I69" s="33">
        <f t="shared" si="2"/>
        <v>80242</v>
      </c>
      <c r="J69" s="33">
        <f t="shared" si="3"/>
        <v>240726</v>
      </c>
    </row>
    <row r="70" spans="1:10">
      <c r="A70" s="3">
        <v>10000061</v>
      </c>
      <c r="B70" s="3" t="str">
        <v>Jalpaiguri</v>
      </c>
      <c r="C70" s="3" t="str">
        <v>Reinforced Concrete</v>
      </c>
      <c r="D70" s="3">
        <v>4</v>
      </c>
      <c r="E70" s="4">
        <v>9150019</v>
      </c>
      <c r="F70" s="3">
        <f t="shared" si="0"/>
        <v>0</v>
      </c>
      <c r="G70" s="30">
        <f>IF(F70=0, 0, INDEX(tbl_Vulnerability[[0 ft]:[10 ft]], MATCH(Simulation!C70, tbl_Vulnerability[Construction_Class], 0), MATCH(Simulation!F70,{0,1,2,3,5,8,10}, 1)))</f>
        <v>0</v>
      </c>
      <c r="H70" s="4">
        <f t="shared" si="1"/>
        <v>0</v>
      </c>
      <c r="I70" s="33">
        <f t="shared" si="2"/>
        <v>457500.95</v>
      </c>
      <c r="J70" s="33">
        <f t="shared" si="3"/>
        <v>0</v>
      </c>
    </row>
    <row r="71" spans="1:10">
      <c r="A71" s="3">
        <v>10000062</v>
      </c>
      <c r="B71" s="3" t="str">
        <v>Jalpaiguri</v>
      </c>
      <c r="C71" s="3" t="str">
        <v>Unreinforced Masonry</v>
      </c>
      <c r="D71" s="3">
        <v>2</v>
      </c>
      <c r="E71" s="4">
        <v>5515640</v>
      </c>
      <c r="F71" s="3">
        <f t="shared" si="0"/>
        <v>0</v>
      </c>
      <c r="G71" s="30">
        <f>IF(F71=0, 0, INDEX(tbl_Vulnerability[[0 ft]:[10 ft]], MATCH(Simulation!C71, tbl_Vulnerability[Construction_Class], 0), MATCH(Simulation!F71,{0,1,2,3,5,8,10}, 1)))</f>
        <v>0</v>
      </c>
      <c r="H71" s="4">
        <f t="shared" si="1"/>
        <v>0</v>
      </c>
      <c r="I71" s="33">
        <f t="shared" si="2"/>
        <v>275782</v>
      </c>
      <c r="J71" s="33">
        <f t="shared" si="3"/>
        <v>0</v>
      </c>
    </row>
    <row r="72" spans="1:10">
      <c r="A72" s="3">
        <v>10000063</v>
      </c>
      <c r="B72" s="3" t="str">
        <v>South 24 Parganas</v>
      </c>
      <c r="C72" s="3" t="str">
        <v>Unreinforced Masonry</v>
      </c>
      <c r="D72" s="3">
        <v>2</v>
      </c>
      <c r="E72" s="4">
        <v>3697144</v>
      </c>
      <c r="F72" s="3">
        <f t="shared" si="0"/>
        <v>0</v>
      </c>
      <c r="G72" s="30">
        <f>IF(F72=0, 0, INDEX(tbl_Vulnerability[[0 ft]:[10 ft]], MATCH(Simulation!C72, tbl_Vulnerability[Construction_Class], 0), MATCH(Simulation!F72,{0,1,2,3,5,8,10}, 1)))</f>
        <v>0</v>
      </c>
      <c r="H72" s="4">
        <f t="shared" si="1"/>
        <v>0</v>
      </c>
      <c r="I72" s="33">
        <f t="shared" si="2"/>
        <v>184857.2</v>
      </c>
      <c r="J72" s="33">
        <f t="shared" si="3"/>
        <v>0</v>
      </c>
    </row>
    <row r="73" spans="1:10">
      <c r="A73" s="3">
        <v>10000064</v>
      </c>
      <c r="B73" s="3" t="str">
        <v>Jalpaiguri</v>
      </c>
      <c r="C73" s="3" t="str">
        <v>Unreinforced Masonry</v>
      </c>
      <c r="D73" s="3">
        <v>0</v>
      </c>
      <c r="E73" s="4">
        <v>5065234</v>
      </c>
      <c r="F73" s="3">
        <f t="shared" si="0"/>
        <v>0</v>
      </c>
      <c r="G73" s="30">
        <f>IF(F73=0, 0, INDEX(tbl_Vulnerability[[0 ft]:[10 ft]], MATCH(Simulation!C73, tbl_Vulnerability[Construction_Class], 0), MATCH(Simulation!F73,{0,1,2,3,5,8,10}, 1)))</f>
        <v>0</v>
      </c>
      <c r="H73" s="4">
        <f t="shared" si="1"/>
        <v>0</v>
      </c>
      <c r="I73" s="33">
        <f t="shared" si="2"/>
        <v>253261.7</v>
      </c>
      <c r="J73" s="33">
        <f t="shared" si="3"/>
        <v>0</v>
      </c>
    </row>
    <row r="74" spans="1:10">
      <c r="A74" s="3">
        <v>10000065</v>
      </c>
      <c r="B74" s="3" t="str">
        <v>South 24 Parganas</v>
      </c>
      <c r="C74" s="3" t="str">
        <v>Reinforced Concrete</v>
      </c>
      <c r="D74" s="3">
        <v>4</v>
      </c>
      <c r="E74" s="4">
        <v>60239725</v>
      </c>
      <c r="F74" s="3">
        <f t="shared" si="0"/>
        <v>0</v>
      </c>
      <c r="G74" s="30">
        <f>IF(F74=0, 0, INDEX(tbl_Vulnerability[[0 ft]:[10 ft]], MATCH(Simulation!C74, tbl_Vulnerability[Construction_Class], 0), MATCH(Simulation!F74,{0,1,2,3,5,8,10}, 1)))</f>
        <v>0</v>
      </c>
      <c r="H74" s="4">
        <f t="shared" si="1"/>
        <v>0</v>
      </c>
      <c r="I74" s="33">
        <f t="shared" si="2"/>
        <v>3011986.25</v>
      </c>
      <c r="J74" s="33">
        <f t="shared" si="3"/>
        <v>0</v>
      </c>
    </row>
    <row r="75" spans="1:10">
      <c r="A75" s="3">
        <v>10000066</v>
      </c>
      <c r="B75" s="3" t="str">
        <v>Malda</v>
      </c>
      <c r="C75" s="3" t="str">
        <v>Reinforced Concrete</v>
      </c>
      <c r="D75" s="3">
        <v>5</v>
      </c>
      <c r="E75" s="4">
        <v>55845957</v>
      </c>
      <c r="F75" s="3">
        <f t="shared" ref="F75:F138" si="6">IF(B75=$B$2, MAX(0, $B$3 - D75), 0)</f>
        <v>5</v>
      </c>
      <c r="G75" s="30">
        <f>IF(F75=0, 0, INDEX(tbl_Vulnerability[[0 ft]:[10 ft]], MATCH(Simulation!C75, tbl_Vulnerability[Construction_Class], 0), MATCH(Simulation!F75,{0,1,2,3,5,8,10}, 1)))</f>
        <v>0.2</v>
      </c>
      <c r="H75" s="4">
        <f t="shared" ref="H75:H138" si="7">E75*G75</f>
        <v>11169191.4</v>
      </c>
      <c r="I75" s="33">
        <f t="shared" ref="I75:I138" si="8">E75*$B$4</f>
        <v>2792297.85</v>
      </c>
      <c r="J75" s="33">
        <f t="shared" ref="J75:J138" si="9">MAX(0, H75 - I75)</f>
        <v>8376893.5500000007</v>
      </c>
    </row>
    <row r="76" spans="1:10">
      <c r="A76" s="3">
        <v>10000067</v>
      </c>
      <c r="B76" s="3" t="str">
        <v>Jalpaiguri</v>
      </c>
      <c r="C76" s="3" t="str">
        <v>Reinforced Concrete</v>
      </c>
      <c r="D76" s="3">
        <v>5</v>
      </c>
      <c r="E76" s="4">
        <v>3424859</v>
      </c>
      <c r="F76" s="3">
        <f t="shared" si="6"/>
        <v>0</v>
      </c>
      <c r="G76" s="30">
        <f>IF(F76=0, 0, INDEX(tbl_Vulnerability[[0 ft]:[10 ft]], MATCH(Simulation!C76, tbl_Vulnerability[Construction_Class], 0), MATCH(Simulation!F76,{0,1,2,3,5,8,10}, 1)))</f>
        <v>0</v>
      </c>
      <c r="H76" s="4">
        <f t="shared" si="7"/>
        <v>0</v>
      </c>
      <c r="I76" s="33">
        <f t="shared" si="8"/>
        <v>171242.95</v>
      </c>
      <c r="J76" s="33">
        <f t="shared" si="9"/>
        <v>0</v>
      </c>
    </row>
    <row r="77" spans="1:10">
      <c r="A77" s="3">
        <v>10000068</v>
      </c>
      <c r="B77" s="3" t="str">
        <v>South 24 Parganas</v>
      </c>
      <c r="C77" s="3" t="str">
        <v>Reinforced Concrete</v>
      </c>
      <c r="D77" s="3">
        <v>5</v>
      </c>
      <c r="E77" s="4">
        <v>10808674</v>
      </c>
      <c r="F77" s="3">
        <f t="shared" si="6"/>
        <v>0</v>
      </c>
      <c r="G77" s="30">
        <f>IF(F77=0, 0, INDEX(tbl_Vulnerability[[0 ft]:[10 ft]], MATCH(Simulation!C77, tbl_Vulnerability[Construction_Class], 0), MATCH(Simulation!F77,{0,1,2,3,5,8,10}, 1)))</f>
        <v>0</v>
      </c>
      <c r="H77" s="4">
        <f t="shared" si="7"/>
        <v>0</v>
      </c>
      <c r="I77" s="33">
        <f t="shared" si="8"/>
        <v>540433.70000000007</v>
      </c>
      <c r="J77" s="33">
        <f t="shared" si="9"/>
        <v>0</v>
      </c>
    </row>
    <row r="78" spans="1:10">
      <c r="A78" s="3">
        <v>10000069</v>
      </c>
      <c r="B78" s="3" t="str">
        <v>Kolkata</v>
      </c>
      <c r="C78" s="3" t="str">
        <v>Reinforced Concrete</v>
      </c>
      <c r="D78" s="3">
        <v>4</v>
      </c>
      <c r="E78" s="4">
        <v>17683042</v>
      </c>
      <c r="F78" s="3">
        <f t="shared" si="6"/>
        <v>0</v>
      </c>
      <c r="G78" s="30">
        <f>IF(F78=0, 0, INDEX(tbl_Vulnerability[[0 ft]:[10 ft]], MATCH(Simulation!C78, tbl_Vulnerability[Construction_Class], 0), MATCH(Simulation!F78,{0,1,2,3,5,8,10}, 1)))</f>
        <v>0</v>
      </c>
      <c r="H78" s="4">
        <f t="shared" si="7"/>
        <v>0</v>
      </c>
      <c r="I78" s="33">
        <f t="shared" si="8"/>
        <v>884152.10000000009</v>
      </c>
      <c r="J78" s="33">
        <f t="shared" si="9"/>
        <v>0</v>
      </c>
    </row>
    <row r="79" spans="1:10">
      <c r="A79" s="3">
        <v>10000070</v>
      </c>
      <c r="B79" s="3" t="str">
        <v>Hooghly</v>
      </c>
      <c r="C79" s="3" t="str">
        <v>Reinforced Concrete</v>
      </c>
      <c r="D79" s="3">
        <v>5</v>
      </c>
      <c r="E79" s="4">
        <v>21832563</v>
      </c>
      <c r="F79" s="3">
        <f t="shared" si="6"/>
        <v>0</v>
      </c>
      <c r="G79" s="30">
        <f>IF(F79=0, 0, INDEX(tbl_Vulnerability[[0 ft]:[10 ft]], MATCH(Simulation!C79, tbl_Vulnerability[Construction_Class], 0), MATCH(Simulation!F79,{0,1,2,3,5,8,10}, 1)))</f>
        <v>0</v>
      </c>
      <c r="H79" s="4">
        <f t="shared" si="7"/>
        <v>0</v>
      </c>
      <c r="I79" s="33">
        <f t="shared" si="8"/>
        <v>1091628.1500000001</v>
      </c>
      <c r="J79" s="33">
        <f t="shared" si="9"/>
        <v>0</v>
      </c>
    </row>
    <row r="80" spans="1:10">
      <c r="A80" s="3">
        <v>10000071</v>
      </c>
      <c r="B80" s="3" t="str">
        <v>South 24 Parganas</v>
      </c>
      <c r="C80" s="3" t="str">
        <v>Reinforced Concrete</v>
      </c>
      <c r="D80" s="3">
        <v>5</v>
      </c>
      <c r="E80" s="4">
        <v>12676310</v>
      </c>
      <c r="F80" s="3">
        <f t="shared" si="6"/>
        <v>0</v>
      </c>
      <c r="G80" s="30">
        <f>IF(F80=0, 0, INDEX(tbl_Vulnerability[[0 ft]:[10 ft]], MATCH(Simulation!C80, tbl_Vulnerability[Construction_Class], 0), MATCH(Simulation!F80,{0,1,2,3,5,8,10}, 1)))</f>
        <v>0</v>
      </c>
      <c r="H80" s="4">
        <f t="shared" si="7"/>
        <v>0</v>
      </c>
      <c r="I80" s="33">
        <f t="shared" si="8"/>
        <v>633815.5</v>
      </c>
      <c r="J80" s="33">
        <f t="shared" si="9"/>
        <v>0</v>
      </c>
    </row>
    <row r="81" spans="1:10">
      <c r="A81" s="3">
        <v>10000072</v>
      </c>
      <c r="B81" s="3" t="str">
        <v>Kolkata</v>
      </c>
      <c r="C81" s="3" t="str">
        <v>Reinforced Concrete</v>
      </c>
      <c r="D81" s="3">
        <v>5</v>
      </c>
      <c r="E81" s="4">
        <v>7230629</v>
      </c>
      <c r="F81" s="3">
        <f t="shared" si="6"/>
        <v>0</v>
      </c>
      <c r="G81" s="30">
        <f>IF(F81=0, 0, INDEX(tbl_Vulnerability[[0 ft]:[10 ft]], MATCH(Simulation!C81, tbl_Vulnerability[Construction_Class], 0), MATCH(Simulation!F81,{0,1,2,3,5,8,10}, 1)))</f>
        <v>0</v>
      </c>
      <c r="H81" s="4">
        <f t="shared" si="7"/>
        <v>0</v>
      </c>
      <c r="I81" s="33">
        <f t="shared" si="8"/>
        <v>361531.45</v>
      </c>
      <c r="J81" s="33">
        <f t="shared" si="9"/>
        <v>0</v>
      </c>
    </row>
    <row r="82" spans="1:10">
      <c r="A82" s="3">
        <v>10000073</v>
      </c>
      <c r="B82" s="3" t="str">
        <v>South 24 Parganas</v>
      </c>
      <c r="C82" s="3" t="str">
        <v>Adobe / Light Timber</v>
      </c>
      <c r="D82" s="3">
        <v>0</v>
      </c>
      <c r="E82" s="4">
        <v>366720</v>
      </c>
      <c r="F82" s="3">
        <f t="shared" si="6"/>
        <v>0</v>
      </c>
      <c r="G82" s="30">
        <f>IF(F82=0, 0, INDEX(tbl_Vulnerability[[0 ft]:[10 ft]], MATCH(Simulation!C82, tbl_Vulnerability[Construction_Class], 0), MATCH(Simulation!F82,{0,1,2,3,5,8,10}, 1)))</f>
        <v>0</v>
      </c>
      <c r="H82" s="4">
        <f t="shared" si="7"/>
        <v>0</v>
      </c>
      <c r="I82" s="33">
        <f t="shared" si="8"/>
        <v>18336</v>
      </c>
      <c r="J82" s="33">
        <f t="shared" si="9"/>
        <v>0</v>
      </c>
    </row>
    <row r="83" spans="1:10">
      <c r="A83" s="3">
        <v>10000074</v>
      </c>
      <c r="B83" s="3" t="str">
        <v>South 24 Parganas</v>
      </c>
      <c r="C83" s="3" t="str">
        <v>Adobe / Light Timber</v>
      </c>
      <c r="D83" s="3">
        <v>0</v>
      </c>
      <c r="E83" s="4">
        <v>444425</v>
      </c>
      <c r="F83" s="3">
        <f t="shared" si="6"/>
        <v>0</v>
      </c>
      <c r="G83" s="30">
        <f>IF(F83=0, 0, INDEX(tbl_Vulnerability[[0 ft]:[10 ft]], MATCH(Simulation!C83, tbl_Vulnerability[Construction_Class], 0), MATCH(Simulation!F83,{0,1,2,3,5,8,10}, 1)))</f>
        <v>0</v>
      </c>
      <c r="H83" s="4">
        <f t="shared" si="7"/>
        <v>0</v>
      </c>
      <c r="I83" s="33">
        <f t="shared" si="8"/>
        <v>22221.25</v>
      </c>
      <c r="J83" s="33">
        <f t="shared" si="9"/>
        <v>0</v>
      </c>
    </row>
    <row r="84" spans="1:10">
      <c r="A84" s="3">
        <v>10000075</v>
      </c>
      <c r="B84" s="3" t="str">
        <v>Jalpaiguri</v>
      </c>
      <c r="C84" s="3" t="str">
        <v>Reinforced Concrete</v>
      </c>
      <c r="D84" s="3">
        <v>5</v>
      </c>
      <c r="E84" s="4">
        <v>2498056</v>
      </c>
      <c r="F84" s="3">
        <f t="shared" si="6"/>
        <v>0</v>
      </c>
      <c r="G84" s="30">
        <f>IF(F84=0, 0, INDEX(tbl_Vulnerability[[0 ft]:[10 ft]], MATCH(Simulation!C84, tbl_Vulnerability[Construction_Class], 0), MATCH(Simulation!F84,{0,1,2,3,5,8,10}, 1)))</f>
        <v>0</v>
      </c>
      <c r="H84" s="4">
        <f t="shared" si="7"/>
        <v>0</v>
      </c>
      <c r="I84" s="33">
        <f t="shared" si="8"/>
        <v>124902.8</v>
      </c>
      <c r="J84" s="33">
        <f t="shared" si="9"/>
        <v>0</v>
      </c>
    </row>
    <row r="85" spans="1:10">
      <c r="A85" s="3">
        <v>10000076</v>
      </c>
      <c r="B85" s="3" t="str">
        <v>Malda</v>
      </c>
      <c r="C85" s="3" t="str">
        <v>Unreinforced Masonry</v>
      </c>
      <c r="D85" s="3">
        <v>0</v>
      </c>
      <c r="E85" s="4">
        <v>1566345</v>
      </c>
      <c r="F85" s="3">
        <f t="shared" si="6"/>
        <v>10</v>
      </c>
      <c r="G85" s="30">
        <f>IF(F85=0, 0, INDEX(tbl_Vulnerability[[0 ft]:[10 ft]], MATCH(Simulation!C85, tbl_Vulnerability[Construction_Class], 0), MATCH(Simulation!F85,{0,1,2,3,5,8,10}, 1)))</f>
        <v>1</v>
      </c>
      <c r="H85" s="4">
        <f t="shared" si="7"/>
        <v>1566345</v>
      </c>
      <c r="I85" s="33">
        <f t="shared" si="8"/>
        <v>78317.25</v>
      </c>
      <c r="J85" s="33">
        <f t="shared" si="9"/>
        <v>1488027.75</v>
      </c>
    </row>
    <row r="86" spans="1:10">
      <c r="A86" s="3">
        <v>10000077</v>
      </c>
      <c r="B86" s="3" t="str">
        <v>Malda</v>
      </c>
      <c r="C86" s="3" t="str">
        <v>Reinforced Concrete</v>
      </c>
      <c r="D86" s="3">
        <v>5</v>
      </c>
      <c r="E86" s="4">
        <v>67032038</v>
      </c>
      <c r="F86" s="3">
        <f t="shared" si="6"/>
        <v>5</v>
      </c>
      <c r="G86" s="30">
        <f>IF(F86=0, 0, INDEX(tbl_Vulnerability[[0 ft]:[10 ft]], MATCH(Simulation!C86, tbl_Vulnerability[Construction_Class], 0), MATCH(Simulation!F86,{0,1,2,3,5,8,10}, 1)))</f>
        <v>0.2</v>
      </c>
      <c r="H86" s="4">
        <f t="shared" si="7"/>
        <v>13406407.600000001</v>
      </c>
      <c r="I86" s="33">
        <f t="shared" si="8"/>
        <v>3351601.9000000004</v>
      </c>
      <c r="J86" s="33">
        <f t="shared" si="9"/>
        <v>10054805.700000001</v>
      </c>
    </row>
    <row r="87" spans="1:10">
      <c r="A87" s="3">
        <v>10000078</v>
      </c>
      <c r="B87" s="3" t="str">
        <v>Paschim Medinipur</v>
      </c>
      <c r="C87" s="3" t="str">
        <v>Reinforced Concrete</v>
      </c>
      <c r="D87" s="3">
        <v>3</v>
      </c>
      <c r="E87" s="4">
        <v>53807490</v>
      </c>
      <c r="F87" s="3">
        <f t="shared" si="6"/>
        <v>0</v>
      </c>
      <c r="G87" s="30">
        <f>IF(F87=0, 0, INDEX(tbl_Vulnerability[[0 ft]:[10 ft]], MATCH(Simulation!C87, tbl_Vulnerability[Construction_Class], 0), MATCH(Simulation!F87,{0,1,2,3,5,8,10}, 1)))</f>
        <v>0</v>
      </c>
      <c r="H87" s="4">
        <f t="shared" si="7"/>
        <v>0</v>
      </c>
      <c r="I87" s="33">
        <f t="shared" si="8"/>
        <v>2690374.5</v>
      </c>
      <c r="J87" s="33">
        <f t="shared" si="9"/>
        <v>0</v>
      </c>
    </row>
    <row r="88" spans="1:10">
      <c r="A88" s="3">
        <v>10000079</v>
      </c>
      <c r="B88" s="3" t="str">
        <v>Paschim Medinipur</v>
      </c>
      <c r="C88" s="3" t="str">
        <v>Reinforced Concrete</v>
      </c>
      <c r="D88" s="3">
        <v>5</v>
      </c>
      <c r="E88" s="4">
        <v>26310643</v>
      </c>
      <c r="F88" s="3">
        <f t="shared" si="6"/>
        <v>0</v>
      </c>
      <c r="G88" s="30">
        <f>IF(F88=0, 0, INDEX(tbl_Vulnerability[[0 ft]:[10 ft]], MATCH(Simulation!C88, tbl_Vulnerability[Construction_Class], 0), MATCH(Simulation!F88,{0,1,2,3,5,8,10}, 1)))</f>
        <v>0</v>
      </c>
      <c r="H88" s="4">
        <f t="shared" si="7"/>
        <v>0</v>
      </c>
      <c r="I88" s="33">
        <f t="shared" si="8"/>
        <v>1315532.1500000001</v>
      </c>
      <c r="J88" s="33">
        <f t="shared" si="9"/>
        <v>0</v>
      </c>
    </row>
    <row r="89" spans="1:10">
      <c r="A89" s="3">
        <v>10000080</v>
      </c>
      <c r="B89" s="3" t="str">
        <v>Malda</v>
      </c>
      <c r="C89" s="3" t="str">
        <v>Unreinforced Masonry</v>
      </c>
      <c r="D89" s="3">
        <v>1</v>
      </c>
      <c r="E89" s="4">
        <v>1959470</v>
      </c>
      <c r="F89" s="3">
        <f t="shared" si="6"/>
        <v>9</v>
      </c>
      <c r="G89" s="30">
        <f>IF(F89=0, 0, INDEX(tbl_Vulnerability[[0 ft]:[10 ft]], MATCH(Simulation!C89, tbl_Vulnerability[Construction_Class], 0), MATCH(Simulation!F89,{0,1,2,3,5,8,10}, 1)))</f>
        <v>0.9</v>
      </c>
      <c r="H89" s="4">
        <f t="shared" si="7"/>
        <v>1763523</v>
      </c>
      <c r="I89" s="33">
        <f t="shared" si="8"/>
        <v>97973.5</v>
      </c>
      <c r="J89" s="33">
        <f t="shared" si="9"/>
        <v>1665549.5</v>
      </c>
    </row>
    <row r="90" spans="1:10">
      <c r="A90" s="3">
        <v>10000081</v>
      </c>
      <c r="B90" s="3" t="str">
        <v>South 24 Parganas</v>
      </c>
      <c r="C90" s="3" t="str">
        <v>Unreinforced Masonry</v>
      </c>
      <c r="D90" s="3">
        <v>0</v>
      </c>
      <c r="E90" s="4">
        <v>13433062</v>
      </c>
      <c r="F90" s="3">
        <f t="shared" si="6"/>
        <v>0</v>
      </c>
      <c r="G90" s="30">
        <f>IF(F90=0, 0, INDEX(tbl_Vulnerability[[0 ft]:[10 ft]], MATCH(Simulation!C90, tbl_Vulnerability[Construction_Class], 0), MATCH(Simulation!F90,{0,1,2,3,5,8,10}, 1)))</f>
        <v>0</v>
      </c>
      <c r="H90" s="4">
        <f t="shared" si="7"/>
        <v>0</v>
      </c>
      <c r="I90" s="33">
        <f t="shared" si="8"/>
        <v>671653.10000000009</v>
      </c>
      <c r="J90" s="33">
        <f t="shared" si="9"/>
        <v>0</v>
      </c>
    </row>
    <row r="91" spans="1:10">
      <c r="A91" s="3">
        <v>10000082</v>
      </c>
      <c r="B91" s="3" t="str">
        <v>Kolkata</v>
      </c>
      <c r="C91" s="3" t="str">
        <v>Reinforced Concrete</v>
      </c>
      <c r="D91" s="3">
        <v>5</v>
      </c>
      <c r="E91" s="4">
        <v>13470697</v>
      </c>
      <c r="F91" s="3">
        <f t="shared" si="6"/>
        <v>0</v>
      </c>
      <c r="G91" s="30">
        <f>IF(F91=0, 0, INDEX(tbl_Vulnerability[[0 ft]:[10 ft]], MATCH(Simulation!C91, tbl_Vulnerability[Construction_Class], 0), MATCH(Simulation!F91,{0,1,2,3,5,8,10}, 1)))</f>
        <v>0</v>
      </c>
      <c r="H91" s="4">
        <f t="shared" si="7"/>
        <v>0</v>
      </c>
      <c r="I91" s="33">
        <f t="shared" si="8"/>
        <v>673534.85000000009</v>
      </c>
      <c r="J91" s="33">
        <f t="shared" si="9"/>
        <v>0</v>
      </c>
    </row>
    <row r="92" spans="1:10">
      <c r="A92" s="3">
        <v>10000083</v>
      </c>
      <c r="B92" s="3" t="str">
        <v>Hooghly</v>
      </c>
      <c r="C92" s="3" t="str">
        <v>Reinforced Concrete</v>
      </c>
      <c r="D92" s="3">
        <v>5</v>
      </c>
      <c r="E92" s="4">
        <v>60563454</v>
      </c>
      <c r="F92" s="3">
        <f t="shared" si="6"/>
        <v>0</v>
      </c>
      <c r="G92" s="30">
        <f>IF(F92=0, 0, INDEX(tbl_Vulnerability[[0 ft]:[10 ft]], MATCH(Simulation!C92, tbl_Vulnerability[Construction_Class], 0), MATCH(Simulation!F92,{0,1,2,3,5,8,10}, 1)))</f>
        <v>0</v>
      </c>
      <c r="H92" s="4">
        <f t="shared" si="7"/>
        <v>0</v>
      </c>
      <c r="I92" s="33">
        <f t="shared" si="8"/>
        <v>3028172.7</v>
      </c>
      <c r="J92" s="33">
        <f t="shared" si="9"/>
        <v>0</v>
      </c>
    </row>
    <row r="93" spans="1:10">
      <c r="A93" s="3">
        <v>10000084</v>
      </c>
      <c r="B93" s="3" t="str">
        <v>Kolkata</v>
      </c>
      <c r="C93" s="3" t="str">
        <v>Reinforced Concrete</v>
      </c>
      <c r="D93" s="3">
        <v>4</v>
      </c>
      <c r="E93" s="4">
        <v>66351718</v>
      </c>
      <c r="F93" s="3">
        <f t="shared" si="6"/>
        <v>0</v>
      </c>
      <c r="G93" s="30">
        <f>IF(F93=0, 0, INDEX(tbl_Vulnerability[[0 ft]:[10 ft]], MATCH(Simulation!C93, tbl_Vulnerability[Construction_Class], 0), MATCH(Simulation!F93,{0,1,2,3,5,8,10}, 1)))</f>
        <v>0</v>
      </c>
      <c r="H93" s="4">
        <f t="shared" si="7"/>
        <v>0</v>
      </c>
      <c r="I93" s="33">
        <f t="shared" si="8"/>
        <v>3317585.9000000004</v>
      </c>
      <c r="J93" s="33">
        <f t="shared" si="9"/>
        <v>0</v>
      </c>
    </row>
    <row r="94" spans="1:10">
      <c r="A94" s="3">
        <v>10000085</v>
      </c>
      <c r="B94" s="3" t="str">
        <v>South 24 Parganas</v>
      </c>
      <c r="C94" s="3" t="str">
        <v>Unreinforced Masonry</v>
      </c>
      <c r="D94" s="3">
        <v>1</v>
      </c>
      <c r="E94" s="4">
        <v>8749088</v>
      </c>
      <c r="F94" s="3">
        <f t="shared" si="6"/>
        <v>0</v>
      </c>
      <c r="G94" s="30">
        <f>IF(F94=0, 0, INDEX(tbl_Vulnerability[[0 ft]:[10 ft]], MATCH(Simulation!C94, tbl_Vulnerability[Construction_Class], 0), MATCH(Simulation!F94,{0,1,2,3,5,8,10}, 1)))</f>
        <v>0</v>
      </c>
      <c r="H94" s="4">
        <f t="shared" si="7"/>
        <v>0</v>
      </c>
      <c r="I94" s="33">
        <f t="shared" si="8"/>
        <v>437454.4</v>
      </c>
      <c r="J94" s="33">
        <f t="shared" si="9"/>
        <v>0</v>
      </c>
    </row>
    <row r="95" spans="1:10">
      <c r="A95" s="3">
        <v>10000086</v>
      </c>
      <c r="B95" s="3" t="str">
        <v>Jalpaiguri</v>
      </c>
      <c r="C95" s="3" t="str">
        <v>Adobe / Light Timber</v>
      </c>
      <c r="D95" s="3">
        <v>0</v>
      </c>
      <c r="E95" s="4">
        <v>241026</v>
      </c>
      <c r="F95" s="3">
        <f t="shared" si="6"/>
        <v>0</v>
      </c>
      <c r="G95" s="30">
        <f>IF(F95=0, 0, INDEX(tbl_Vulnerability[[0 ft]:[10 ft]], MATCH(Simulation!C95, tbl_Vulnerability[Construction_Class], 0), MATCH(Simulation!F95,{0,1,2,3,5,8,10}, 1)))</f>
        <v>0</v>
      </c>
      <c r="H95" s="4">
        <f t="shared" si="7"/>
        <v>0</v>
      </c>
      <c r="I95" s="33">
        <f t="shared" si="8"/>
        <v>12051.300000000001</v>
      </c>
      <c r="J95" s="33">
        <f t="shared" si="9"/>
        <v>0</v>
      </c>
    </row>
    <row r="96" spans="1:10">
      <c r="A96" s="3">
        <v>10000087</v>
      </c>
      <c r="B96" s="3" t="str">
        <v>South 24 Parganas</v>
      </c>
      <c r="C96" s="3" t="str">
        <v>Unreinforced Masonry</v>
      </c>
      <c r="D96" s="3">
        <v>1</v>
      </c>
      <c r="E96" s="4">
        <v>15920165</v>
      </c>
      <c r="F96" s="3">
        <f t="shared" si="6"/>
        <v>0</v>
      </c>
      <c r="G96" s="30">
        <f>IF(F96=0, 0, INDEX(tbl_Vulnerability[[0 ft]:[10 ft]], MATCH(Simulation!C96, tbl_Vulnerability[Construction_Class], 0), MATCH(Simulation!F96,{0,1,2,3,5,8,10}, 1)))</f>
        <v>0</v>
      </c>
      <c r="H96" s="4">
        <f t="shared" si="7"/>
        <v>0</v>
      </c>
      <c r="I96" s="33">
        <f t="shared" si="8"/>
        <v>796008.25</v>
      </c>
      <c r="J96" s="33">
        <f t="shared" si="9"/>
        <v>0</v>
      </c>
    </row>
    <row r="97" spans="1:10">
      <c r="A97" s="3">
        <v>10000088</v>
      </c>
      <c r="B97" s="3" t="str">
        <v>Hooghly</v>
      </c>
      <c r="C97" s="3" t="str">
        <v>Reinforced Concrete</v>
      </c>
      <c r="D97" s="3">
        <v>5</v>
      </c>
      <c r="E97" s="4">
        <v>64856668</v>
      </c>
      <c r="F97" s="3">
        <f t="shared" si="6"/>
        <v>0</v>
      </c>
      <c r="G97" s="30">
        <f>IF(F97=0, 0, INDEX(tbl_Vulnerability[[0 ft]:[10 ft]], MATCH(Simulation!C97, tbl_Vulnerability[Construction_Class], 0), MATCH(Simulation!F97,{0,1,2,3,5,8,10}, 1)))</f>
        <v>0</v>
      </c>
      <c r="H97" s="4">
        <f t="shared" si="7"/>
        <v>0</v>
      </c>
      <c r="I97" s="33">
        <f t="shared" si="8"/>
        <v>3242833.4000000004</v>
      </c>
      <c r="J97" s="33">
        <f t="shared" si="9"/>
        <v>0</v>
      </c>
    </row>
    <row r="98" spans="1:10">
      <c r="A98" s="3">
        <v>10000089</v>
      </c>
      <c r="B98" s="3" t="str">
        <v>Hooghly</v>
      </c>
      <c r="C98" s="3" t="str">
        <v>Reinforced Concrete</v>
      </c>
      <c r="D98" s="3">
        <v>3</v>
      </c>
      <c r="E98" s="4">
        <v>10349188</v>
      </c>
      <c r="F98" s="3">
        <f t="shared" si="6"/>
        <v>0</v>
      </c>
      <c r="G98" s="30">
        <f>IF(F98=0, 0, INDEX(tbl_Vulnerability[[0 ft]:[10 ft]], MATCH(Simulation!C98, tbl_Vulnerability[Construction_Class], 0), MATCH(Simulation!F98,{0,1,2,3,5,8,10}, 1)))</f>
        <v>0</v>
      </c>
      <c r="H98" s="4">
        <f t="shared" si="7"/>
        <v>0</v>
      </c>
      <c r="I98" s="33">
        <f t="shared" si="8"/>
        <v>517459.4</v>
      </c>
      <c r="J98" s="33">
        <f t="shared" si="9"/>
        <v>0</v>
      </c>
    </row>
    <row r="99" spans="1:10">
      <c r="A99" s="3">
        <v>10000090</v>
      </c>
      <c r="B99" s="3" t="str">
        <v>Paschim Medinipur</v>
      </c>
      <c r="C99" s="3" t="str">
        <v>Unreinforced Masonry</v>
      </c>
      <c r="D99" s="3">
        <v>2</v>
      </c>
      <c r="E99" s="4">
        <v>6113173</v>
      </c>
      <c r="F99" s="3">
        <f t="shared" si="6"/>
        <v>0</v>
      </c>
      <c r="G99" s="30">
        <f>IF(F99=0, 0, INDEX(tbl_Vulnerability[[0 ft]:[10 ft]], MATCH(Simulation!C99, tbl_Vulnerability[Construction_Class], 0), MATCH(Simulation!F99,{0,1,2,3,5,8,10}, 1)))</f>
        <v>0</v>
      </c>
      <c r="H99" s="4">
        <f t="shared" si="7"/>
        <v>0</v>
      </c>
      <c r="I99" s="33">
        <f t="shared" si="8"/>
        <v>305658.65000000002</v>
      </c>
      <c r="J99" s="33">
        <f t="shared" si="9"/>
        <v>0</v>
      </c>
    </row>
    <row r="100" spans="1:10">
      <c r="A100" s="3">
        <v>10000091</v>
      </c>
      <c r="B100" s="3" t="str">
        <v>Paschim Medinipur</v>
      </c>
      <c r="C100" s="3" t="str">
        <v>Reinforced Concrete</v>
      </c>
      <c r="D100" s="3">
        <v>5</v>
      </c>
      <c r="E100" s="4">
        <v>3821943</v>
      </c>
      <c r="F100" s="3">
        <f t="shared" si="6"/>
        <v>0</v>
      </c>
      <c r="G100" s="30">
        <f>IF(F100=0, 0, INDEX(tbl_Vulnerability[[0 ft]:[10 ft]], MATCH(Simulation!C100, tbl_Vulnerability[Construction_Class], 0), MATCH(Simulation!F100,{0,1,2,3,5,8,10}, 1)))</f>
        <v>0</v>
      </c>
      <c r="H100" s="4">
        <f t="shared" si="7"/>
        <v>0</v>
      </c>
      <c r="I100" s="33">
        <f t="shared" si="8"/>
        <v>191097.15000000002</v>
      </c>
      <c r="J100" s="33">
        <f t="shared" si="9"/>
        <v>0</v>
      </c>
    </row>
    <row r="101" spans="1:10">
      <c r="A101" s="3">
        <v>10000092</v>
      </c>
      <c r="B101" s="3" t="str">
        <v>Paschim Medinipur</v>
      </c>
      <c r="C101" s="3" t="str">
        <v>Reinforced Concrete</v>
      </c>
      <c r="D101" s="3">
        <v>4</v>
      </c>
      <c r="E101" s="4">
        <v>5934881</v>
      </c>
      <c r="F101" s="3">
        <f t="shared" si="6"/>
        <v>0</v>
      </c>
      <c r="G101" s="30">
        <f>IF(F101=0, 0, INDEX(tbl_Vulnerability[[0 ft]:[10 ft]], MATCH(Simulation!C101, tbl_Vulnerability[Construction_Class], 0), MATCH(Simulation!F101,{0,1,2,3,5,8,10}, 1)))</f>
        <v>0</v>
      </c>
      <c r="H101" s="4">
        <f t="shared" si="7"/>
        <v>0</v>
      </c>
      <c r="I101" s="33">
        <f t="shared" si="8"/>
        <v>296744.05</v>
      </c>
      <c r="J101" s="33">
        <f t="shared" si="9"/>
        <v>0</v>
      </c>
    </row>
    <row r="102" spans="1:10">
      <c r="A102" s="3">
        <v>10000093</v>
      </c>
      <c r="B102" s="3" t="str">
        <v>Jalpaiguri</v>
      </c>
      <c r="C102" s="3" t="str">
        <v>Reinforced Concrete</v>
      </c>
      <c r="D102" s="3">
        <v>5</v>
      </c>
      <c r="E102" s="4">
        <v>58397092</v>
      </c>
      <c r="F102" s="3">
        <f t="shared" si="6"/>
        <v>0</v>
      </c>
      <c r="G102" s="30">
        <f>IF(F102=0, 0, INDEX(tbl_Vulnerability[[0 ft]:[10 ft]], MATCH(Simulation!C102, tbl_Vulnerability[Construction_Class], 0), MATCH(Simulation!F102,{0,1,2,3,5,8,10}, 1)))</f>
        <v>0</v>
      </c>
      <c r="H102" s="4">
        <f t="shared" si="7"/>
        <v>0</v>
      </c>
      <c r="I102" s="33">
        <f t="shared" si="8"/>
        <v>2919854.6</v>
      </c>
      <c r="J102" s="33">
        <f t="shared" si="9"/>
        <v>0</v>
      </c>
    </row>
    <row r="103" spans="1:10">
      <c r="A103" s="3">
        <v>10000094</v>
      </c>
      <c r="B103" s="3" t="str">
        <v>Hooghly</v>
      </c>
      <c r="C103" s="3" t="str">
        <v>Reinforced Concrete</v>
      </c>
      <c r="D103" s="3">
        <v>3</v>
      </c>
      <c r="E103" s="4">
        <v>55626689</v>
      </c>
      <c r="F103" s="3">
        <f t="shared" si="6"/>
        <v>0</v>
      </c>
      <c r="G103" s="30">
        <f>IF(F103=0, 0, INDEX(tbl_Vulnerability[[0 ft]:[10 ft]], MATCH(Simulation!C103, tbl_Vulnerability[Construction_Class], 0), MATCH(Simulation!F103,{0,1,2,3,5,8,10}, 1)))</f>
        <v>0</v>
      </c>
      <c r="H103" s="4">
        <f t="shared" si="7"/>
        <v>0</v>
      </c>
      <c r="I103" s="33">
        <f t="shared" si="8"/>
        <v>2781334.45</v>
      </c>
      <c r="J103" s="33">
        <f t="shared" si="9"/>
        <v>0</v>
      </c>
    </row>
    <row r="104" spans="1:10">
      <c r="A104" s="3">
        <v>10000095</v>
      </c>
      <c r="B104" s="3" t="str">
        <v>South 24 Parganas</v>
      </c>
      <c r="C104" s="3" t="str">
        <v>Reinforced Concrete</v>
      </c>
      <c r="D104" s="3">
        <v>5</v>
      </c>
      <c r="E104" s="4">
        <v>56655153</v>
      </c>
      <c r="F104" s="3">
        <f t="shared" si="6"/>
        <v>0</v>
      </c>
      <c r="G104" s="30">
        <f>IF(F104=0, 0, INDEX(tbl_Vulnerability[[0 ft]:[10 ft]], MATCH(Simulation!C104, tbl_Vulnerability[Construction_Class], 0), MATCH(Simulation!F104,{0,1,2,3,5,8,10}, 1)))</f>
        <v>0</v>
      </c>
      <c r="H104" s="4">
        <f t="shared" si="7"/>
        <v>0</v>
      </c>
      <c r="I104" s="33">
        <f t="shared" si="8"/>
        <v>2832757.6500000004</v>
      </c>
      <c r="J104" s="33">
        <f t="shared" si="9"/>
        <v>0</v>
      </c>
    </row>
    <row r="105" spans="1:10">
      <c r="A105" s="3">
        <v>10000096</v>
      </c>
      <c r="B105" s="3" t="str">
        <v>Paschim Medinipur</v>
      </c>
      <c r="C105" s="3" t="str">
        <v>Reinforced Concrete</v>
      </c>
      <c r="D105" s="3">
        <v>4</v>
      </c>
      <c r="E105" s="4">
        <v>15834313</v>
      </c>
      <c r="F105" s="3">
        <f t="shared" si="6"/>
        <v>0</v>
      </c>
      <c r="G105" s="30">
        <f>IF(F105=0, 0, INDEX(tbl_Vulnerability[[0 ft]:[10 ft]], MATCH(Simulation!C105, tbl_Vulnerability[Construction_Class], 0), MATCH(Simulation!F105,{0,1,2,3,5,8,10}, 1)))</f>
        <v>0</v>
      </c>
      <c r="H105" s="4">
        <f t="shared" si="7"/>
        <v>0</v>
      </c>
      <c r="I105" s="33">
        <f t="shared" si="8"/>
        <v>791715.65</v>
      </c>
      <c r="J105" s="33">
        <f t="shared" si="9"/>
        <v>0</v>
      </c>
    </row>
    <row r="106" spans="1:10">
      <c r="A106" s="3">
        <v>10000097</v>
      </c>
      <c r="B106" s="3" t="str">
        <v>Hooghly</v>
      </c>
      <c r="C106" s="3" t="str">
        <v>Reinforced Concrete</v>
      </c>
      <c r="D106" s="3">
        <v>5</v>
      </c>
      <c r="E106" s="4">
        <v>39291582</v>
      </c>
      <c r="F106" s="3">
        <f t="shared" si="6"/>
        <v>0</v>
      </c>
      <c r="G106" s="30">
        <f>IF(F106=0, 0, INDEX(tbl_Vulnerability[[0 ft]:[10 ft]], MATCH(Simulation!C106, tbl_Vulnerability[Construction_Class], 0), MATCH(Simulation!F106,{0,1,2,3,5,8,10}, 1)))</f>
        <v>0</v>
      </c>
      <c r="H106" s="4">
        <f t="shared" si="7"/>
        <v>0</v>
      </c>
      <c r="I106" s="33">
        <f t="shared" si="8"/>
        <v>1964579.1</v>
      </c>
      <c r="J106" s="33">
        <f t="shared" si="9"/>
        <v>0</v>
      </c>
    </row>
    <row r="107" spans="1:10">
      <c r="A107" s="3">
        <v>10000098</v>
      </c>
      <c r="B107" s="3" t="str">
        <v>Malda</v>
      </c>
      <c r="C107" s="3" t="str">
        <v>Unreinforced Masonry</v>
      </c>
      <c r="D107" s="3">
        <v>1</v>
      </c>
      <c r="E107" s="4">
        <v>11278394</v>
      </c>
      <c r="F107" s="3">
        <f t="shared" si="6"/>
        <v>9</v>
      </c>
      <c r="G107" s="30">
        <f>IF(F107=0, 0, INDEX(tbl_Vulnerability[[0 ft]:[10 ft]], MATCH(Simulation!C107, tbl_Vulnerability[Construction_Class], 0), MATCH(Simulation!F107,{0,1,2,3,5,8,10}, 1)))</f>
        <v>0.9</v>
      </c>
      <c r="H107" s="4">
        <f t="shared" si="7"/>
        <v>10150554.6</v>
      </c>
      <c r="I107" s="33">
        <f t="shared" si="8"/>
        <v>563919.70000000007</v>
      </c>
      <c r="J107" s="33">
        <f t="shared" si="9"/>
        <v>9586634.9000000004</v>
      </c>
    </row>
    <row r="108" spans="1:10">
      <c r="A108" s="3">
        <v>10000099</v>
      </c>
      <c r="B108" s="3" t="str">
        <v>Jalpaiguri</v>
      </c>
      <c r="C108" s="3" t="str">
        <v>Adobe / Light Timber</v>
      </c>
      <c r="D108" s="3">
        <v>0</v>
      </c>
      <c r="E108" s="4">
        <v>593991</v>
      </c>
      <c r="F108" s="3">
        <f t="shared" si="6"/>
        <v>0</v>
      </c>
      <c r="G108" s="30">
        <f>IF(F108=0, 0, INDEX(tbl_Vulnerability[[0 ft]:[10 ft]], MATCH(Simulation!C108, tbl_Vulnerability[Construction_Class], 0), MATCH(Simulation!F108,{0,1,2,3,5,8,10}, 1)))</f>
        <v>0</v>
      </c>
      <c r="H108" s="4">
        <f t="shared" si="7"/>
        <v>0</v>
      </c>
      <c r="I108" s="33">
        <f t="shared" si="8"/>
        <v>29699.550000000003</v>
      </c>
      <c r="J108" s="33">
        <f t="shared" si="9"/>
        <v>0</v>
      </c>
    </row>
    <row r="109" spans="1:10">
      <c r="A109" s="3">
        <v>10000100</v>
      </c>
      <c r="B109" s="3" t="str">
        <v>Malda</v>
      </c>
      <c r="C109" s="3" t="str">
        <v>Reinforced Concrete</v>
      </c>
      <c r="D109" s="3">
        <v>3</v>
      </c>
      <c r="E109" s="4">
        <v>18274033</v>
      </c>
      <c r="F109" s="3">
        <f t="shared" si="6"/>
        <v>7</v>
      </c>
      <c r="G109" s="30">
        <f>IF(F109=0, 0, INDEX(tbl_Vulnerability[[0 ft]:[10 ft]], MATCH(Simulation!C109, tbl_Vulnerability[Construction_Class], 0), MATCH(Simulation!F109,{0,1,2,3,5,8,10}, 1)))</f>
        <v>0.2</v>
      </c>
      <c r="H109" s="4">
        <f t="shared" si="7"/>
        <v>3654806.6</v>
      </c>
      <c r="I109" s="33">
        <f t="shared" si="8"/>
        <v>913701.65</v>
      </c>
      <c r="J109" s="33">
        <f t="shared" si="9"/>
        <v>2741104.95</v>
      </c>
    </row>
    <row r="110" spans="1:10">
      <c r="A110" s="3">
        <v>10000101</v>
      </c>
      <c r="B110" s="3" t="str">
        <v>Malda</v>
      </c>
      <c r="C110" s="3" t="str">
        <v>Unreinforced Masonry</v>
      </c>
      <c r="D110" s="3">
        <v>1</v>
      </c>
      <c r="E110" s="4">
        <v>12359918</v>
      </c>
      <c r="F110" s="3">
        <f t="shared" si="6"/>
        <v>9</v>
      </c>
      <c r="G110" s="30">
        <f>IF(F110=0, 0, INDEX(tbl_Vulnerability[[0 ft]:[10 ft]], MATCH(Simulation!C110, tbl_Vulnerability[Construction_Class], 0), MATCH(Simulation!F110,{0,1,2,3,5,8,10}, 1)))</f>
        <v>0.9</v>
      </c>
      <c r="H110" s="4">
        <f t="shared" si="7"/>
        <v>11123926.200000001</v>
      </c>
      <c r="I110" s="33">
        <f t="shared" si="8"/>
        <v>617995.9</v>
      </c>
      <c r="J110" s="33">
        <f t="shared" si="9"/>
        <v>10505930.300000001</v>
      </c>
    </row>
    <row r="111" spans="1:10">
      <c r="A111" s="3">
        <v>10000102</v>
      </c>
      <c r="B111" s="3" t="str">
        <v>Malda</v>
      </c>
      <c r="C111" s="3" t="str">
        <v>Unreinforced Masonry</v>
      </c>
      <c r="D111" s="3">
        <v>1</v>
      </c>
      <c r="E111" s="4">
        <v>13303825</v>
      </c>
      <c r="F111" s="3">
        <f t="shared" si="6"/>
        <v>9</v>
      </c>
      <c r="G111" s="30">
        <f>IF(F111=0, 0, INDEX(tbl_Vulnerability[[0 ft]:[10 ft]], MATCH(Simulation!C111, tbl_Vulnerability[Construction_Class], 0), MATCH(Simulation!F111,{0,1,2,3,5,8,10}, 1)))</f>
        <v>0.9</v>
      </c>
      <c r="H111" s="4">
        <f t="shared" si="7"/>
        <v>11973442.5</v>
      </c>
      <c r="I111" s="33">
        <f t="shared" si="8"/>
        <v>665191.25</v>
      </c>
      <c r="J111" s="33">
        <f t="shared" si="9"/>
        <v>11308251.25</v>
      </c>
    </row>
    <row r="112" spans="1:10">
      <c r="A112" s="3">
        <v>10000103</v>
      </c>
      <c r="B112" s="3" t="str">
        <v>Jalpaiguri</v>
      </c>
      <c r="C112" s="3" t="str">
        <v>Unreinforced Masonry</v>
      </c>
      <c r="D112" s="3">
        <v>1</v>
      </c>
      <c r="E112" s="4">
        <v>14434288</v>
      </c>
      <c r="F112" s="3">
        <f t="shared" si="6"/>
        <v>0</v>
      </c>
      <c r="G112" s="30">
        <f>IF(F112=0, 0, INDEX(tbl_Vulnerability[[0 ft]:[10 ft]], MATCH(Simulation!C112, tbl_Vulnerability[Construction_Class], 0), MATCH(Simulation!F112,{0,1,2,3,5,8,10}, 1)))</f>
        <v>0</v>
      </c>
      <c r="H112" s="4">
        <f t="shared" si="7"/>
        <v>0</v>
      </c>
      <c r="I112" s="33">
        <f t="shared" si="8"/>
        <v>721714.4</v>
      </c>
      <c r="J112" s="33">
        <f t="shared" si="9"/>
        <v>0</v>
      </c>
    </row>
    <row r="113" spans="1:10">
      <c r="A113" s="3">
        <v>10000104</v>
      </c>
      <c r="B113" s="3" t="str">
        <v>Malda</v>
      </c>
      <c r="C113" s="3" t="str">
        <v>Reinforced Concrete</v>
      </c>
      <c r="D113" s="3">
        <v>3</v>
      </c>
      <c r="E113" s="4">
        <v>40744082</v>
      </c>
      <c r="F113" s="3">
        <f t="shared" si="6"/>
        <v>7</v>
      </c>
      <c r="G113" s="30">
        <f>IF(F113=0, 0, INDEX(tbl_Vulnerability[[0 ft]:[10 ft]], MATCH(Simulation!C113, tbl_Vulnerability[Construction_Class], 0), MATCH(Simulation!F113,{0,1,2,3,5,8,10}, 1)))</f>
        <v>0.2</v>
      </c>
      <c r="H113" s="4">
        <f t="shared" si="7"/>
        <v>8148816.4000000004</v>
      </c>
      <c r="I113" s="33">
        <f t="shared" si="8"/>
        <v>2037204.1</v>
      </c>
      <c r="J113" s="33">
        <f t="shared" si="9"/>
        <v>6111612.3000000007</v>
      </c>
    </row>
    <row r="114" spans="1:10">
      <c r="A114" s="3">
        <v>10000105</v>
      </c>
      <c r="B114" s="3" t="str">
        <v>Hooghly</v>
      </c>
      <c r="C114" s="3" t="str">
        <v>Reinforced Concrete</v>
      </c>
      <c r="D114" s="3">
        <v>4</v>
      </c>
      <c r="E114" s="4">
        <v>4308134</v>
      </c>
      <c r="F114" s="3">
        <f t="shared" si="6"/>
        <v>0</v>
      </c>
      <c r="G114" s="30">
        <f>IF(F114=0, 0, INDEX(tbl_Vulnerability[[0 ft]:[10 ft]], MATCH(Simulation!C114, tbl_Vulnerability[Construction_Class], 0), MATCH(Simulation!F114,{0,1,2,3,5,8,10}, 1)))</f>
        <v>0</v>
      </c>
      <c r="H114" s="4">
        <f t="shared" si="7"/>
        <v>0</v>
      </c>
      <c r="I114" s="33">
        <f t="shared" si="8"/>
        <v>215406.7</v>
      </c>
      <c r="J114" s="33">
        <f t="shared" si="9"/>
        <v>0</v>
      </c>
    </row>
    <row r="115" spans="1:10">
      <c r="A115" s="3">
        <v>10000106</v>
      </c>
      <c r="B115" s="3" t="str">
        <v>Malda</v>
      </c>
      <c r="C115" s="3" t="str">
        <v>Adobe / Light Timber</v>
      </c>
      <c r="D115" s="3">
        <v>0</v>
      </c>
      <c r="E115" s="4">
        <v>398256</v>
      </c>
      <c r="F115" s="3">
        <f t="shared" si="6"/>
        <v>10</v>
      </c>
      <c r="G115" s="30">
        <f>IF(F115=0, 0, INDEX(tbl_Vulnerability[[0 ft]:[10 ft]], MATCH(Simulation!C115, tbl_Vulnerability[Construction_Class], 0), MATCH(Simulation!F115,{0,1,2,3,5,8,10}, 1)))</f>
        <v>1</v>
      </c>
      <c r="H115" s="4">
        <f t="shared" si="7"/>
        <v>398256</v>
      </c>
      <c r="I115" s="33">
        <f t="shared" si="8"/>
        <v>19912.800000000003</v>
      </c>
      <c r="J115" s="33">
        <f t="shared" si="9"/>
        <v>378343.2</v>
      </c>
    </row>
    <row r="116" spans="1:10">
      <c r="A116" s="3">
        <v>10000107</v>
      </c>
      <c r="B116" s="3" t="str">
        <v>Hooghly</v>
      </c>
      <c r="C116" s="3" t="str">
        <v>Reinforced Concrete</v>
      </c>
      <c r="D116" s="3">
        <v>5</v>
      </c>
      <c r="E116" s="4">
        <v>43898310</v>
      </c>
      <c r="F116" s="3">
        <f t="shared" si="6"/>
        <v>0</v>
      </c>
      <c r="G116" s="30">
        <f>IF(F116=0, 0, INDEX(tbl_Vulnerability[[0 ft]:[10 ft]], MATCH(Simulation!C116, tbl_Vulnerability[Construction_Class], 0), MATCH(Simulation!F116,{0,1,2,3,5,8,10}, 1)))</f>
        <v>0</v>
      </c>
      <c r="H116" s="4">
        <f t="shared" si="7"/>
        <v>0</v>
      </c>
      <c r="I116" s="33">
        <f t="shared" si="8"/>
        <v>2194915.5</v>
      </c>
      <c r="J116" s="33">
        <f t="shared" si="9"/>
        <v>0</v>
      </c>
    </row>
    <row r="117" spans="1:10">
      <c r="A117" s="3">
        <v>10000108</v>
      </c>
      <c r="B117" s="3" t="str">
        <v>South 24 Parganas</v>
      </c>
      <c r="C117" s="3" t="str">
        <v>Reinforced Concrete</v>
      </c>
      <c r="D117" s="3">
        <v>4</v>
      </c>
      <c r="E117" s="4">
        <v>43863854</v>
      </c>
      <c r="F117" s="3">
        <f t="shared" si="6"/>
        <v>0</v>
      </c>
      <c r="G117" s="30">
        <f>IF(F117=0, 0, INDEX(tbl_Vulnerability[[0 ft]:[10 ft]], MATCH(Simulation!C117, tbl_Vulnerability[Construction_Class], 0), MATCH(Simulation!F117,{0,1,2,3,5,8,10}, 1)))</f>
        <v>0</v>
      </c>
      <c r="H117" s="4">
        <f t="shared" si="7"/>
        <v>0</v>
      </c>
      <c r="I117" s="33">
        <f t="shared" si="8"/>
        <v>2193192.7000000002</v>
      </c>
      <c r="J117" s="33">
        <f t="shared" si="9"/>
        <v>0</v>
      </c>
    </row>
    <row r="118" spans="1:10">
      <c r="A118" s="3">
        <v>10000109</v>
      </c>
      <c r="B118" s="3" t="str">
        <v>Jalpaiguri</v>
      </c>
      <c r="C118" s="3" t="str">
        <v>Adobe / Light Timber</v>
      </c>
      <c r="D118" s="3">
        <v>0</v>
      </c>
      <c r="E118" s="4">
        <v>589672</v>
      </c>
      <c r="F118" s="3">
        <f t="shared" si="6"/>
        <v>0</v>
      </c>
      <c r="G118" s="30">
        <f>IF(F118=0, 0, INDEX(tbl_Vulnerability[[0 ft]:[10 ft]], MATCH(Simulation!C118, tbl_Vulnerability[Construction_Class], 0), MATCH(Simulation!F118,{0,1,2,3,5,8,10}, 1)))</f>
        <v>0</v>
      </c>
      <c r="H118" s="4">
        <f t="shared" si="7"/>
        <v>0</v>
      </c>
      <c r="I118" s="33">
        <f t="shared" si="8"/>
        <v>29483.600000000002</v>
      </c>
      <c r="J118" s="33">
        <f t="shared" si="9"/>
        <v>0</v>
      </c>
    </row>
    <row r="119" spans="1:10">
      <c r="A119" s="3">
        <v>10000110</v>
      </c>
      <c r="B119" s="3" t="str">
        <v>Kolkata</v>
      </c>
      <c r="C119" s="3" t="str">
        <v>Reinforced Concrete</v>
      </c>
      <c r="D119" s="3">
        <v>5</v>
      </c>
      <c r="E119" s="4">
        <v>59081518</v>
      </c>
      <c r="F119" s="3">
        <f t="shared" si="6"/>
        <v>0</v>
      </c>
      <c r="G119" s="30">
        <f>IF(F119=0, 0, INDEX(tbl_Vulnerability[[0 ft]:[10 ft]], MATCH(Simulation!C119, tbl_Vulnerability[Construction_Class], 0), MATCH(Simulation!F119,{0,1,2,3,5,8,10}, 1)))</f>
        <v>0</v>
      </c>
      <c r="H119" s="4">
        <f t="shared" si="7"/>
        <v>0</v>
      </c>
      <c r="I119" s="33">
        <f t="shared" si="8"/>
        <v>2954075.9000000004</v>
      </c>
      <c r="J119" s="33">
        <f t="shared" si="9"/>
        <v>0</v>
      </c>
    </row>
    <row r="120" spans="1:10">
      <c r="A120" s="3">
        <v>10000111</v>
      </c>
      <c r="B120" s="3" t="str">
        <v>Jalpaiguri</v>
      </c>
      <c r="C120" s="3" t="str">
        <v>Reinforced Concrete</v>
      </c>
      <c r="D120" s="3">
        <v>3</v>
      </c>
      <c r="E120" s="4">
        <v>33698015</v>
      </c>
      <c r="F120" s="3">
        <f t="shared" si="6"/>
        <v>0</v>
      </c>
      <c r="G120" s="30">
        <f>IF(F120=0, 0, INDEX(tbl_Vulnerability[[0 ft]:[10 ft]], MATCH(Simulation!C120, tbl_Vulnerability[Construction_Class], 0), MATCH(Simulation!F120,{0,1,2,3,5,8,10}, 1)))</f>
        <v>0</v>
      </c>
      <c r="H120" s="4">
        <f t="shared" si="7"/>
        <v>0</v>
      </c>
      <c r="I120" s="33">
        <f t="shared" si="8"/>
        <v>1684900.75</v>
      </c>
      <c r="J120" s="33">
        <f t="shared" si="9"/>
        <v>0</v>
      </c>
    </row>
    <row r="121" spans="1:10">
      <c r="A121" s="3">
        <v>10000112</v>
      </c>
      <c r="B121" s="3" t="str">
        <v>Jalpaiguri</v>
      </c>
      <c r="C121" s="3" t="str">
        <v>Unreinforced Masonry</v>
      </c>
      <c r="D121" s="3">
        <v>1</v>
      </c>
      <c r="E121" s="4">
        <v>11762431</v>
      </c>
      <c r="F121" s="3">
        <f t="shared" si="6"/>
        <v>0</v>
      </c>
      <c r="G121" s="30">
        <f>IF(F121=0, 0, INDEX(tbl_Vulnerability[[0 ft]:[10 ft]], MATCH(Simulation!C121, tbl_Vulnerability[Construction_Class], 0), MATCH(Simulation!F121,{0,1,2,3,5,8,10}, 1)))</f>
        <v>0</v>
      </c>
      <c r="H121" s="4">
        <f t="shared" si="7"/>
        <v>0</v>
      </c>
      <c r="I121" s="33">
        <f t="shared" si="8"/>
        <v>588121.55000000005</v>
      </c>
      <c r="J121" s="33">
        <f t="shared" si="9"/>
        <v>0</v>
      </c>
    </row>
    <row r="122" spans="1:10">
      <c r="A122" s="3">
        <v>10000113</v>
      </c>
      <c r="B122" s="3" t="str">
        <v>Paschim Medinipur</v>
      </c>
      <c r="C122" s="3" t="str">
        <v>Reinforced Concrete</v>
      </c>
      <c r="D122" s="3">
        <v>3</v>
      </c>
      <c r="E122" s="4">
        <v>4074262</v>
      </c>
      <c r="F122" s="3">
        <f t="shared" si="6"/>
        <v>0</v>
      </c>
      <c r="G122" s="30">
        <f>IF(F122=0, 0, INDEX(tbl_Vulnerability[[0 ft]:[10 ft]], MATCH(Simulation!C122, tbl_Vulnerability[Construction_Class], 0), MATCH(Simulation!F122,{0,1,2,3,5,8,10}, 1)))</f>
        <v>0</v>
      </c>
      <c r="H122" s="4">
        <f t="shared" si="7"/>
        <v>0</v>
      </c>
      <c r="I122" s="33">
        <f t="shared" si="8"/>
        <v>203713.1</v>
      </c>
      <c r="J122" s="33">
        <f t="shared" si="9"/>
        <v>0</v>
      </c>
    </row>
    <row r="123" spans="1:10">
      <c r="A123" s="3">
        <v>10000114</v>
      </c>
      <c r="B123" s="3" t="str">
        <v>South 24 Parganas</v>
      </c>
      <c r="C123" s="3" t="str">
        <v>Reinforced Concrete</v>
      </c>
      <c r="D123" s="3">
        <v>3</v>
      </c>
      <c r="E123" s="4">
        <v>43998440</v>
      </c>
      <c r="F123" s="3">
        <f t="shared" si="6"/>
        <v>0</v>
      </c>
      <c r="G123" s="30">
        <f>IF(F123=0, 0, INDEX(tbl_Vulnerability[[0 ft]:[10 ft]], MATCH(Simulation!C123, tbl_Vulnerability[Construction_Class], 0), MATCH(Simulation!F123,{0,1,2,3,5,8,10}, 1)))</f>
        <v>0</v>
      </c>
      <c r="H123" s="4">
        <f t="shared" si="7"/>
        <v>0</v>
      </c>
      <c r="I123" s="33">
        <f t="shared" si="8"/>
        <v>2199922</v>
      </c>
      <c r="J123" s="33">
        <f t="shared" si="9"/>
        <v>0</v>
      </c>
    </row>
    <row r="124" spans="1:10">
      <c r="A124" s="3">
        <v>10000115</v>
      </c>
      <c r="B124" s="3" t="str">
        <v>Hooghly</v>
      </c>
      <c r="C124" s="3" t="str">
        <v>Reinforced Concrete</v>
      </c>
      <c r="D124" s="3">
        <v>3</v>
      </c>
      <c r="E124" s="4">
        <v>3594040</v>
      </c>
      <c r="F124" s="3">
        <f t="shared" si="6"/>
        <v>0</v>
      </c>
      <c r="G124" s="30">
        <f>IF(F124=0, 0, INDEX(tbl_Vulnerability[[0 ft]:[10 ft]], MATCH(Simulation!C124, tbl_Vulnerability[Construction_Class], 0), MATCH(Simulation!F124,{0,1,2,3,5,8,10}, 1)))</f>
        <v>0</v>
      </c>
      <c r="H124" s="4">
        <f t="shared" si="7"/>
        <v>0</v>
      </c>
      <c r="I124" s="33">
        <f t="shared" si="8"/>
        <v>179702</v>
      </c>
      <c r="J124" s="33">
        <f t="shared" si="9"/>
        <v>0</v>
      </c>
    </row>
    <row r="125" spans="1:10">
      <c r="A125" s="3">
        <v>10000116</v>
      </c>
      <c r="B125" s="3" t="str">
        <v>Jalpaiguri</v>
      </c>
      <c r="C125" s="3" t="str">
        <v>Reinforced Concrete</v>
      </c>
      <c r="D125" s="3">
        <v>4</v>
      </c>
      <c r="E125" s="4">
        <v>60073832</v>
      </c>
      <c r="F125" s="3">
        <f t="shared" si="6"/>
        <v>0</v>
      </c>
      <c r="G125" s="30">
        <f>IF(F125=0, 0, INDEX(tbl_Vulnerability[[0 ft]:[10 ft]], MATCH(Simulation!C125, tbl_Vulnerability[Construction_Class], 0), MATCH(Simulation!F125,{0,1,2,3,5,8,10}, 1)))</f>
        <v>0</v>
      </c>
      <c r="H125" s="4">
        <f t="shared" si="7"/>
        <v>0</v>
      </c>
      <c r="I125" s="33">
        <f t="shared" si="8"/>
        <v>3003691.6</v>
      </c>
      <c r="J125" s="33">
        <f t="shared" si="9"/>
        <v>0</v>
      </c>
    </row>
    <row r="126" spans="1:10">
      <c r="A126" s="3">
        <v>10000117</v>
      </c>
      <c r="B126" s="3" t="str">
        <v>South 24 Parganas</v>
      </c>
      <c r="C126" s="3" t="str">
        <v>Reinforced Concrete</v>
      </c>
      <c r="D126" s="3">
        <v>5</v>
      </c>
      <c r="E126" s="4">
        <v>54809139</v>
      </c>
      <c r="F126" s="3">
        <f t="shared" si="6"/>
        <v>0</v>
      </c>
      <c r="G126" s="30">
        <f>IF(F126=0, 0, INDEX(tbl_Vulnerability[[0 ft]:[10 ft]], MATCH(Simulation!C126, tbl_Vulnerability[Construction_Class], 0), MATCH(Simulation!F126,{0,1,2,3,5,8,10}, 1)))</f>
        <v>0</v>
      </c>
      <c r="H126" s="4">
        <f t="shared" si="7"/>
        <v>0</v>
      </c>
      <c r="I126" s="33">
        <f t="shared" si="8"/>
        <v>2740456.95</v>
      </c>
      <c r="J126" s="33">
        <f t="shared" si="9"/>
        <v>0</v>
      </c>
    </row>
    <row r="127" spans="1:10">
      <c r="A127" s="3">
        <v>10000118</v>
      </c>
      <c r="B127" s="3" t="str">
        <v>Hooghly</v>
      </c>
      <c r="C127" s="3" t="str">
        <v>Reinforced Concrete</v>
      </c>
      <c r="D127" s="3">
        <v>3</v>
      </c>
      <c r="E127" s="4">
        <v>30545996</v>
      </c>
      <c r="F127" s="3">
        <f t="shared" si="6"/>
        <v>0</v>
      </c>
      <c r="G127" s="30">
        <f>IF(F127=0, 0, INDEX(tbl_Vulnerability[[0 ft]:[10 ft]], MATCH(Simulation!C127, tbl_Vulnerability[Construction_Class], 0), MATCH(Simulation!F127,{0,1,2,3,5,8,10}, 1)))</f>
        <v>0</v>
      </c>
      <c r="H127" s="4">
        <f t="shared" si="7"/>
        <v>0</v>
      </c>
      <c r="I127" s="33">
        <f t="shared" si="8"/>
        <v>1527299.8</v>
      </c>
      <c r="J127" s="33">
        <f t="shared" si="9"/>
        <v>0</v>
      </c>
    </row>
    <row r="128" spans="1:10">
      <c r="A128" s="3">
        <v>10000119</v>
      </c>
      <c r="B128" s="3" t="str">
        <v>Hooghly</v>
      </c>
      <c r="C128" s="3" t="str">
        <v>Reinforced Concrete</v>
      </c>
      <c r="D128" s="3">
        <v>4</v>
      </c>
      <c r="E128" s="4">
        <v>17961576</v>
      </c>
      <c r="F128" s="3">
        <f t="shared" si="6"/>
        <v>0</v>
      </c>
      <c r="G128" s="30">
        <f>IF(F128=0, 0, INDEX(tbl_Vulnerability[[0 ft]:[10 ft]], MATCH(Simulation!C128, tbl_Vulnerability[Construction_Class], 0), MATCH(Simulation!F128,{0,1,2,3,5,8,10}, 1)))</f>
        <v>0</v>
      </c>
      <c r="H128" s="4">
        <f t="shared" si="7"/>
        <v>0</v>
      </c>
      <c r="I128" s="33">
        <f t="shared" si="8"/>
        <v>898078.8</v>
      </c>
      <c r="J128" s="33">
        <f t="shared" si="9"/>
        <v>0</v>
      </c>
    </row>
    <row r="129" spans="1:10">
      <c r="A129" s="3">
        <v>10000120</v>
      </c>
      <c r="B129" s="3" t="str">
        <v>Jalpaiguri</v>
      </c>
      <c r="C129" s="3" t="str">
        <v>Reinforced Concrete</v>
      </c>
      <c r="D129" s="3">
        <v>5</v>
      </c>
      <c r="E129" s="4">
        <v>10927522</v>
      </c>
      <c r="F129" s="3">
        <f t="shared" si="6"/>
        <v>0</v>
      </c>
      <c r="G129" s="30">
        <f>IF(F129=0, 0, INDEX(tbl_Vulnerability[[0 ft]:[10 ft]], MATCH(Simulation!C129, tbl_Vulnerability[Construction_Class], 0), MATCH(Simulation!F129,{0,1,2,3,5,8,10}, 1)))</f>
        <v>0</v>
      </c>
      <c r="H129" s="4">
        <f t="shared" si="7"/>
        <v>0</v>
      </c>
      <c r="I129" s="33">
        <f t="shared" si="8"/>
        <v>546376.1</v>
      </c>
      <c r="J129" s="33">
        <f t="shared" si="9"/>
        <v>0</v>
      </c>
    </row>
    <row r="130" spans="1:10">
      <c r="A130" s="3">
        <v>10000121</v>
      </c>
      <c r="B130" s="3" t="str">
        <v>Malda</v>
      </c>
      <c r="C130" s="3" t="str">
        <v>Reinforced Concrete</v>
      </c>
      <c r="D130" s="3">
        <v>5</v>
      </c>
      <c r="E130" s="4">
        <v>46956659</v>
      </c>
      <c r="F130" s="3">
        <f t="shared" si="6"/>
        <v>5</v>
      </c>
      <c r="G130" s="30">
        <f>IF(F130=0, 0, INDEX(tbl_Vulnerability[[0 ft]:[10 ft]], MATCH(Simulation!C130, tbl_Vulnerability[Construction_Class], 0), MATCH(Simulation!F130,{0,1,2,3,5,8,10}, 1)))</f>
        <v>0.2</v>
      </c>
      <c r="H130" s="4">
        <f t="shared" si="7"/>
        <v>9391331.8000000007</v>
      </c>
      <c r="I130" s="33">
        <f t="shared" si="8"/>
        <v>2347832.9500000002</v>
      </c>
      <c r="J130" s="33">
        <f t="shared" si="9"/>
        <v>7043498.8500000006</v>
      </c>
    </row>
    <row r="131" spans="1:10">
      <c r="A131" s="3">
        <v>10000122</v>
      </c>
      <c r="B131" s="3" t="str">
        <v>Malda</v>
      </c>
      <c r="C131" s="3" t="str">
        <v>Reinforced Concrete</v>
      </c>
      <c r="D131" s="3">
        <v>5</v>
      </c>
      <c r="E131" s="4">
        <v>12741717</v>
      </c>
      <c r="F131" s="3">
        <f t="shared" si="6"/>
        <v>5</v>
      </c>
      <c r="G131" s="30">
        <f>IF(F131=0, 0, INDEX(tbl_Vulnerability[[0 ft]:[10 ft]], MATCH(Simulation!C131, tbl_Vulnerability[Construction_Class], 0), MATCH(Simulation!F131,{0,1,2,3,5,8,10}, 1)))</f>
        <v>0.2</v>
      </c>
      <c r="H131" s="4">
        <f t="shared" si="7"/>
        <v>2548343.4000000004</v>
      </c>
      <c r="I131" s="33">
        <f t="shared" si="8"/>
        <v>637085.85000000009</v>
      </c>
      <c r="J131" s="33">
        <f t="shared" si="9"/>
        <v>1911257.5500000003</v>
      </c>
    </row>
    <row r="132" spans="1:10">
      <c r="A132" s="3">
        <v>10000123</v>
      </c>
      <c r="B132" s="3" t="str">
        <v>South 24 Parganas</v>
      </c>
      <c r="C132" s="3" t="str">
        <v>Reinforced Concrete</v>
      </c>
      <c r="D132" s="3">
        <v>4</v>
      </c>
      <c r="E132" s="4">
        <v>19577029</v>
      </c>
      <c r="F132" s="3">
        <f t="shared" si="6"/>
        <v>0</v>
      </c>
      <c r="G132" s="30">
        <f>IF(F132=0, 0, INDEX(tbl_Vulnerability[[0 ft]:[10 ft]], MATCH(Simulation!C132, tbl_Vulnerability[Construction_Class], 0), MATCH(Simulation!F132,{0,1,2,3,5,8,10}, 1)))</f>
        <v>0</v>
      </c>
      <c r="H132" s="4">
        <f t="shared" si="7"/>
        <v>0</v>
      </c>
      <c r="I132" s="33">
        <f t="shared" si="8"/>
        <v>978851.45000000007</v>
      </c>
      <c r="J132" s="33">
        <f t="shared" si="9"/>
        <v>0</v>
      </c>
    </row>
    <row r="133" spans="1:10">
      <c r="A133" s="3">
        <v>10000124</v>
      </c>
      <c r="B133" s="3" t="str">
        <v>South 24 Parganas</v>
      </c>
      <c r="C133" s="3" t="str">
        <v>Reinforced Concrete</v>
      </c>
      <c r="D133" s="3">
        <v>5</v>
      </c>
      <c r="E133" s="4">
        <v>50364947</v>
      </c>
      <c r="F133" s="3">
        <f t="shared" si="6"/>
        <v>0</v>
      </c>
      <c r="G133" s="30">
        <f>IF(F133=0, 0, INDEX(tbl_Vulnerability[[0 ft]:[10 ft]], MATCH(Simulation!C133, tbl_Vulnerability[Construction_Class], 0), MATCH(Simulation!F133,{0,1,2,3,5,8,10}, 1)))</f>
        <v>0</v>
      </c>
      <c r="H133" s="4">
        <f t="shared" si="7"/>
        <v>0</v>
      </c>
      <c r="I133" s="33">
        <f t="shared" si="8"/>
        <v>2518247.35</v>
      </c>
      <c r="J133" s="33">
        <f t="shared" si="9"/>
        <v>0</v>
      </c>
    </row>
    <row r="134" spans="1:10">
      <c r="A134" s="3">
        <v>10000125</v>
      </c>
      <c r="B134" s="3" t="str">
        <v>Hooghly</v>
      </c>
      <c r="C134" s="3" t="str">
        <v>Reinforced Concrete</v>
      </c>
      <c r="D134" s="3">
        <v>4</v>
      </c>
      <c r="E134" s="4">
        <v>57952256</v>
      </c>
      <c r="F134" s="3">
        <f t="shared" si="6"/>
        <v>0</v>
      </c>
      <c r="G134" s="30">
        <f>IF(F134=0, 0, INDEX(tbl_Vulnerability[[0 ft]:[10 ft]], MATCH(Simulation!C134, tbl_Vulnerability[Construction_Class], 0), MATCH(Simulation!F134,{0,1,2,3,5,8,10}, 1)))</f>
        <v>0</v>
      </c>
      <c r="H134" s="4">
        <f t="shared" si="7"/>
        <v>0</v>
      </c>
      <c r="I134" s="33">
        <f t="shared" si="8"/>
        <v>2897612.8000000003</v>
      </c>
      <c r="J134" s="33">
        <f t="shared" si="9"/>
        <v>0</v>
      </c>
    </row>
    <row r="135" spans="1:10">
      <c r="A135" s="3">
        <v>10000126</v>
      </c>
      <c r="B135" s="3" t="str">
        <v>Jalpaiguri</v>
      </c>
      <c r="C135" s="3" t="str">
        <v>Reinforced Concrete</v>
      </c>
      <c r="D135" s="3">
        <v>5</v>
      </c>
      <c r="E135" s="4">
        <v>1877345</v>
      </c>
      <c r="F135" s="3">
        <f t="shared" si="6"/>
        <v>0</v>
      </c>
      <c r="G135" s="30">
        <f>IF(F135=0, 0, INDEX(tbl_Vulnerability[[0 ft]:[10 ft]], MATCH(Simulation!C135, tbl_Vulnerability[Construction_Class], 0), MATCH(Simulation!F135,{0,1,2,3,5,8,10}, 1)))</f>
        <v>0</v>
      </c>
      <c r="H135" s="4">
        <f t="shared" si="7"/>
        <v>0</v>
      </c>
      <c r="I135" s="33">
        <f t="shared" si="8"/>
        <v>93867.25</v>
      </c>
      <c r="J135" s="33">
        <f t="shared" si="9"/>
        <v>0</v>
      </c>
    </row>
    <row r="136" spans="1:10">
      <c r="A136" s="3">
        <v>10000127</v>
      </c>
      <c r="B136" s="3" t="str">
        <v>Kolkata</v>
      </c>
      <c r="C136" s="3" t="str">
        <v>Reinforced Concrete</v>
      </c>
      <c r="D136" s="3">
        <v>5</v>
      </c>
      <c r="E136" s="4">
        <v>12276754</v>
      </c>
      <c r="F136" s="3">
        <f t="shared" si="6"/>
        <v>0</v>
      </c>
      <c r="G136" s="30">
        <f>IF(F136=0, 0, INDEX(tbl_Vulnerability[[0 ft]:[10 ft]], MATCH(Simulation!C136, tbl_Vulnerability[Construction_Class], 0), MATCH(Simulation!F136,{0,1,2,3,5,8,10}, 1)))</f>
        <v>0</v>
      </c>
      <c r="H136" s="4">
        <f t="shared" si="7"/>
        <v>0</v>
      </c>
      <c r="I136" s="33">
        <f t="shared" si="8"/>
        <v>613837.70000000007</v>
      </c>
      <c r="J136" s="33">
        <f t="shared" si="9"/>
        <v>0</v>
      </c>
    </row>
    <row r="137" spans="1:10">
      <c r="A137" s="3">
        <v>10000128</v>
      </c>
      <c r="B137" s="3" t="str">
        <v>Hooghly</v>
      </c>
      <c r="C137" s="3" t="str">
        <v>Adobe / Light Timber</v>
      </c>
      <c r="D137" s="3">
        <v>1</v>
      </c>
      <c r="E137" s="4">
        <v>489948</v>
      </c>
      <c r="F137" s="3">
        <f t="shared" si="6"/>
        <v>0</v>
      </c>
      <c r="G137" s="30">
        <f>IF(F137=0, 0, INDEX(tbl_Vulnerability[[0 ft]:[10 ft]], MATCH(Simulation!C137, tbl_Vulnerability[Construction_Class], 0), MATCH(Simulation!F137,{0,1,2,3,5,8,10}, 1)))</f>
        <v>0</v>
      </c>
      <c r="H137" s="4">
        <f t="shared" si="7"/>
        <v>0</v>
      </c>
      <c r="I137" s="33">
        <f t="shared" si="8"/>
        <v>24497.4</v>
      </c>
      <c r="J137" s="33">
        <f t="shared" si="9"/>
        <v>0</v>
      </c>
    </row>
    <row r="138" spans="1:10">
      <c r="A138" s="3">
        <v>10000129</v>
      </c>
      <c r="B138" s="3" t="str">
        <v>Malda</v>
      </c>
      <c r="C138" s="3" t="str">
        <v>Reinforced Concrete</v>
      </c>
      <c r="D138" s="3">
        <v>3</v>
      </c>
      <c r="E138" s="4">
        <v>40771597</v>
      </c>
      <c r="F138" s="3">
        <f t="shared" si="6"/>
        <v>7</v>
      </c>
      <c r="G138" s="30">
        <f>IF(F138=0, 0, INDEX(tbl_Vulnerability[[0 ft]:[10 ft]], MATCH(Simulation!C138, tbl_Vulnerability[Construction_Class], 0), MATCH(Simulation!F138,{0,1,2,3,5,8,10}, 1)))</f>
        <v>0.2</v>
      </c>
      <c r="H138" s="4">
        <f t="shared" si="7"/>
        <v>8154319.4000000004</v>
      </c>
      <c r="I138" s="33">
        <f t="shared" si="8"/>
        <v>2038579.85</v>
      </c>
      <c r="J138" s="33">
        <f t="shared" si="9"/>
        <v>6115739.5500000007</v>
      </c>
    </row>
    <row r="139" spans="1:10">
      <c r="A139" s="3">
        <v>10000130</v>
      </c>
      <c r="B139" s="3" t="str">
        <v>Kolkata</v>
      </c>
      <c r="C139" s="3" t="str">
        <v>Unreinforced Masonry</v>
      </c>
      <c r="D139" s="3">
        <v>0</v>
      </c>
      <c r="E139" s="4">
        <v>8651263</v>
      </c>
      <c r="F139" s="3">
        <f t="shared" ref="F139:F202" si="10">IF(B139=$B$2, MAX(0, $B$3 - D139), 0)</f>
        <v>0</v>
      </c>
      <c r="G139" s="30">
        <f>IF(F139=0, 0, INDEX(tbl_Vulnerability[[0 ft]:[10 ft]], MATCH(Simulation!C139, tbl_Vulnerability[Construction_Class], 0), MATCH(Simulation!F139,{0,1,2,3,5,8,10}, 1)))</f>
        <v>0</v>
      </c>
      <c r="H139" s="4">
        <f t="shared" ref="H139:H202" si="11">E139*G139</f>
        <v>0</v>
      </c>
      <c r="I139" s="33">
        <f t="shared" ref="I139:I202" si="12">E139*$B$4</f>
        <v>432563.15</v>
      </c>
      <c r="J139" s="33">
        <f t="shared" ref="J139:J202" si="13">MAX(0, H139 - I139)</f>
        <v>0</v>
      </c>
    </row>
    <row r="140" spans="1:10">
      <c r="A140" s="3">
        <v>10000131</v>
      </c>
      <c r="B140" s="3" t="str">
        <v>Hooghly</v>
      </c>
      <c r="C140" s="3" t="str">
        <v>Adobe / Light Timber</v>
      </c>
      <c r="D140" s="3">
        <v>2</v>
      </c>
      <c r="E140" s="4">
        <v>667498</v>
      </c>
      <c r="F140" s="3">
        <f t="shared" si="10"/>
        <v>0</v>
      </c>
      <c r="G140" s="30">
        <f>IF(F140=0, 0, INDEX(tbl_Vulnerability[[0 ft]:[10 ft]], MATCH(Simulation!C140, tbl_Vulnerability[Construction_Class], 0), MATCH(Simulation!F140,{0,1,2,3,5,8,10}, 1)))</f>
        <v>0</v>
      </c>
      <c r="H140" s="4">
        <f t="shared" si="11"/>
        <v>0</v>
      </c>
      <c r="I140" s="33">
        <f t="shared" si="12"/>
        <v>33374.9</v>
      </c>
      <c r="J140" s="33">
        <f t="shared" si="13"/>
        <v>0</v>
      </c>
    </row>
    <row r="141" spans="1:10">
      <c r="A141" s="3">
        <v>10000132</v>
      </c>
      <c r="B141" s="3" t="str">
        <v>Jalpaiguri</v>
      </c>
      <c r="C141" s="3" t="str">
        <v>Adobe / Light Timber</v>
      </c>
      <c r="D141" s="3">
        <v>2</v>
      </c>
      <c r="E141" s="4">
        <v>608239</v>
      </c>
      <c r="F141" s="3">
        <f t="shared" si="10"/>
        <v>0</v>
      </c>
      <c r="G141" s="30">
        <f>IF(F141=0, 0, INDEX(tbl_Vulnerability[[0 ft]:[10 ft]], MATCH(Simulation!C141, tbl_Vulnerability[Construction_Class], 0), MATCH(Simulation!F141,{0,1,2,3,5,8,10}, 1)))</f>
        <v>0</v>
      </c>
      <c r="H141" s="4">
        <f t="shared" si="11"/>
        <v>0</v>
      </c>
      <c r="I141" s="33">
        <f t="shared" si="12"/>
        <v>30411.95</v>
      </c>
      <c r="J141" s="33">
        <f t="shared" si="13"/>
        <v>0</v>
      </c>
    </row>
    <row r="142" spans="1:10">
      <c r="A142" s="3">
        <v>10000133</v>
      </c>
      <c r="B142" s="3" t="str">
        <v>Jalpaiguri</v>
      </c>
      <c r="C142" s="3" t="str">
        <v>Reinforced Concrete</v>
      </c>
      <c r="D142" s="3">
        <v>5</v>
      </c>
      <c r="E142" s="4">
        <v>70010684</v>
      </c>
      <c r="F142" s="3">
        <f t="shared" si="10"/>
        <v>0</v>
      </c>
      <c r="G142" s="30">
        <f>IF(F142=0, 0, INDEX(tbl_Vulnerability[[0 ft]:[10 ft]], MATCH(Simulation!C142, tbl_Vulnerability[Construction_Class], 0), MATCH(Simulation!F142,{0,1,2,3,5,8,10}, 1)))</f>
        <v>0</v>
      </c>
      <c r="H142" s="4">
        <f t="shared" si="11"/>
        <v>0</v>
      </c>
      <c r="I142" s="33">
        <f t="shared" si="12"/>
        <v>3500534.2</v>
      </c>
      <c r="J142" s="33">
        <f t="shared" si="13"/>
        <v>0</v>
      </c>
    </row>
    <row r="143" spans="1:10">
      <c r="A143" s="3">
        <v>10000134</v>
      </c>
      <c r="B143" s="3" t="str">
        <v>Jalpaiguri</v>
      </c>
      <c r="C143" s="3" t="str">
        <v>Reinforced Concrete</v>
      </c>
      <c r="D143" s="3">
        <v>5</v>
      </c>
      <c r="E143" s="4">
        <v>51224516</v>
      </c>
      <c r="F143" s="3">
        <f t="shared" si="10"/>
        <v>0</v>
      </c>
      <c r="G143" s="30">
        <f>IF(F143=0, 0, INDEX(tbl_Vulnerability[[0 ft]:[10 ft]], MATCH(Simulation!C143, tbl_Vulnerability[Construction_Class], 0), MATCH(Simulation!F143,{0,1,2,3,5,8,10}, 1)))</f>
        <v>0</v>
      </c>
      <c r="H143" s="4">
        <f t="shared" si="11"/>
        <v>0</v>
      </c>
      <c r="I143" s="33">
        <f t="shared" si="12"/>
        <v>2561225.8000000003</v>
      </c>
      <c r="J143" s="33">
        <f t="shared" si="13"/>
        <v>0</v>
      </c>
    </row>
    <row r="144" spans="1:10">
      <c r="A144" s="3">
        <v>10000135</v>
      </c>
      <c r="B144" s="3" t="str">
        <v>Hooghly</v>
      </c>
      <c r="C144" s="3" t="str">
        <v>Adobe / Light Timber</v>
      </c>
      <c r="D144" s="3">
        <v>0</v>
      </c>
      <c r="E144" s="4">
        <v>482745</v>
      </c>
      <c r="F144" s="3">
        <f t="shared" si="10"/>
        <v>0</v>
      </c>
      <c r="G144" s="30">
        <f>IF(F144=0, 0, INDEX(tbl_Vulnerability[[0 ft]:[10 ft]], MATCH(Simulation!C144, tbl_Vulnerability[Construction_Class], 0), MATCH(Simulation!F144,{0,1,2,3,5,8,10}, 1)))</f>
        <v>0</v>
      </c>
      <c r="H144" s="4">
        <f t="shared" si="11"/>
        <v>0</v>
      </c>
      <c r="I144" s="33">
        <f t="shared" si="12"/>
        <v>24137.25</v>
      </c>
      <c r="J144" s="33">
        <f t="shared" si="13"/>
        <v>0</v>
      </c>
    </row>
    <row r="145" spans="1:10">
      <c r="A145" s="3">
        <v>10000136</v>
      </c>
      <c r="B145" s="3" t="str">
        <v>Paschim Medinipur</v>
      </c>
      <c r="C145" s="3" t="str">
        <v>Reinforced Concrete</v>
      </c>
      <c r="D145" s="3">
        <v>4</v>
      </c>
      <c r="E145" s="4">
        <v>66118333</v>
      </c>
      <c r="F145" s="3">
        <f t="shared" si="10"/>
        <v>0</v>
      </c>
      <c r="G145" s="30">
        <f>IF(F145=0, 0, INDEX(tbl_Vulnerability[[0 ft]:[10 ft]], MATCH(Simulation!C145, tbl_Vulnerability[Construction_Class], 0), MATCH(Simulation!F145,{0,1,2,3,5,8,10}, 1)))</f>
        <v>0</v>
      </c>
      <c r="H145" s="4">
        <f t="shared" si="11"/>
        <v>0</v>
      </c>
      <c r="I145" s="33">
        <f t="shared" si="12"/>
        <v>3305916.6500000004</v>
      </c>
      <c r="J145" s="33">
        <f t="shared" si="13"/>
        <v>0</v>
      </c>
    </row>
    <row r="146" spans="1:10">
      <c r="A146" s="3">
        <v>10000137</v>
      </c>
      <c r="B146" s="3" t="str">
        <v>South 24 Parganas</v>
      </c>
      <c r="C146" s="3" t="str">
        <v>Adobe / Light Timber</v>
      </c>
      <c r="D146" s="3">
        <v>0</v>
      </c>
      <c r="E146" s="4">
        <v>540280</v>
      </c>
      <c r="F146" s="3">
        <f t="shared" si="10"/>
        <v>0</v>
      </c>
      <c r="G146" s="30">
        <f>IF(F146=0, 0, INDEX(tbl_Vulnerability[[0 ft]:[10 ft]], MATCH(Simulation!C146, tbl_Vulnerability[Construction_Class], 0), MATCH(Simulation!F146,{0,1,2,3,5,8,10}, 1)))</f>
        <v>0</v>
      </c>
      <c r="H146" s="4">
        <f t="shared" si="11"/>
        <v>0</v>
      </c>
      <c r="I146" s="33">
        <f t="shared" si="12"/>
        <v>27014</v>
      </c>
      <c r="J146" s="33">
        <f t="shared" si="13"/>
        <v>0</v>
      </c>
    </row>
    <row r="147" spans="1:10">
      <c r="A147" s="3">
        <v>10000138</v>
      </c>
      <c r="B147" s="3" t="str">
        <v>Malda</v>
      </c>
      <c r="C147" s="3" t="str">
        <v>Adobe / Light Timber</v>
      </c>
      <c r="D147" s="3">
        <v>2</v>
      </c>
      <c r="E147" s="4">
        <v>676431</v>
      </c>
      <c r="F147" s="3">
        <f t="shared" si="10"/>
        <v>8</v>
      </c>
      <c r="G147" s="30">
        <f>IF(F147=0, 0, INDEX(tbl_Vulnerability[[0 ft]:[10 ft]], MATCH(Simulation!C147, tbl_Vulnerability[Construction_Class], 0), MATCH(Simulation!F147,{0,1,2,3,5,8,10}, 1)))</f>
        <v>1</v>
      </c>
      <c r="H147" s="4">
        <f t="shared" si="11"/>
        <v>676431</v>
      </c>
      <c r="I147" s="33">
        <f t="shared" si="12"/>
        <v>33821.550000000003</v>
      </c>
      <c r="J147" s="33">
        <f t="shared" si="13"/>
        <v>642609.44999999995</v>
      </c>
    </row>
    <row r="148" spans="1:10">
      <c r="A148" s="3">
        <v>10000139</v>
      </c>
      <c r="B148" s="3" t="str">
        <v>Jalpaiguri</v>
      </c>
      <c r="C148" s="3" t="str">
        <v>Reinforced Concrete</v>
      </c>
      <c r="D148" s="3">
        <v>3</v>
      </c>
      <c r="E148" s="4">
        <v>4387739</v>
      </c>
      <c r="F148" s="3">
        <f t="shared" si="10"/>
        <v>0</v>
      </c>
      <c r="G148" s="30">
        <f>IF(F148=0, 0, INDEX(tbl_Vulnerability[[0 ft]:[10 ft]], MATCH(Simulation!C148, tbl_Vulnerability[Construction_Class], 0), MATCH(Simulation!F148,{0,1,2,3,5,8,10}, 1)))</f>
        <v>0</v>
      </c>
      <c r="H148" s="4">
        <f t="shared" si="11"/>
        <v>0</v>
      </c>
      <c r="I148" s="33">
        <f t="shared" si="12"/>
        <v>219386.95</v>
      </c>
      <c r="J148" s="33">
        <f t="shared" si="13"/>
        <v>0</v>
      </c>
    </row>
    <row r="149" spans="1:10">
      <c r="A149" s="3">
        <v>10000140</v>
      </c>
      <c r="B149" s="3" t="str">
        <v>Kolkata</v>
      </c>
      <c r="C149" s="3" t="str">
        <v>Adobe / Light Timber</v>
      </c>
      <c r="D149" s="3">
        <v>0</v>
      </c>
      <c r="E149" s="4">
        <v>419314</v>
      </c>
      <c r="F149" s="3">
        <f t="shared" si="10"/>
        <v>0</v>
      </c>
      <c r="G149" s="30">
        <f>IF(F149=0, 0, INDEX(tbl_Vulnerability[[0 ft]:[10 ft]], MATCH(Simulation!C149, tbl_Vulnerability[Construction_Class], 0), MATCH(Simulation!F149,{0,1,2,3,5,8,10}, 1)))</f>
        <v>0</v>
      </c>
      <c r="H149" s="4">
        <f t="shared" si="11"/>
        <v>0</v>
      </c>
      <c r="I149" s="33">
        <f t="shared" si="12"/>
        <v>20965.7</v>
      </c>
      <c r="J149" s="33">
        <f t="shared" si="13"/>
        <v>0</v>
      </c>
    </row>
    <row r="150" spans="1:10">
      <c r="A150" s="3">
        <v>10000141</v>
      </c>
      <c r="B150" s="3" t="str">
        <v>South 24 Parganas</v>
      </c>
      <c r="C150" s="3" t="str">
        <v>Reinforced Concrete</v>
      </c>
      <c r="D150" s="3">
        <v>4</v>
      </c>
      <c r="E150" s="4">
        <v>18670533</v>
      </c>
      <c r="F150" s="3">
        <f t="shared" si="10"/>
        <v>0</v>
      </c>
      <c r="G150" s="30">
        <f>IF(F150=0, 0, INDEX(tbl_Vulnerability[[0 ft]:[10 ft]], MATCH(Simulation!C150, tbl_Vulnerability[Construction_Class], 0), MATCH(Simulation!F150,{0,1,2,3,5,8,10}, 1)))</f>
        <v>0</v>
      </c>
      <c r="H150" s="4">
        <f t="shared" si="11"/>
        <v>0</v>
      </c>
      <c r="I150" s="33">
        <f t="shared" si="12"/>
        <v>933526.65</v>
      </c>
      <c r="J150" s="33">
        <f t="shared" si="13"/>
        <v>0</v>
      </c>
    </row>
    <row r="151" spans="1:10">
      <c r="A151" s="3">
        <v>10000142</v>
      </c>
      <c r="B151" s="3" t="str">
        <v>Jalpaiguri</v>
      </c>
      <c r="C151" s="3" t="str">
        <v>Adobe / Light Timber</v>
      </c>
      <c r="D151" s="3">
        <v>0</v>
      </c>
      <c r="E151" s="4">
        <v>828218</v>
      </c>
      <c r="F151" s="3">
        <f t="shared" si="10"/>
        <v>0</v>
      </c>
      <c r="G151" s="30">
        <f>IF(F151=0, 0, INDEX(tbl_Vulnerability[[0 ft]:[10 ft]], MATCH(Simulation!C151, tbl_Vulnerability[Construction_Class], 0), MATCH(Simulation!F151,{0,1,2,3,5,8,10}, 1)))</f>
        <v>0</v>
      </c>
      <c r="H151" s="4">
        <f t="shared" si="11"/>
        <v>0</v>
      </c>
      <c r="I151" s="33">
        <f t="shared" si="12"/>
        <v>41410.9</v>
      </c>
      <c r="J151" s="33">
        <f t="shared" si="13"/>
        <v>0</v>
      </c>
    </row>
    <row r="152" spans="1:10">
      <c r="A152" s="3">
        <v>10000143</v>
      </c>
      <c r="B152" s="3" t="str">
        <v>Jalpaiguri</v>
      </c>
      <c r="C152" s="3" t="str">
        <v>Reinforced Concrete</v>
      </c>
      <c r="D152" s="3">
        <v>3</v>
      </c>
      <c r="E152" s="4">
        <v>55738042</v>
      </c>
      <c r="F152" s="3">
        <f t="shared" si="10"/>
        <v>0</v>
      </c>
      <c r="G152" s="30">
        <f>IF(F152=0, 0, INDEX(tbl_Vulnerability[[0 ft]:[10 ft]], MATCH(Simulation!C152, tbl_Vulnerability[Construction_Class], 0), MATCH(Simulation!F152,{0,1,2,3,5,8,10}, 1)))</f>
        <v>0</v>
      </c>
      <c r="H152" s="4">
        <f t="shared" si="11"/>
        <v>0</v>
      </c>
      <c r="I152" s="33">
        <f t="shared" si="12"/>
        <v>2786902.1</v>
      </c>
      <c r="J152" s="33">
        <f t="shared" si="13"/>
        <v>0</v>
      </c>
    </row>
    <row r="153" spans="1:10">
      <c r="A153" s="3">
        <v>10000144</v>
      </c>
      <c r="B153" s="3" t="str">
        <v>South 24 Parganas</v>
      </c>
      <c r="C153" s="3" t="str">
        <v>Reinforced Concrete</v>
      </c>
      <c r="D153" s="3">
        <v>3</v>
      </c>
      <c r="E153" s="4">
        <v>48272249</v>
      </c>
      <c r="F153" s="3">
        <f t="shared" si="10"/>
        <v>0</v>
      </c>
      <c r="G153" s="30">
        <f>IF(F153=0, 0, INDEX(tbl_Vulnerability[[0 ft]:[10 ft]], MATCH(Simulation!C153, tbl_Vulnerability[Construction_Class], 0), MATCH(Simulation!F153,{0,1,2,3,5,8,10}, 1)))</f>
        <v>0</v>
      </c>
      <c r="H153" s="4">
        <f t="shared" si="11"/>
        <v>0</v>
      </c>
      <c r="I153" s="33">
        <f t="shared" si="12"/>
        <v>2413612.4500000002</v>
      </c>
      <c r="J153" s="33">
        <f t="shared" si="13"/>
        <v>0</v>
      </c>
    </row>
    <row r="154" spans="1:10">
      <c r="A154" s="3">
        <v>10000145</v>
      </c>
      <c r="B154" s="3" t="str">
        <v>Kolkata</v>
      </c>
      <c r="C154" s="3" t="str">
        <v>Adobe / Light Timber</v>
      </c>
      <c r="D154" s="3">
        <v>0</v>
      </c>
      <c r="E154" s="4">
        <v>518282</v>
      </c>
      <c r="F154" s="3">
        <f t="shared" si="10"/>
        <v>0</v>
      </c>
      <c r="G154" s="30">
        <f>IF(F154=0, 0, INDEX(tbl_Vulnerability[[0 ft]:[10 ft]], MATCH(Simulation!C154, tbl_Vulnerability[Construction_Class], 0), MATCH(Simulation!F154,{0,1,2,3,5,8,10}, 1)))</f>
        <v>0</v>
      </c>
      <c r="H154" s="4">
        <f t="shared" si="11"/>
        <v>0</v>
      </c>
      <c r="I154" s="33">
        <f t="shared" si="12"/>
        <v>25914.100000000002</v>
      </c>
      <c r="J154" s="33">
        <f t="shared" si="13"/>
        <v>0</v>
      </c>
    </row>
    <row r="155" spans="1:10">
      <c r="A155" s="3">
        <v>10000146</v>
      </c>
      <c r="B155" s="3" t="str">
        <v>South 24 Parganas</v>
      </c>
      <c r="C155" s="3" t="str">
        <v>Reinforced Concrete</v>
      </c>
      <c r="D155" s="3">
        <v>4</v>
      </c>
      <c r="E155" s="4">
        <v>62371312</v>
      </c>
      <c r="F155" s="3">
        <f t="shared" si="10"/>
        <v>0</v>
      </c>
      <c r="G155" s="30">
        <f>IF(F155=0, 0, INDEX(tbl_Vulnerability[[0 ft]:[10 ft]], MATCH(Simulation!C155, tbl_Vulnerability[Construction_Class], 0), MATCH(Simulation!F155,{0,1,2,3,5,8,10}, 1)))</f>
        <v>0</v>
      </c>
      <c r="H155" s="4">
        <f t="shared" si="11"/>
        <v>0</v>
      </c>
      <c r="I155" s="33">
        <f t="shared" si="12"/>
        <v>3118565.6</v>
      </c>
      <c r="J155" s="33">
        <f t="shared" si="13"/>
        <v>0</v>
      </c>
    </row>
    <row r="156" spans="1:10">
      <c r="A156" s="3">
        <v>10000147</v>
      </c>
      <c r="B156" s="3" t="str">
        <v>Paschim Medinipur</v>
      </c>
      <c r="C156" s="3" t="str">
        <v>Reinforced Concrete</v>
      </c>
      <c r="D156" s="3">
        <v>3</v>
      </c>
      <c r="E156" s="4">
        <v>3355110</v>
      </c>
      <c r="F156" s="3">
        <f t="shared" si="10"/>
        <v>0</v>
      </c>
      <c r="G156" s="30">
        <f>IF(F156=0, 0, INDEX(tbl_Vulnerability[[0 ft]:[10 ft]], MATCH(Simulation!C156, tbl_Vulnerability[Construction_Class], 0), MATCH(Simulation!F156,{0,1,2,3,5,8,10}, 1)))</f>
        <v>0</v>
      </c>
      <c r="H156" s="4">
        <f t="shared" si="11"/>
        <v>0</v>
      </c>
      <c r="I156" s="33">
        <f t="shared" si="12"/>
        <v>167755.5</v>
      </c>
      <c r="J156" s="33">
        <f t="shared" si="13"/>
        <v>0</v>
      </c>
    </row>
    <row r="157" spans="1:10">
      <c r="A157" s="3">
        <v>10000148</v>
      </c>
      <c r="B157" s="3" t="str">
        <v>South 24 Parganas</v>
      </c>
      <c r="C157" s="3" t="str">
        <v>Reinforced Concrete</v>
      </c>
      <c r="D157" s="3">
        <v>5</v>
      </c>
      <c r="E157" s="4">
        <v>53349597</v>
      </c>
      <c r="F157" s="3">
        <f t="shared" si="10"/>
        <v>0</v>
      </c>
      <c r="G157" s="30">
        <f>IF(F157=0, 0, INDEX(tbl_Vulnerability[[0 ft]:[10 ft]], MATCH(Simulation!C157, tbl_Vulnerability[Construction_Class], 0), MATCH(Simulation!F157,{0,1,2,3,5,8,10}, 1)))</f>
        <v>0</v>
      </c>
      <c r="H157" s="4">
        <f t="shared" si="11"/>
        <v>0</v>
      </c>
      <c r="I157" s="33">
        <f t="shared" si="12"/>
        <v>2667479.85</v>
      </c>
      <c r="J157" s="33">
        <f t="shared" si="13"/>
        <v>0</v>
      </c>
    </row>
    <row r="158" spans="1:10">
      <c r="A158" s="3">
        <v>10000149</v>
      </c>
      <c r="B158" s="3" t="str">
        <v>South 24 Parganas</v>
      </c>
      <c r="C158" s="3" t="str">
        <v>Reinforced Concrete</v>
      </c>
      <c r="D158" s="3">
        <v>4</v>
      </c>
      <c r="E158" s="4">
        <v>4519865</v>
      </c>
      <c r="F158" s="3">
        <f t="shared" si="10"/>
        <v>0</v>
      </c>
      <c r="G158" s="30">
        <f>IF(F158=0, 0, INDEX(tbl_Vulnerability[[0 ft]:[10 ft]], MATCH(Simulation!C158, tbl_Vulnerability[Construction_Class], 0), MATCH(Simulation!F158,{0,1,2,3,5,8,10}, 1)))</f>
        <v>0</v>
      </c>
      <c r="H158" s="4">
        <f t="shared" si="11"/>
        <v>0</v>
      </c>
      <c r="I158" s="33">
        <f t="shared" si="12"/>
        <v>225993.25</v>
      </c>
      <c r="J158" s="33">
        <f t="shared" si="13"/>
        <v>0</v>
      </c>
    </row>
    <row r="159" spans="1:10">
      <c r="A159" s="3">
        <v>10000150</v>
      </c>
      <c r="B159" s="3" t="str">
        <v>Hooghly</v>
      </c>
      <c r="C159" s="3" t="str">
        <v>Adobe / Light Timber</v>
      </c>
      <c r="D159" s="3">
        <v>1</v>
      </c>
      <c r="E159" s="4">
        <v>555300</v>
      </c>
      <c r="F159" s="3">
        <f t="shared" si="10"/>
        <v>0</v>
      </c>
      <c r="G159" s="30">
        <f>IF(F159=0, 0, INDEX(tbl_Vulnerability[[0 ft]:[10 ft]], MATCH(Simulation!C159, tbl_Vulnerability[Construction_Class], 0), MATCH(Simulation!F159,{0,1,2,3,5,8,10}, 1)))</f>
        <v>0</v>
      </c>
      <c r="H159" s="4">
        <f t="shared" si="11"/>
        <v>0</v>
      </c>
      <c r="I159" s="33">
        <f t="shared" si="12"/>
        <v>27765</v>
      </c>
      <c r="J159" s="33">
        <f t="shared" si="13"/>
        <v>0</v>
      </c>
    </row>
    <row r="160" spans="1:10">
      <c r="A160" s="3">
        <v>10000151</v>
      </c>
      <c r="B160" s="3" t="str">
        <v>Kolkata</v>
      </c>
      <c r="C160" s="3" t="str">
        <v>Reinforced Concrete</v>
      </c>
      <c r="D160" s="3">
        <v>4</v>
      </c>
      <c r="E160" s="4">
        <v>35253593</v>
      </c>
      <c r="F160" s="3">
        <f t="shared" si="10"/>
        <v>0</v>
      </c>
      <c r="G160" s="30">
        <f>IF(F160=0, 0, INDEX(tbl_Vulnerability[[0 ft]:[10 ft]], MATCH(Simulation!C160, tbl_Vulnerability[Construction_Class], 0), MATCH(Simulation!F160,{0,1,2,3,5,8,10}, 1)))</f>
        <v>0</v>
      </c>
      <c r="H160" s="4">
        <f t="shared" si="11"/>
        <v>0</v>
      </c>
      <c r="I160" s="33">
        <f t="shared" si="12"/>
        <v>1762679.6500000001</v>
      </c>
      <c r="J160" s="33">
        <f t="shared" si="13"/>
        <v>0</v>
      </c>
    </row>
    <row r="161" spans="1:10">
      <c r="A161" s="3">
        <v>10000152</v>
      </c>
      <c r="B161" s="3" t="str">
        <v>Kolkata</v>
      </c>
      <c r="C161" s="3" t="str">
        <v>Reinforced Concrete</v>
      </c>
      <c r="D161" s="3">
        <v>5</v>
      </c>
      <c r="E161" s="4">
        <v>3722434</v>
      </c>
      <c r="F161" s="3">
        <f t="shared" si="10"/>
        <v>0</v>
      </c>
      <c r="G161" s="30">
        <f>IF(F161=0, 0, INDEX(tbl_Vulnerability[[0 ft]:[10 ft]], MATCH(Simulation!C161, tbl_Vulnerability[Construction_Class], 0), MATCH(Simulation!F161,{0,1,2,3,5,8,10}, 1)))</f>
        <v>0</v>
      </c>
      <c r="H161" s="4">
        <f t="shared" si="11"/>
        <v>0</v>
      </c>
      <c r="I161" s="33">
        <f t="shared" si="12"/>
        <v>186121.7</v>
      </c>
      <c r="J161" s="33">
        <f t="shared" si="13"/>
        <v>0</v>
      </c>
    </row>
    <row r="162" spans="1:10">
      <c r="A162" s="3">
        <v>10000153</v>
      </c>
      <c r="B162" s="3" t="str">
        <v>Kolkata</v>
      </c>
      <c r="C162" s="3" t="str">
        <v>Reinforced Concrete</v>
      </c>
      <c r="D162" s="3">
        <v>5</v>
      </c>
      <c r="E162" s="4">
        <v>14556553</v>
      </c>
      <c r="F162" s="3">
        <f t="shared" si="10"/>
        <v>0</v>
      </c>
      <c r="G162" s="30">
        <f>IF(F162=0, 0, INDEX(tbl_Vulnerability[[0 ft]:[10 ft]], MATCH(Simulation!C162, tbl_Vulnerability[Construction_Class], 0), MATCH(Simulation!F162,{0,1,2,3,5,8,10}, 1)))</f>
        <v>0</v>
      </c>
      <c r="H162" s="4">
        <f t="shared" si="11"/>
        <v>0</v>
      </c>
      <c r="I162" s="33">
        <f t="shared" si="12"/>
        <v>727827.65</v>
      </c>
      <c r="J162" s="33">
        <f t="shared" si="13"/>
        <v>0</v>
      </c>
    </row>
    <row r="163" spans="1:10">
      <c r="A163" s="3">
        <v>10000154</v>
      </c>
      <c r="B163" s="3" t="str">
        <v>Kolkata</v>
      </c>
      <c r="C163" s="3" t="str">
        <v>Unreinforced Masonry</v>
      </c>
      <c r="D163" s="3">
        <v>1</v>
      </c>
      <c r="E163" s="4">
        <v>9428808</v>
      </c>
      <c r="F163" s="3">
        <f t="shared" si="10"/>
        <v>0</v>
      </c>
      <c r="G163" s="30">
        <f>IF(F163=0, 0, INDEX(tbl_Vulnerability[[0 ft]:[10 ft]], MATCH(Simulation!C163, tbl_Vulnerability[Construction_Class], 0), MATCH(Simulation!F163,{0,1,2,3,5,8,10}, 1)))</f>
        <v>0</v>
      </c>
      <c r="H163" s="4">
        <f t="shared" si="11"/>
        <v>0</v>
      </c>
      <c r="I163" s="33">
        <f t="shared" si="12"/>
        <v>471440.4</v>
      </c>
      <c r="J163" s="33">
        <f t="shared" si="13"/>
        <v>0</v>
      </c>
    </row>
    <row r="164" spans="1:10">
      <c r="A164" s="3">
        <v>10000155</v>
      </c>
      <c r="B164" s="3" t="str">
        <v>Kolkata</v>
      </c>
      <c r="C164" s="3" t="str">
        <v>Adobe / Light Timber</v>
      </c>
      <c r="D164" s="3">
        <v>1</v>
      </c>
      <c r="E164" s="4">
        <v>455738</v>
      </c>
      <c r="F164" s="3">
        <f t="shared" si="10"/>
        <v>0</v>
      </c>
      <c r="G164" s="30">
        <f>IF(F164=0, 0, INDEX(tbl_Vulnerability[[0 ft]:[10 ft]], MATCH(Simulation!C164, tbl_Vulnerability[Construction_Class], 0), MATCH(Simulation!F164,{0,1,2,3,5,8,10}, 1)))</f>
        <v>0</v>
      </c>
      <c r="H164" s="4">
        <f t="shared" si="11"/>
        <v>0</v>
      </c>
      <c r="I164" s="33">
        <f t="shared" si="12"/>
        <v>22786.9</v>
      </c>
      <c r="J164" s="33">
        <f t="shared" si="13"/>
        <v>0</v>
      </c>
    </row>
    <row r="165" spans="1:10">
      <c r="A165" s="3">
        <v>10000156</v>
      </c>
      <c r="B165" s="3" t="str">
        <v>Paschim Medinipur</v>
      </c>
      <c r="C165" s="3" t="str">
        <v>Unreinforced Masonry</v>
      </c>
      <c r="D165" s="3">
        <v>0</v>
      </c>
      <c r="E165" s="4">
        <v>4984383</v>
      </c>
      <c r="F165" s="3">
        <f t="shared" si="10"/>
        <v>0</v>
      </c>
      <c r="G165" s="30">
        <f>IF(F165=0, 0, INDEX(tbl_Vulnerability[[0 ft]:[10 ft]], MATCH(Simulation!C165, tbl_Vulnerability[Construction_Class], 0), MATCH(Simulation!F165,{0,1,2,3,5,8,10}, 1)))</f>
        <v>0</v>
      </c>
      <c r="H165" s="4">
        <f t="shared" si="11"/>
        <v>0</v>
      </c>
      <c r="I165" s="33">
        <f t="shared" si="12"/>
        <v>249219.15000000002</v>
      </c>
      <c r="J165" s="33">
        <f t="shared" si="13"/>
        <v>0</v>
      </c>
    </row>
    <row r="166" spans="1:10">
      <c r="A166" s="3">
        <v>10000157</v>
      </c>
      <c r="B166" s="3" t="str">
        <v>Kolkata</v>
      </c>
      <c r="C166" s="3" t="str">
        <v>Reinforced Concrete</v>
      </c>
      <c r="D166" s="3">
        <v>5</v>
      </c>
      <c r="E166" s="4">
        <v>17578339</v>
      </c>
      <c r="F166" s="3">
        <f t="shared" si="10"/>
        <v>0</v>
      </c>
      <c r="G166" s="30">
        <f>IF(F166=0, 0, INDEX(tbl_Vulnerability[[0 ft]:[10 ft]], MATCH(Simulation!C166, tbl_Vulnerability[Construction_Class], 0), MATCH(Simulation!F166,{0,1,2,3,5,8,10}, 1)))</f>
        <v>0</v>
      </c>
      <c r="H166" s="4">
        <f t="shared" si="11"/>
        <v>0</v>
      </c>
      <c r="I166" s="33">
        <f t="shared" si="12"/>
        <v>878916.95000000007</v>
      </c>
      <c r="J166" s="33">
        <f t="shared" si="13"/>
        <v>0</v>
      </c>
    </row>
    <row r="167" spans="1:10">
      <c r="A167" s="3">
        <v>10000158</v>
      </c>
      <c r="B167" s="3" t="str">
        <v>Malda</v>
      </c>
      <c r="C167" s="3" t="str">
        <v>Reinforced Concrete</v>
      </c>
      <c r="D167" s="3">
        <v>4</v>
      </c>
      <c r="E167" s="4">
        <v>53495202</v>
      </c>
      <c r="F167" s="3">
        <f t="shared" si="10"/>
        <v>6</v>
      </c>
      <c r="G167" s="30">
        <f>IF(F167=0, 0, INDEX(tbl_Vulnerability[[0 ft]:[10 ft]], MATCH(Simulation!C167, tbl_Vulnerability[Construction_Class], 0), MATCH(Simulation!F167,{0,1,2,3,5,8,10}, 1)))</f>
        <v>0.2</v>
      </c>
      <c r="H167" s="4">
        <f t="shared" si="11"/>
        <v>10699040.4</v>
      </c>
      <c r="I167" s="33">
        <f t="shared" si="12"/>
        <v>2674760.1</v>
      </c>
      <c r="J167" s="33">
        <f t="shared" si="13"/>
        <v>8024280.3000000007</v>
      </c>
    </row>
    <row r="168" spans="1:10">
      <c r="A168" s="3">
        <v>10000159</v>
      </c>
      <c r="B168" s="3" t="str">
        <v>Paschim Medinipur</v>
      </c>
      <c r="C168" s="3" t="str">
        <v>Reinforced Concrete</v>
      </c>
      <c r="D168" s="3">
        <v>4</v>
      </c>
      <c r="E168" s="4">
        <v>30484072</v>
      </c>
      <c r="F168" s="3">
        <f t="shared" si="10"/>
        <v>0</v>
      </c>
      <c r="G168" s="30">
        <f>IF(F168=0, 0, INDEX(tbl_Vulnerability[[0 ft]:[10 ft]], MATCH(Simulation!C168, tbl_Vulnerability[Construction_Class], 0), MATCH(Simulation!F168,{0,1,2,3,5,8,10}, 1)))</f>
        <v>0</v>
      </c>
      <c r="H168" s="4">
        <f t="shared" si="11"/>
        <v>0</v>
      </c>
      <c r="I168" s="33">
        <f t="shared" si="12"/>
        <v>1524203.6</v>
      </c>
      <c r="J168" s="33">
        <f t="shared" si="13"/>
        <v>0</v>
      </c>
    </row>
    <row r="169" spans="1:10">
      <c r="A169" s="3">
        <v>10000160</v>
      </c>
      <c r="B169" s="3" t="str">
        <v>Malda</v>
      </c>
      <c r="C169" s="3" t="str">
        <v>Reinforced Concrete</v>
      </c>
      <c r="D169" s="3">
        <v>3</v>
      </c>
      <c r="E169" s="4">
        <v>11260911</v>
      </c>
      <c r="F169" s="3">
        <f t="shared" si="10"/>
        <v>7</v>
      </c>
      <c r="G169" s="30">
        <f>IF(F169=0, 0, INDEX(tbl_Vulnerability[[0 ft]:[10 ft]], MATCH(Simulation!C169, tbl_Vulnerability[Construction_Class], 0), MATCH(Simulation!F169,{0,1,2,3,5,8,10}, 1)))</f>
        <v>0.2</v>
      </c>
      <c r="H169" s="4">
        <f t="shared" si="11"/>
        <v>2252182.2000000002</v>
      </c>
      <c r="I169" s="33">
        <f t="shared" si="12"/>
        <v>563045.55000000005</v>
      </c>
      <c r="J169" s="33">
        <f t="shared" si="13"/>
        <v>1689136.6500000001</v>
      </c>
    </row>
    <row r="170" spans="1:10">
      <c r="A170" s="3">
        <v>10000161</v>
      </c>
      <c r="B170" s="3" t="str">
        <v>Kolkata</v>
      </c>
      <c r="C170" s="3" t="str">
        <v>Reinforced Concrete</v>
      </c>
      <c r="D170" s="3">
        <v>5</v>
      </c>
      <c r="E170" s="4">
        <v>52109031</v>
      </c>
      <c r="F170" s="3">
        <f t="shared" si="10"/>
        <v>0</v>
      </c>
      <c r="G170" s="30">
        <f>IF(F170=0, 0, INDEX(tbl_Vulnerability[[0 ft]:[10 ft]], MATCH(Simulation!C170, tbl_Vulnerability[Construction_Class], 0), MATCH(Simulation!F170,{0,1,2,3,5,8,10}, 1)))</f>
        <v>0</v>
      </c>
      <c r="H170" s="4">
        <f t="shared" si="11"/>
        <v>0</v>
      </c>
      <c r="I170" s="33">
        <f t="shared" si="12"/>
        <v>2605451.5500000003</v>
      </c>
      <c r="J170" s="33">
        <f t="shared" si="13"/>
        <v>0</v>
      </c>
    </row>
    <row r="171" spans="1:10">
      <c r="A171" s="3">
        <v>10000162</v>
      </c>
      <c r="B171" s="3" t="str">
        <v>Jalpaiguri</v>
      </c>
      <c r="C171" s="3" t="str">
        <v>Reinforced Concrete</v>
      </c>
      <c r="D171" s="3">
        <v>4</v>
      </c>
      <c r="E171" s="4">
        <v>39803071</v>
      </c>
      <c r="F171" s="3">
        <f t="shared" si="10"/>
        <v>0</v>
      </c>
      <c r="G171" s="30">
        <f>IF(F171=0, 0, INDEX(tbl_Vulnerability[[0 ft]:[10 ft]], MATCH(Simulation!C171, tbl_Vulnerability[Construction_Class], 0), MATCH(Simulation!F171,{0,1,2,3,5,8,10}, 1)))</f>
        <v>0</v>
      </c>
      <c r="H171" s="4">
        <f t="shared" si="11"/>
        <v>0</v>
      </c>
      <c r="I171" s="33">
        <f t="shared" si="12"/>
        <v>1990153.55</v>
      </c>
      <c r="J171" s="33">
        <f t="shared" si="13"/>
        <v>0</v>
      </c>
    </row>
    <row r="172" spans="1:10">
      <c r="A172" s="3">
        <v>10000163</v>
      </c>
      <c r="B172" s="3" t="str">
        <v>Hooghly</v>
      </c>
      <c r="C172" s="3" t="str">
        <v>Adobe / Light Timber</v>
      </c>
      <c r="D172" s="3">
        <v>1</v>
      </c>
      <c r="E172" s="4">
        <v>609790</v>
      </c>
      <c r="F172" s="3">
        <f t="shared" si="10"/>
        <v>0</v>
      </c>
      <c r="G172" s="30">
        <f>IF(F172=0, 0, INDEX(tbl_Vulnerability[[0 ft]:[10 ft]], MATCH(Simulation!C172, tbl_Vulnerability[Construction_Class], 0), MATCH(Simulation!F172,{0,1,2,3,5,8,10}, 1)))</f>
        <v>0</v>
      </c>
      <c r="H172" s="4">
        <f t="shared" si="11"/>
        <v>0</v>
      </c>
      <c r="I172" s="33">
        <f t="shared" si="12"/>
        <v>30489.5</v>
      </c>
      <c r="J172" s="33">
        <f t="shared" si="13"/>
        <v>0</v>
      </c>
    </row>
    <row r="173" spans="1:10">
      <c r="A173" s="3">
        <v>10000164</v>
      </c>
      <c r="B173" s="3" t="str">
        <v>Paschim Medinipur</v>
      </c>
      <c r="C173" s="3" t="str">
        <v>Unreinforced Masonry</v>
      </c>
      <c r="D173" s="3">
        <v>0</v>
      </c>
      <c r="E173" s="4">
        <v>16783536</v>
      </c>
      <c r="F173" s="3">
        <f t="shared" si="10"/>
        <v>0</v>
      </c>
      <c r="G173" s="30">
        <f>IF(F173=0, 0, INDEX(tbl_Vulnerability[[0 ft]:[10 ft]], MATCH(Simulation!C173, tbl_Vulnerability[Construction_Class], 0), MATCH(Simulation!F173,{0,1,2,3,5,8,10}, 1)))</f>
        <v>0</v>
      </c>
      <c r="H173" s="4">
        <f t="shared" si="11"/>
        <v>0</v>
      </c>
      <c r="I173" s="33">
        <f t="shared" si="12"/>
        <v>839176.8</v>
      </c>
      <c r="J173" s="33">
        <f t="shared" si="13"/>
        <v>0</v>
      </c>
    </row>
    <row r="174" spans="1:10">
      <c r="A174" s="3">
        <v>10000165</v>
      </c>
      <c r="B174" s="3" t="str">
        <v>Hooghly</v>
      </c>
      <c r="C174" s="3" t="str">
        <v>Reinforced Concrete</v>
      </c>
      <c r="D174" s="3">
        <v>4</v>
      </c>
      <c r="E174" s="4">
        <v>61881078</v>
      </c>
      <c r="F174" s="3">
        <f t="shared" si="10"/>
        <v>0</v>
      </c>
      <c r="G174" s="30">
        <f>IF(F174=0, 0, INDEX(tbl_Vulnerability[[0 ft]:[10 ft]], MATCH(Simulation!C174, tbl_Vulnerability[Construction_Class], 0), MATCH(Simulation!F174,{0,1,2,3,5,8,10}, 1)))</f>
        <v>0</v>
      </c>
      <c r="H174" s="4">
        <f t="shared" si="11"/>
        <v>0</v>
      </c>
      <c r="I174" s="33">
        <f t="shared" si="12"/>
        <v>3094053.9000000004</v>
      </c>
      <c r="J174" s="33">
        <f t="shared" si="13"/>
        <v>0</v>
      </c>
    </row>
    <row r="175" spans="1:10">
      <c r="A175" s="3">
        <v>10000166</v>
      </c>
      <c r="B175" s="3" t="str">
        <v>Paschim Medinipur</v>
      </c>
      <c r="C175" s="3" t="str">
        <v>Reinforced Concrete</v>
      </c>
      <c r="D175" s="3">
        <v>3</v>
      </c>
      <c r="E175" s="4">
        <v>15182690</v>
      </c>
      <c r="F175" s="3">
        <f t="shared" si="10"/>
        <v>0</v>
      </c>
      <c r="G175" s="30">
        <f>IF(F175=0, 0, INDEX(tbl_Vulnerability[[0 ft]:[10 ft]], MATCH(Simulation!C175, tbl_Vulnerability[Construction_Class], 0), MATCH(Simulation!F175,{0,1,2,3,5,8,10}, 1)))</f>
        <v>0</v>
      </c>
      <c r="H175" s="4">
        <f t="shared" si="11"/>
        <v>0</v>
      </c>
      <c r="I175" s="33">
        <f t="shared" si="12"/>
        <v>759134.5</v>
      </c>
      <c r="J175" s="33">
        <f t="shared" si="13"/>
        <v>0</v>
      </c>
    </row>
    <row r="176" spans="1:10">
      <c r="A176" s="3">
        <v>10000167</v>
      </c>
      <c r="B176" s="3" t="str">
        <v>Malda</v>
      </c>
      <c r="C176" s="3" t="str">
        <v>Adobe / Light Timber</v>
      </c>
      <c r="D176" s="3">
        <v>0</v>
      </c>
      <c r="E176" s="4">
        <v>460319</v>
      </c>
      <c r="F176" s="3">
        <f t="shared" si="10"/>
        <v>10</v>
      </c>
      <c r="G176" s="30">
        <f>IF(F176=0, 0, INDEX(tbl_Vulnerability[[0 ft]:[10 ft]], MATCH(Simulation!C176, tbl_Vulnerability[Construction_Class], 0), MATCH(Simulation!F176,{0,1,2,3,5,8,10}, 1)))</f>
        <v>1</v>
      </c>
      <c r="H176" s="4">
        <f t="shared" si="11"/>
        <v>460319</v>
      </c>
      <c r="I176" s="33">
        <f t="shared" si="12"/>
        <v>23015.95</v>
      </c>
      <c r="J176" s="33">
        <f t="shared" si="13"/>
        <v>437303.05</v>
      </c>
    </row>
    <row r="177" spans="1:10">
      <c r="A177" s="3">
        <v>10000168</v>
      </c>
      <c r="B177" s="3" t="str">
        <v>Kolkata</v>
      </c>
      <c r="C177" s="3" t="str">
        <v>Unreinforced Masonry</v>
      </c>
      <c r="D177" s="3">
        <v>0</v>
      </c>
      <c r="E177" s="4">
        <v>16684745</v>
      </c>
      <c r="F177" s="3">
        <f t="shared" si="10"/>
        <v>0</v>
      </c>
      <c r="G177" s="30">
        <f>IF(F177=0, 0, INDEX(tbl_Vulnerability[[0 ft]:[10 ft]], MATCH(Simulation!C177, tbl_Vulnerability[Construction_Class], 0), MATCH(Simulation!F177,{0,1,2,3,5,8,10}, 1)))</f>
        <v>0</v>
      </c>
      <c r="H177" s="4">
        <f t="shared" si="11"/>
        <v>0</v>
      </c>
      <c r="I177" s="33">
        <f t="shared" si="12"/>
        <v>834237.25</v>
      </c>
      <c r="J177" s="33">
        <f t="shared" si="13"/>
        <v>0</v>
      </c>
    </row>
    <row r="178" spans="1:10">
      <c r="A178" s="3">
        <v>10000169</v>
      </c>
      <c r="B178" s="3" t="str">
        <v>Kolkata</v>
      </c>
      <c r="C178" s="3" t="str">
        <v>Reinforced Concrete</v>
      </c>
      <c r="D178" s="3">
        <v>5</v>
      </c>
      <c r="E178" s="4">
        <v>58778867</v>
      </c>
      <c r="F178" s="3">
        <f t="shared" si="10"/>
        <v>0</v>
      </c>
      <c r="G178" s="30">
        <f>IF(F178=0, 0, INDEX(tbl_Vulnerability[[0 ft]:[10 ft]], MATCH(Simulation!C178, tbl_Vulnerability[Construction_Class], 0), MATCH(Simulation!F178,{0,1,2,3,5,8,10}, 1)))</f>
        <v>0</v>
      </c>
      <c r="H178" s="4">
        <f t="shared" si="11"/>
        <v>0</v>
      </c>
      <c r="I178" s="33">
        <f t="shared" si="12"/>
        <v>2938943.35</v>
      </c>
      <c r="J178" s="33">
        <f t="shared" si="13"/>
        <v>0</v>
      </c>
    </row>
    <row r="179" spans="1:10">
      <c r="A179" s="3">
        <v>10000170</v>
      </c>
      <c r="B179" s="3" t="str">
        <v>Paschim Medinipur</v>
      </c>
      <c r="C179" s="3" t="str">
        <v>Unreinforced Masonry</v>
      </c>
      <c r="D179" s="3">
        <v>0</v>
      </c>
      <c r="E179" s="4">
        <v>3413787</v>
      </c>
      <c r="F179" s="3">
        <f t="shared" si="10"/>
        <v>0</v>
      </c>
      <c r="G179" s="30">
        <f>IF(F179=0, 0, INDEX(tbl_Vulnerability[[0 ft]:[10 ft]], MATCH(Simulation!C179, tbl_Vulnerability[Construction_Class], 0), MATCH(Simulation!F179,{0,1,2,3,5,8,10}, 1)))</f>
        <v>0</v>
      </c>
      <c r="H179" s="4">
        <f t="shared" si="11"/>
        <v>0</v>
      </c>
      <c r="I179" s="33">
        <f t="shared" si="12"/>
        <v>170689.35</v>
      </c>
      <c r="J179" s="33">
        <f t="shared" si="13"/>
        <v>0</v>
      </c>
    </row>
    <row r="180" spans="1:10">
      <c r="A180" s="3">
        <v>10000171</v>
      </c>
      <c r="B180" s="3" t="str">
        <v>Jalpaiguri</v>
      </c>
      <c r="C180" s="3" t="str">
        <v>Unreinforced Masonry</v>
      </c>
      <c r="D180" s="3">
        <v>2</v>
      </c>
      <c r="E180" s="4">
        <v>15735533</v>
      </c>
      <c r="F180" s="3">
        <f t="shared" si="10"/>
        <v>0</v>
      </c>
      <c r="G180" s="30">
        <f>IF(F180=0, 0, INDEX(tbl_Vulnerability[[0 ft]:[10 ft]], MATCH(Simulation!C180, tbl_Vulnerability[Construction_Class], 0), MATCH(Simulation!F180,{0,1,2,3,5,8,10}, 1)))</f>
        <v>0</v>
      </c>
      <c r="H180" s="4">
        <f t="shared" si="11"/>
        <v>0</v>
      </c>
      <c r="I180" s="33">
        <f t="shared" si="12"/>
        <v>786776.65</v>
      </c>
      <c r="J180" s="33">
        <f t="shared" si="13"/>
        <v>0</v>
      </c>
    </row>
    <row r="181" spans="1:10">
      <c r="A181" s="3">
        <v>10000172</v>
      </c>
      <c r="B181" s="3" t="str">
        <v>Hooghly</v>
      </c>
      <c r="C181" s="3" t="str">
        <v>Reinforced Concrete</v>
      </c>
      <c r="D181" s="3">
        <v>3</v>
      </c>
      <c r="E181" s="4">
        <v>12002120</v>
      </c>
      <c r="F181" s="3">
        <f t="shared" si="10"/>
        <v>0</v>
      </c>
      <c r="G181" s="30">
        <f>IF(F181=0, 0, INDEX(tbl_Vulnerability[[0 ft]:[10 ft]], MATCH(Simulation!C181, tbl_Vulnerability[Construction_Class], 0), MATCH(Simulation!F181,{0,1,2,3,5,8,10}, 1)))</f>
        <v>0</v>
      </c>
      <c r="H181" s="4">
        <f t="shared" si="11"/>
        <v>0</v>
      </c>
      <c r="I181" s="33">
        <f t="shared" si="12"/>
        <v>600106</v>
      </c>
      <c r="J181" s="33">
        <f t="shared" si="13"/>
        <v>0</v>
      </c>
    </row>
    <row r="182" spans="1:10">
      <c r="A182" s="3">
        <v>10000173</v>
      </c>
      <c r="B182" s="3" t="str">
        <v>Malda</v>
      </c>
      <c r="C182" s="3" t="str">
        <v>Unreinforced Masonry</v>
      </c>
      <c r="D182" s="3">
        <v>0</v>
      </c>
      <c r="E182" s="4">
        <v>1747924</v>
      </c>
      <c r="F182" s="3">
        <f t="shared" si="10"/>
        <v>10</v>
      </c>
      <c r="G182" s="30">
        <f>IF(F182=0, 0, INDEX(tbl_Vulnerability[[0 ft]:[10 ft]], MATCH(Simulation!C182, tbl_Vulnerability[Construction_Class], 0), MATCH(Simulation!F182,{0,1,2,3,5,8,10}, 1)))</f>
        <v>1</v>
      </c>
      <c r="H182" s="4">
        <f t="shared" si="11"/>
        <v>1747924</v>
      </c>
      <c r="I182" s="33">
        <f t="shared" si="12"/>
        <v>87396.200000000012</v>
      </c>
      <c r="J182" s="33">
        <f t="shared" si="13"/>
        <v>1660527.8</v>
      </c>
    </row>
    <row r="183" spans="1:10">
      <c r="A183" s="3">
        <v>10000174</v>
      </c>
      <c r="B183" s="3" t="str">
        <v>Hooghly</v>
      </c>
      <c r="C183" s="3" t="str">
        <v>Reinforced Concrete</v>
      </c>
      <c r="D183" s="3">
        <v>5</v>
      </c>
      <c r="E183" s="4">
        <v>45255604</v>
      </c>
      <c r="F183" s="3">
        <f t="shared" si="10"/>
        <v>0</v>
      </c>
      <c r="G183" s="30">
        <f>IF(F183=0, 0, INDEX(tbl_Vulnerability[[0 ft]:[10 ft]], MATCH(Simulation!C183, tbl_Vulnerability[Construction_Class], 0), MATCH(Simulation!F183,{0,1,2,3,5,8,10}, 1)))</f>
        <v>0</v>
      </c>
      <c r="H183" s="4">
        <f t="shared" si="11"/>
        <v>0</v>
      </c>
      <c r="I183" s="33">
        <f t="shared" si="12"/>
        <v>2262780.2000000002</v>
      </c>
      <c r="J183" s="33">
        <f t="shared" si="13"/>
        <v>0</v>
      </c>
    </row>
    <row r="184" spans="1:10">
      <c r="A184" s="3">
        <v>10000175</v>
      </c>
      <c r="B184" s="3" t="str">
        <v>Hooghly</v>
      </c>
      <c r="C184" s="3" t="str">
        <v>Reinforced Concrete</v>
      </c>
      <c r="D184" s="3">
        <v>4</v>
      </c>
      <c r="E184" s="4">
        <v>16161226</v>
      </c>
      <c r="F184" s="3">
        <f t="shared" si="10"/>
        <v>0</v>
      </c>
      <c r="G184" s="30">
        <f>IF(F184=0, 0, INDEX(tbl_Vulnerability[[0 ft]:[10 ft]], MATCH(Simulation!C184, tbl_Vulnerability[Construction_Class], 0), MATCH(Simulation!F184,{0,1,2,3,5,8,10}, 1)))</f>
        <v>0</v>
      </c>
      <c r="H184" s="4">
        <f t="shared" si="11"/>
        <v>0</v>
      </c>
      <c r="I184" s="33">
        <f t="shared" si="12"/>
        <v>808061.3</v>
      </c>
      <c r="J184" s="33">
        <f t="shared" si="13"/>
        <v>0</v>
      </c>
    </row>
    <row r="185" spans="1:10">
      <c r="A185" s="3">
        <v>10000176</v>
      </c>
      <c r="B185" s="3" t="str">
        <v>Malda</v>
      </c>
      <c r="C185" s="3" t="str">
        <v>Reinforced Concrete</v>
      </c>
      <c r="D185" s="3">
        <v>4</v>
      </c>
      <c r="E185" s="4">
        <v>43038543</v>
      </c>
      <c r="F185" s="3">
        <f t="shared" si="10"/>
        <v>6</v>
      </c>
      <c r="G185" s="30">
        <f>IF(F185=0, 0, INDEX(tbl_Vulnerability[[0 ft]:[10 ft]], MATCH(Simulation!C185, tbl_Vulnerability[Construction_Class], 0), MATCH(Simulation!F185,{0,1,2,3,5,8,10}, 1)))</f>
        <v>0.2</v>
      </c>
      <c r="H185" s="4">
        <f t="shared" si="11"/>
        <v>8607708.5999999996</v>
      </c>
      <c r="I185" s="33">
        <f t="shared" si="12"/>
        <v>2151927.15</v>
      </c>
      <c r="J185" s="33">
        <f t="shared" si="13"/>
        <v>6455781.4499999993</v>
      </c>
    </row>
    <row r="186" spans="1:10">
      <c r="A186" s="3">
        <v>10000177</v>
      </c>
      <c r="B186" s="3" t="str">
        <v>South 24 Parganas</v>
      </c>
      <c r="C186" s="3" t="str">
        <v>Unreinforced Masonry</v>
      </c>
      <c r="D186" s="3">
        <v>1</v>
      </c>
      <c r="E186" s="4">
        <v>7597414</v>
      </c>
      <c r="F186" s="3">
        <f t="shared" si="10"/>
        <v>0</v>
      </c>
      <c r="G186" s="30">
        <f>IF(F186=0, 0, INDEX(tbl_Vulnerability[[0 ft]:[10 ft]], MATCH(Simulation!C186, tbl_Vulnerability[Construction_Class], 0), MATCH(Simulation!F186,{0,1,2,3,5,8,10}, 1)))</f>
        <v>0</v>
      </c>
      <c r="H186" s="4">
        <f t="shared" si="11"/>
        <v>0</v>
      </c>
      <c r="I186" s="33">
        <f t="shared" si="12"/>
        <v>379870.7</v>
      </c>
      <c r="J186" s="33">
        <f t="shared" si="13"/>
        <v>0</v>
      </c>
    </row>
    <row r="187" spans="1:10">
      <c r="A187" s="3">
        <v>10000178</v>
      </c>
      <c r="B187" s="3" t="str">
        <v>Malda</v>
      </c>
      <c r="C187" s="3" t="str">
        <v>Adobe / Light Timber</v>
      </c>
      <c r="D187" s="3">
        <v>1</v>
      </c>
      <c r="E187" s="4">
        <v>403721</v>
      </c>
      <c r="F187" s="3">
        <f t="shared" si="10"/>
        <v>9</v>
      </c>
      <c r="G187" s="30">
        <f>IF(F187=0, 0, INDEX(tbl_Vulnerability[[0 ft]:[10 ft]], MATCH(Simulation!C187, tbl_Vulnerability[Construction_Class], 0), MATCH(Simulation!F187,{0,1,2,3,5,8,10}, 1)))</f>
        <v>1</v>
      </c>
      <c r="H187" s="4">
        <f t="shared" si="11"/>
        <v>403721</v>
      </c>
      <c r="I187" s="33">
        <f t="shared" si="12"/>
        <v>20186.050000000003</v>
      </c>
      <c r="J187" s="33">
        <f t="shared" si="13"/>
        <v>383534.95</v>
      </c>
    </row>
    <row r="188" spans="1:10">
      <c r="A188" s="3">
        <v>10000179</v>
      </c>
      <c r="B188" s="3" t="str">
        <v>Hooghly</v>
      </c>
      <c r="C188" s="3" t="str">
        <v>Unreinforced Masonry</v>
      </c>
      <c r="D188" s="3">
        <v>1</v>
      </c>
      <c r="E188" s="4">
        <v>18385712</v>
      </c>
      <c r="F188" s="3">
        <f t="shared" si="10"/>
        <v>0</v>
      </c>
      <c r="G188" s="30">
        <f>IF(F188=0, 0, INDEX(tbl_Vulnerability[[0 ft]:[10 ft]], MATCH(Simulation!C188, tbl_Vulnerability[Construction_Class], 0), MATCH(Simulation!F188,{0,1,2,3,5,8,10}, 1)))</f>
        <v>0</v>
      </c>
      <c r="H188" s="4">
        <f t="shared" si="11"/>
        <v>0</v>
      </c>
      <c r="I188" s="33">
        <f t="shared" si="12"/>
        <v>919285.60000000009</v>
      </c>
      <c r="J188" s="33">
        <f t="shared" si="13"/>
        <v>0</v>
      </c>
    </row>
    <row r="189" spans="1:10">
      <c r="A189" s="3">
        <v>10000180</v>
      </c>
      <c r="B189" s="3" t="str">
        <v>South 24 Parganas</v>
      </c>
      <c r="C189" s="3" t="str">
        <v>Reinforced Concrete</v>
      </c>
      <c r="D189" s="3">
        <v>5</v>
      </c>
      <c r="E189" s="4">
        <v>17958268</v>
      </c>
      <c r="F189" s="3">
        <f t="shared" si="10"/>
        <v>0</v>
      </c>
      <c r="G189" s="30">
        <f>IF(F189=0, 0, INDEX(tbl_Vulnerability[[0 ft]:[10 ft]], MATCH(Simulation!C189, tbl_Vulnerability[Construction_Class], 0), MATCH(Simulation!F189,{0,1,2,3,5,8,10}, 1)))</f>
        <v>0</v>
      </c>
      <c r="H189" s="4">
        <f t="shared" si="11"/>
        <v>0</v>
      </c>
      <c r="I189" s="33">
        <f t="shared" si="12"/>
        <v>897913.4</v>
      </c>
      <c r="J189" s="33">
        <f t="shared" si="13"/>
        <v>0</v>
      </c>
    </row>
    <row r="190" spans="1:10">
      <c r="A190" s="3">
        <v>10000181</v>
      </c>
      <c r="B190" s="3" t="str">
        <v>South 24 Parganas</v>
      </c>
      <c r="C190" s="3" t="str">
        <v>Unreinforced Masonry</v>
      </c>
      <c r="D190" s="3">
        <v>0</v>
      </c>
      <c r="E190" s="4">
        <v>4744583</v>
      </c>
      <c r="F190" s="3">
        <f t="shared" si="10"/>
        <v>0</v>
      </c>
      <c r="G190" s="30">
        <f>IF(F190=0, 0, INDEX(tbl_Vulnerability[[0 ft]:[10 ft]], MATCH(Simulation!C190, tbl_Vulnerability[Construction_Class], 0), MATCH(Simulation!F190,{0,1,2,3,5,8,10}, 1)))</f>
        <v>0</v>
      </c>
      <c r="H190" s="4">
        <f t="shared" si="11"/>
        <v>0</v>
      </c>
      <c r="I190" s="33">
        <f t="shared" si="12"/>
        <v>237229.15000000002</v>
      </c>
      <c r="J190" s="33">
        <f t="shared" si="13"/>
        <v>0</v>
      </c>
    </row>
    <row r="191" spans="1:10">
      <c r="A191" s="3">
        <v>10000182</v>
      </c>
      <c r="B191" s="3" t="str">
        <v>Kolkata</v>
      </c>
      <c r="C191" s="3" t="str">
        <v>Adobe / Light Timber</v>
      </c>
      <c r="D191" s="3">
        <v>0</v>
      </c>
      <c r="E191" s="4">
        <v>444629</v>
      </c>
      <c r="F191" s="3">
        <f t="shared" si="10"/>
        <v>0</v>
      </c>
      <c r="G191" s="30">
        <f>IF(F191=0, 0, INDEX(tbl_Vulnerability[[0 ft]:[10 ft]], MATCH(Simulation!C191, tbl_Vulnerability[Construction_Class], 0), MATCH(Simulation!F191,{0,1,2,3,5,8,10}, 1)))</f>
        <v>0</v>
      </c>
      <c r="H191" s="4">
        <f t="shared" si="11"/>
        <v>0</v>
      </c>
      <c r="I191" s="33">
        <f t="shared" si="12"/>
        <v>22231.45</v>
      </c>
      <c r="J191" s="33">
        <f t="shared" si="13"/>
        <v>0</v>
      </c>
    </row>
    <row r="192" spans="1:10">
      <c r="A192" s="3">
        <v>10000183</v>
      </c>
      <c r="B192" s="3" t="str">
        <v>South 24 Parganas</v>
      </c>
      <c r="C192" s="3" t="str">
        <v>Reinforced Concrete</v>
      </c>
      <c r="D192" s="3">
        <v>3</v>
      </c>
      <c r="E192" s="4">
        <v>49705816</v>
      </c>
      <c r="F192" s="3">
        <f t="shared" si="10"/>
        <v>0</v>
      </c>
      <c r="G192" s="30">
        <f>IF(F192=0, 0, INDEX(tbl_Vulnerability[[0 ft]:[10 ft]], MATCH(Simulation!C192, tbl_Vulnerability[Construction_Class], 0), MATCH(Simulation!F192,{0,1,2,3,5,8,10}, 1)))</f>
        <v>0</v>
      </c>
      <c r="H192" s="4">
        <f t="shared" si="11"/>
        <v>0</v>
      </c>
      <c r="I192" s="33">
        <f t="shared" si="12"/>
        <v>2485290.8000000003</v>
      </c>
      <c r="J192" s="33">
        <f t="shared" si="13"/>
        <v>0</v>
      </c>
    </row>
    <row r="193" spans="1:10">
      <c r="A193" s="3">
        <v>10000184</v>
      </c>
      <c r="B193" s="3" t="str">
        <v>South 24 Parganas</v>
      </c>
      <c r="C193" s="3" t="str">
        <v>Adobe / Light Timber</v>
      </c>
      <c r="D193" s="3">
        <v>0</v>
      </c>
      <c r="E193" s="4">
        <v>616269</v>
      </c>
      <c r="F193" s="3">
        <f t="shared" si="10"/>
        <v>0</v>
      </c>
      <c r="G193" s="30">
        <f>IF(F193=0, 0, INDEX(tbl_Vulnerability[[0 ft]:[10 ft]], MATCH(Simulation!C193, tbl_Vulnerability[Construction_Class], 0), MATCH(Simulation!F193,{0,1,2,3,5,8,10}, 1)))</f>
        <v>0</v>
      </c>
      <c r="H193" s="4">
        <f t="shared" si="11"/>
        <v>0</v>
      </c>
      <c r="I193" s="33">
        <f t="shared" si="12"/>
        <v>30813.45</v>
      </c>
      <c r="J193" s="33">
        <f t="shared" si="13"/>
        <v>0</v>
      </c>
    </row>
    <row r="194" spans="1:10">
      <c r="A194" s="3">
        <v>10000185</v>
      </c>
      <c r="B194" s="3" t="str">
        <v>Kolkata</v>
      </c>
      <c r="C194" s="3" t="str">
        <v>Reinforced Concrete</v>
      </c>
      <c r="D194" s="3">
        <v>5</v>
      </c>
      <c r="E194" s="4">
        <v>51638905</v>
      </c>
      <c r="F194" s="3">
        <f t="shared" si="10"/>
        <v>0</v>
      </c>
      <c r="G194" s="30">
        <f>IF(F194=0, 0, INDEX(tbl_Vulnerability[[0 ft]:[10 ft]], MATCH(Simulation!C194, tbl_Vulnerability[Construction_Class], 0), MATCH(Simulation!F194,{0,1,2,3,5,8,10}, 1)))</f>
        <v>0</v>
      </c>
      <c r="H194" s="4">
        <f t="shared" si="11"/>
        <v>0</v>
      </c>
      <c r="I194" s="33">
        <f t="shared" si="12"/>
        <v>2581945.25</v>
      </c>
      <c r="J194" s="33">
        <f t="shared" si="13"/>
        <v>0</v>
      </c>
    </row>
    <row r="195" spans="1:10">
      <c r="A195" s="3">
        <v>10000186</v>
      </c>
      <c r="B195" s="3" t="str">
        <v>Malda</v>
      </c>
      <c r="C195" s="3" t="str">
        <v>Reinforced Concrete</v>
      </c>
      <c r="D195" s="3">
        <v>5</v>
      </c>
      <c r="E195" s="4">
        <v>4382752</v>
      </c>
      <c r="F195" s="3">
        <f t="shared" si="10"/>
        <v>5</v>
      </c>
      <c r="G195" s="30">
        <f>IF(F195=0, 0, INDEX(tbl_Vulnerability[[0 ft]:[10 ft]], MATCH(Simulation!C195, tbl_Vulnerability[Construction_Class], 0), MATCH(Simulation!F195,{0,1,2,3,5,8,10}, 1)))</f>
        <v>0.2</v>
      </c>
      <c r="H195" s="4">
        <f t="shared" si="11"/>
        <v>876550.4</v>
      </c>
      <c r="I195" s="33">
        <f t="shared" si="12"/>
        <v>219137.6</v>
      </c>
      <c r="J195" s="33">
        <f t="shared" si="13"/>
        <v>657412.80000000005</v>
      </c>
    </row>
    <row r="196" spans="1:10">
      <c r="A196" s="3">
        <v>10000187</v>
      </c>
      <c r="B196" s="3" t="str">
        <v>Paschim Medinipur</v>
      </c>
      <c r="C196" s="3" t="str">
        <v>Reinforced Concrete</v>
      </c>
      <c r="D196" s="3">
        <v>5</v>
      </c>
      <c r="E196" s="4">
        <v>55171152</v>
      </c>
      <c r="F196" s="3">
        <f t="shared" si="10"/>
        <v>0</v>
      </c>
      <c r="G196" s="30">
        <f>IF(F196=0, 0, INDEX(tbl_Vulnerability[[0 ft]:[10 ft]], MATCH(Simulation!C196, tbl_Vulnerability[Construction_Class], 0), MATCH(Simulation!F196,{0,1,2,3,5,8,10}, 1)))</f>
        <v>0</v>
      </c>
      <c r="H196" s="4">
        <f t="shared" si="11"/>
        <v>0</v>
      </c>
      <c r="I196" s="33">
        <f t="shared" si="12"/>
        <v>2758557.6</v>
      </c>
      <c r="J196" s="33">
        <f t="shared" si="13"/>
        <v>0</v>
      </c>
    </row>
    <row r="197" spans="1:10">
      <c r="A197" s="3">
        <v>10000188</v>
      </c>
      <c r="B197" s="3" t="str">
        <v>Kolkata</v>
      </c>
      <c r="C197" s="3" t="str">
        <v>Unreinforced Masonry</v>
      </c>
      <c r="D197" s="3">
        <v>1</v>
      </c>
      <c r="E197" s="4">
        <v>3177463</v>
      </c>
      <c r="F197" s="3">
        <f t="shared" si="10"/>
        <v>0</v>
      </c>
      <c r="G197" s="30">
        <f>IF(F197=0, 0, INDEX(tbl_Vulnerability[[0 ft]:[10 ft]], MATCH(Simulation!C197, tbl_Vulnerability[Construction_Class], 0), MATCH(Simulation!F197,{0,1,2,3,5,8,10}, 1)))</f>
        <v>0</v>
      </c>
      <c r="H197" s="4">
        <f t="shared" si="11"/>
        <v>0</v>
      </c>
      <c r="I197" s="33">
        <f t="shared" si="12"/>
        <v>158873.15000000002</v>
      </c>
      <c r="J197" s="33">
        <f t="shared" si="13"/>
        <v>0</v>
      </c>
    </row>
    <row r="198" spans="1:10">
      <c r="A198" s="3">
        <v>10000189</v>
      </c>
      <c r="B198" s="3" t="str">
        <v>Malda</v>
      </c>
      <c r="C198" s="3" t="str">
        <v>Reinforced Concrete</v>
      </c>
      <c r="D198" s="3">
        <v>5</v>
      </c>
      <c r="E198" s="4">
        <v>12397017</v>
      </c>
      <c r="F198" s="3">
        <f t="shared" si="10"/>
        <v>5</v>
      </c>
      <c r="G198" s="30">
        <f>IF(F198=0, 0, INDEX(tbl_Vulnerability[[0 ft]:[10 ft]], MATCH(Simulation!C198, tbl_Vulnerability[Construction_Class], 0), MATCH(Simulation!F198,{0,1,2,3,5,8,10}, 1)))</f>
        <v>0.2</v>
      </c>
      <c r="H198" s="4">
        <f t="shared" si="11"/>
        <v>2479403.4</v>
      </c>
      <c r="I198" s="33">
        <f t="shared" si="12"/>
        <v>619850.85</v>
      </c>
      <c r="J198" s="33">
        <f t="shared" si="13"/>
        <v>1859552.5499999998</v>
      </c>
    </row>
    <row r="199" spans="1:10">
      <c r="A199" s="3">
        <v>10000190</v>
      </c>
      <c r="B199" s="3" t="str">
        <v>Kolkata</v>
      </c>
      <c r="C199" s="3" t="str">
        <v>Unreinforced Masonry</v>
      </c>
      <c r="D199" s="3">
        <v>2</v>
      </c>
      <c r="E199" s="4">
        <v>3487373</v>
      </c>
      <c r="F199" s="3">
        <f t="shared" si="10"/>
        <v>0</v>
      </c>
      <c r="G199" s="30">
        <f>IF(F199=0, 0, INDEX(tbl_Vulnerability[[0 ft]:[10 ft]], MATCH(Simulation!C199, tbl_Vulnerability[Construction_Class], 0), MATCH(Simulation!F199,{0,1,2,3,5,8,10}, 1)))</f>
        <v>0</v>
      </c>
      <c r="H199" s="4">
        <f t="shared" si="11"/>
        <v>0</v>
      </c>
      <c r="I199" s="33">
        <f t="shared" si="12"/>
        <v>174368.65000000002</v>
      </c>
      <c r="J199" s="33">
        <f t="shared" si="13"/>
        <v>0</v>
      </c>
    </row>
    <row r="200" spans="1:10">
      <c r="A200" s="3">
        <v>10000191</v>
      </c>
      <c r="B200" s="3" t="str">
        <v>Hooghly</v>
      </c>
      <c r="C200" s="3" t="str">
        <v>Reinforced Concrete</v>
      </c>
      <c r="D200" s="3">
        <v>3</v>
      </c>
      <c r="E200" s="4">
        <v>39119428</v>
      </c>
      <c r="F200" s="3">
        <f t="shared" si="10"/>
        <v>0</v>
      </c>
      <c r="G200" s="30">
        <f>IF(F200=0, 0, INDEX(tbl_Vulnerability[[0 ft]:[10 ft]], MATCH(Simulation!C200, tbl_Vulnerability[Construction_Class], 0), MATCH(Simulation!F200,{0,1,2,3,5,8,10}, 1)))</f>
        <v>0</v>
      </c>
      <c r="H200" s="4">
        <f t="shared" si="11"/>
        <v>0</v>
      </c>
      <c r="I200" s="33">
        <f t="shared" si="12"/>
        <v>1955971.4000000001</v>
      </c>
      <c r="J200" s="33">
        <f t="shared" si="13"/>
        <v>0</v>
      </c>
    </row>
    <row r="201" spans="1:10">
      <c r="A201" s="3">
        <v>10000192</v>
      </c>
      <c r="B201" s="3" t="str">
        <v>Kolkata</v>
      </c>
      <c r="C201" s="3" t="str">
        <v>Adobe / Light Timber</v>
      </c>
      <c r="D201" s="3">
        <v>0</v>
      </c>
      <c r="E201" s="4">
        <v>520784</v>
      </c>
      <c r="F201" s="3">
        <f t="shared" si="10"/>
        <v>0</v>
      </c>
      <c r="G201" s="30">
        <f>IF(F201=0, 0, INDEX(tbl_Vulnerability[[0 ft]:[10 ft]], MATCH(Simulation!C201, tbl_Vulnerability[Construction_Class], 0), MATCH(Simulation!F201,{0,1,2,3,5,8,10}, 1)))</f>
        <v>0</v>
      </c>
      <c r="H201" s="4">
        <f t="shared" si="11"/>
        <v>0</v>
      </c>
      <c r="I201" s="33">
        <f t="shared" si="12"/>
        <v>26039.200000000001</v>
      </c>
      <c r="J201" s="33">
        <f t="shared" si="13"/>
        <v>0</v>
      </c>
    </row>
    <row r="202" spans="1:10">
      <c r="A202" s="3">
        <v>10000193</v>
      </c>
      <c r="B202" s="3" t="str">
        <v>Malda</v>
      </c>
      <c r="C202" s="3" t="str">
        <v>Reinforced Concrete</v>
      </c>
      <c r="D202" s="3">
        <v>4</v>
      </c>
      <c r="E202" s="4">
        <v>14890616</v>
      </c>
      <c r="F202" s="3">
        <f t="shared" si="10"/>
        <v>6</v>
      </c>
      <c r="G202" s="30">
        <f>IF(F202=0, 0, INDEX(tbl_Vulnerability[[0 ft]:[10 ft]], MATCH(Simulation!C202, tbl_Vulnerability[Construction_Class], 0), MATCH(Simulation!F202,{0,1,2,3,5,8,10}, 1)))</f>
        <v>0.2</v>
      </c>
      <c r="H202" s="4">
        <f t="shared" si="11"/>
        <v>2978123.2</v>
      </c>
      <c r="I202" s="33">
        <f t="shared" si="12"/>
        <v>744530.8</v>
      </c>
      <c r="J202" s="33">
        <f t="shared" si="13"/>
        <v>2233592.4000000004</v>
      </c>
    </row>
    <row r="203" spans="1:10">
      <c r="A203" s="3">
        <v>10000194</v>
      </c>
      <c r="B203" s="3" t="str">
        <v>Malda</v>
      </c>
      <c r="C203" s="3" t="str">
        <v>Reinforced Concrete</v>
      </c>
      <c r="D203" s="3">
        <v>4</v>
      </c>
      <c r="E203" s="4">
        <v>44106279</v>
      </c>
      <c r="F203" s="3">
        <f t="shared" ref="F203:F266" si="14">IF(B203=$B$2, MAX(0, $B$3 - D203), 0)</f>
        <v>6</v>
      </c>
      <c r="G203" s="30">
        <f>IF(F203=0, 0, INDEX(tbl_Vulnerability[[0 ft]:[10 ft]], MATCH(Simulation!C203, tbl_Vulnerability[Construction_Class], 0), MATCH(Simulation!F203,{0,1,2,3,5,8,10}, 1)))</f>
        <v>0.2</v>
      </c>
      <c r="H203" s="4">
        <f t="shared" ref="H203:H266" si="15">E203*G203</f>
        <v>8821255.8000000007</v>
      </c>
      <c r="I203" s="33">
        <f t="shared" ref="I203:I266" si="16">E203*$B$4</f>
        <v>2205313.9500000002</v>
      </c>
      <c r="J203" s="33">
        <f t="shared" ref="J203:J266" si="17">MAX(0, H203 - I203)</f>
        <v>6615941.8500000006</v>
      </c>
    </row>
    <row r="204" spans="1:10">
      <c r="A204" s="3">
        <v>10000195</v>
      </c>
      <c r="B204" s="3" t="str">
        <v>Malda</v>
      </c>
      <c r="C204" s="3" t="str">
        <v>Adobe / Light Timber</v>
      </c>
      <c r="D204" s="3">
        <v>0</v>
      </c>
      <c r="E204" s="4">
        <v>432386</v>
      </c>
      <c r="F204" s="3">
        <f t="shared" si="14"/>
        <v>10</v>
      </c>
      <c r="G204" s="30">
        <f>IF(F204=0, 0, INDEX(tbl_Vulnerability[[0 ft]:[10 ft]], MATCH(Simulation!C204, tbl_Vulnerability[Construction_Class], 0), MATCH(Simulation!F204,{0,1,2,3,5,8,10}, 1)))</f>
        <v>1</v>
      </c>
      <c r="H204" s="4">
        <f t="shared" si="15"/>
        <v>432386</v>
      </c>
      <c r="I204" s="33">
        <f t="shared" si="16"/>
        <v>21619.300000000003</v>
      </c>
      <c r="J204" s="33">
        <f t="shared" si="17"/>
        <v>410766.7</v>
      </c>
    </row>
    <row r="205" spans="1:10">
      <c r="A205" s="3">
        <v>10000196</v>
      </c>
      <c r="B205" s="3" t="str">
        <v>South 24 Parganas</v>
      </c>
      <c r="C205" s="3" t="str">
        <v>Unreinforced Masonry</v>
      </c>
      <c r="D205" s="3">
        <v>0</v>
      </c>
      <c r="E205" s="4">
        <v>25542503</v>
      </c>
      <c r="F205" s="3">
        <f t="shared" si="14"/>
        <v>0</v>
      </c>
      <c r="G205" s="30">
        <f>IF(F205=0, 0, INDEX(tbl_Vulnerability[[0 ft]:[10 ft]], MATCH(Simulation!C205, tbl_Vulnerability[Construction_Class], 0), MATCH(Simulation!F205,{0,1,2,3,5,8,10}, 1)))</f>
        <v>0</v>
      </c>
      <c r="H205" s="4">
        <f t="shared" si="15"/>
        <v>0</v>
      </c>
      <c r="I205" s="33">
        <f t="shared" si="16"/>
        <v>1277125.1500000001</v>
      </c>
      <c r="J205" s="33">
        <f t="shared" si="17"/>
        <v>0</v>
      </c>
    </row>
    <row r="206" spans="1:10">
      <c r="A206" s="3">
        <v>10000197</v>
      </c>
      <c r="B206" s="3" t="str">
        <v>Jalpaiguri</v>
      </c>
      <c r="C206" s="3" t="str">
        <v>Unreinforced Masonry</v>
      </c>
      <c r="D206" s="3">
        <v>0</v>
      </c>
      <c r="E206" s="4">
        <v>9625406</v>
      </c>
      <c r="F206" s="3">
        <f t="shared" si="14"/>
        <v>0</v>
      </c>
      <c r="G206" s="30">
        <f>IF(F206=0, 0, INDEX(tbl_Vulnerability[[0 ft]:[10 ft]], MATCH(Simulation!C206, tbl_Vulnerability[Construction_Class], 0), MATCH(Simulation!F206,{0,1,2,3,5,8,10}, 1)))</f>
        <v>0</v>
      </c>
      <c r="H206" s="4">
        <f t="shared" si="15"/>
        <v>0</v>
      </c>
      <c r="I206" s="33">
        <f t="shared" si="16"/>
        <v>481270.30000000005</v>
      </c>
      <c r="J206" s="33">
        <f t="shared" si="17"/>
        <v>0</v>
      </c>
    </row>
    <row r="207" spans="1:10">
      <c r="A207" s="3">
        <v>10000198</v>
      </c>
      <c r="B207" s="3" t="str">
        <v>Jalpaiguri</v>
      </c>
      <c r="C207" s="3" t="str">
        <v>Adobe / Light Timber</v>
      </c>
      <c r="D207" s="3">
        <v>0</v>
      </c>
      <c r="E207" s="4">
        <v>449298</v>
      </c>
      <c r="F207" s="3">
        <f t="shared" si="14"/>
        <v>0</v>
      </c>
      <c r="G207" s="30">
        <f>IF(F207=0, 0, INDEX(tbl_Vulnerability[[0 ft]:[10 ft]], MATCH(Simulation!C207, tbl_Vulnerability[Construction_Class], 0), MATCH(Simulation!F207,{0,1,2,3,5,8,10}, 1)))</f>
        <v>0</v>
      </c>
      <c r="H207" s="4">
        <f t="shared" si="15"/>
        <v>0</v>
      </c>
      <c r="I207" s="33">
        <f t="shared" si="16"/>
        <v>22464.9</v>
      </c>
      <c r="J207" s="33">
        <f t="shared" si="17"/>
        <v>0</v>
      </c>
    </row>
    <row r="208" spans="1:10">
      <c r="A208" s="3">
        <v>10000199</v>
      </c>
      <c r="B208" s="3" t="str">
        <v>Malda</v>
      </c>
      <c r="C208" s="3" t="str">
        <v>Unreinforced Masonry</v>
      </c>
      <c r="D208" s="3">
        <v>0</v>
      </c>
      <c r="E208" s="4">
        <v>10400384</v>
      </c>
      <c r="F208" s="3">
        <f t="shared" si="14"/>
        <v>10</v>
      </c>
      <c r="G208" s="30">
        <f>IF(F208=0, 0, INDEX(tbl_Vulnerability[[0 ft]:[10 ft]], MATCH(Simulation!C208, tbl_Vulnerability[Construction_Class], 0), MATCH(Simulation!F208,{0,1,2,3,5,8,10}, 1)))</f>
        <v>1</v>
      </c>
      <c r="H208" s="4">
        <f t="shared" si="15"/>
        <v>10400384</v>
      </c>
      <c r="I208" s="33">
        <f t="shared" si="16"/>
        <v>520019.20000000001</v>
      </c>
      <c r="J208" s="33">
        <f t="shared" si="17"/>
        <v>9880364.8000000007</v>
      </c>
    </row>
    <row r="209" spans="1:10">
      <c r="A209" s="3">
        <v>10000200</v>
      </c>
      <c r="B209" s="3" t="str">
        <v>Malda</v>
      </c>
      <c r="C209" s="3" t="str">
        <v>Reinforced Concrete</v>
      </c>
      <c r="D209" s="3">
        <v>5</v>
      </c>
      <c r="E209" s="4">
        <v>56683526</v>
      </c>
      <c r="F209" s="3">
        <f t="shared" si="14"/>
        <v>5</v>
      </c>
      <c r="G209" s="30">
        <f>IF(F209=0, 0, INDEX(tbl_Vulnerability[[0 ft]:[10 ft]], MATCH(Simulation!C209, tbl_Vulnerability[Construction_Class], 0), MATCH(Simulation!F209,{0,1,2,3,5,8,10}, 1)))</f>
        <v>0.2</v>
      </c>
      <c r="H209" s="4">
        <f t="shared" si="15"/>
        <v>11336705.200000001</v>
      </c>
      <c r="I209" s="33">
        <f t="shared" si="16"/>
        <v>2834176.3000000003</v>
      </c>
      <c r="J209" s="33">
        <f t="shared" si="17"/>
        <v>8502528.9000000004</v>
      </c>
    </row>
    <row r="210" spans="1:10">
      <c r="A210" s="3">
        <v>10000201</v>
      </c>
      <c r="B210" s="3" t="str">
        <v>Jalpaiguri</v>
      </c>
      <c r="C210" s="3" t="str">
        <v>Unreinforced Masonry</v>
      </c>
      <c r="D210" s="3">
        <v>1</v>
      </c>
      <c r="E210" s="4">
        <v>11418636</v>
      </c>
      <c r="F210" s="3">
        <f t="shared" si="14"/>
        <v>0</v>
      </c>
      <c r="G210" s="30">
        <f>IF(F210=0, 0, INDEX(tbl_Vulnerability[[0 ft]:[10 ft]], MATCH(Simulation!C210, tbl_Vulnerability[Construction_Class], 0), MATCH(Simulation!F210,{0,1,2,3,5,8,10}, 1)))</f>
        <v>0</v>
      </c>
      <c r="H210" s="4">
        <f t="shared" si="15"/>
        <v>0</v>
      </c>
      <c r="I210" s="33">
        <f t="shared" si="16"/>
        <v>570931.80000000005</v>
      </c>
      <c r="J210" s="33">
        <f t="shared" si="17"/>
        <v>0</v>
      </c>
    </row>
    <row r="211" spans="1:10">
      <c r="A211" s="3">
        <v>10000202</v>
      </c>
      <c r="B211" s="3" t="str">
        <v>South 24 Parganas</v>
      </c>
      <c r="C211" s="3" t="str">
        <v>Reinforced Concrete</v>
      </c>
      <c r="D211" s="3">
        <v>4</v>
      </c>
      <c r="E211" s="4">
        <v>22541680</v>
      </c>
      <c r="F211" s="3">
        <f t="shared" si="14"/>
        <v>0</v>
      </c>
      <c r="G211" s="30">
        <f>IF(F211=0, 0, INDEX(tbl_Vulnerability[[0 ft]:[10 ft]], MATCH(Simulation!C211, tbl_Vulnerability[Construction_Class], 0), MATCH(Simulation!F211,{0,1,2,3,5,8,10}, 1)))</f>
        <v>0</v>
      </c>
      <c r="H211" s="4">
        <f t="shared" si="15"/>
        <v>0</v>
      </c>
      <c r="I211" s="33">
        <f t="shared" si="16"/>
        <v>1127084</v>
      </c>
      <c r="J211" s="33">
        <f t="shared" si="17"/>
        <v>0</v>
      </c>
    </row>
    <row r="212" spans="1:10">
      <c r="A212" s="3">
        <v>10000203</v>
      </c>
      <c r="B212" s="3" t="str">
        <v>South 24 Parganas</v>
      </c>
      <c r="C212" s="3" t="str">
        <v>Reinforced Concrete</v>
      </c>
      <c r="D212" s="3">
        <v>4</v>
      </c>
      <c r="E212" s="4">
        <v>4699135</v>
      </c>
      <c r="F212" s="3">
        <f t="shared" si="14"/>
        <v>0</v>
      </c>
      <c r="G212" s="30">
        <f>IF(F212=0, 0, INDEX(tbl_Vulnerability[[0 ft]:[10 ft]], MATCH(Simulation!C212, tbl_Vulnerability[Construction_Class], 0), MATCH(Simulation!F212,{0,1,2,3,5,8,10}, 1)))</f>
        <v>0</v>
      </c>
      <c r="H212" s="4">
        <f t="shared" si="15"/>
        <v>0</v>
      </c>
      <c r="I212" s="33">
        <f t="shared" si="16"/>
        <v>234956.75</v>
      </c>
      <c r="J212" s="33">
        <f t="shared" si="17"/>
        <v>0</v>
      </c>
    </row>
    <row r="213" spans="1:10">
      <c r="A213" s="3">
        <v>10000204</v>
      </c>
      <c r="B213" s="3" t="str">
        <v>Malda</v>
      </c>
      <c r="C213" s="3" t="str">
        <v>Unreinforced Masonry</v>
      </c>
      <c r="D213" s="3">
        <v>0</v>
      </c>
      <c r="E213" s="4">
        <v>10891964</v>
      </c>
      <c r="F213" s="3">
        <f t="shared" si="14"/>
        <v>10</v>
      </c>
      <c r="G213" s="30">
        <f>IF(F213=0, 0, INDEX(tbl_Vulnerability[[0 ft]:[10 ft]], MATCH(Simulation!C213, tbl_Vulnerability[Construction_Class], 0), MATCH(Simulation!F213,{0,1,2,3,5,8,10}, 1)))</f>
        <v>1</v>
      </c>
      <c r="H213" s="4">
        <f t="shared" si="15"/>
        <v>10891964</v>
      </c>
      <c r="I213" s="33">
        <f t="shared" si="16"/>
        <v>544598.20000000007</v>
      </c>
      <c r="J213" s="33">
        <f t="shared" si="17"/>
        <v>10347365.800000001</v>
      </c>
    </row>
    <row r="214" spans="1:10">
      <c r="A214" s="3">
        <v>10000205</v>
      </c>
      <c r="B214" s="3" t="str">
        <v>Paschim Medinipur</v>
      </c>
      <c r="C214" s="3" t="str">
        <v>Reinforced Concrete</v>
      </c>
      <c r="D214" s="3">
        <v>3</v>
      </c>
      <c r="E214" s="4">
        <v>2870018</v>
      </c>
      <c r="F214" s="3">
        <f t="shared" si="14"/>
        <v>0</v>
      </c>
      <c r="G214" s="30">
        <f>IF(F214=0, 0, INDEX(tbl_Vulnerability[[0 ft]:[10 ft]], MATCH(Simulation!C214, tbl_Vulnerability[Construction_Class], 0), MATCH(Simulation!F214,{0,1,2,3,5,8,10}, 1)))</f>
        <v>0</v>
      </c>
      <c r="H214" s="4">
        <f t="shared" si="15"/>
        <v>0</v>
      </c>
      <c r="I214" s="33">
        <f t="shared" si="16"/>
        <v>143500.9</v>
      </c>
      <c r="J214" s="33">
        <f t="shared" si="17"/>
        <v>0</v>
      </c>
    </row>
    <row r="215" spans="1:10">
      <c r="A215" s="3">
        <v>10000206</v>
      </c>
      <c r="B215" s="3" t="str">
        <v>Kolkata</v>
      </c>
      <c r="C215" s="3" t="str">
        <v>Reinforced Concrete</v>
      </c>
      <c r="D215" s="3">
        <v>5</v>
      </c>
      <c r="E215" s="4">
        <v>20087604</v>
      </c>
      <c r="F215" s="3">
        <f t="shared" si="14"/>
        <v>0</v>
      </c>
      <c r="G215" s="30">
        <f>IF(F215=0, 0, INDEX(tbl_Vulnerability[[0 ft]:[10 ft]], MATCH(Simulation!C215, tbl_Vulnerability[Construction_Class], 0), MATCH(Simulation!F215,{0,1,2,3,5,8,10}, 1)))</f>
        <v>0</v>
      </c>
      <c r="H215" s="4">
        <f t="shared" si="15"/>
        <v>0</v>
      </c>
      <c r="I215" s="33">
        <f t="shared" si="16"/>
        <v>1004380.2000000001</v>
      </c>
      <c r="J215" s="33">
        <f t="shared" si="17"/>
        <v>0</v>
      </c>
    </row>
    <row r="216" spans="1:10">
      <c r="A216" s="3">
        <v>10000207</v>
      </c>
      <c r="B216" s="3" t="str">
        <v>Kolkata</v>
      </c>
      <c r="C216" s="3" t="str">
        <v>Reinforced Concrete</v>
      </c>
      <c r="D216" s="3">
        <v>5</v>
      </c>
      <c r="E216" s="4">
        <v>1794391</v>
      </c>
      <c r="F216" s="3">
        <f t="shared" si="14"/>
        <v>0</v>
      </c>
      <c r="G216" s="30">
        <f>IF(F216=0, 0, INDEX(tbl_Vulnerability[[0 ft]:[10 ft]], MATCH(Simulation!C216, tbl_Vulnerability[Construction_Class], 0), MATCH(Simulation!F216,{0,1,2,3,5,8,10}, 1)))</f>
        <v>0</v>
      </c>
      <c r="H216" s="4">
        <f t="shared" si="15"/>
        <v>0</v>
      </c>
      <c r="I216" s="33">
        <f t="shared" si="16"/>
        <v>89719.55</v>
      </c>
      <c r="J216" s="33">
        <f t="shared" si="17"/>
        <v>0</v>
      </c>
    </row>
    <row r="217" spans="1:10">
      <c r="A217" s="3">
        <v>10000208</v>
      </c>
      <c r="B217" s="3" t="str">
        <v>Hooghly</v>
      </c>
      <c r="C217" s="3" t="str">
        <v>Reinforced Concrete</v>
      </c>
      <c r="D217" s="3">
        <v>3</v>
      </c>
      <c r="E217" s="4">
        <v>37318069</v>
      </c>
      <c r="F217" s="3">
        <f t="shared" si="14"/>
        <v>0</v>
      </c>
      <c r="G217" s="30">
        <f>IF(F217=0, 0, INDEX(tbl_Vulnerability[[0 ft]:[10 ft]], MATCH(Simulation!C217, tbl_Vulnerability[Construction_Class], 0), MATCH(Simulation!F217,{0,1,2,3,5,8,10}, 1)))</f>
        <v>0</v>
      </c>
      <c r="H217" s="4">
        <f t="shared" si="15"/>
        <v>0</v>
      </c>
      <c r="I217" s="33">
        <f t="shared" si="16"/>
        <v>1865903.4500000002</v>
      </c>
      <c r="J217" s="33">
        <f t="shared" si="17"/>
        <v>0</v>
      </c>
    </row>
    <row r="218" spans="1:10">
      <c r="A218" s="3">
        <v>10000209</v>
      </c>
      <c r="B218" s="3" t="str">
        <v>Paschim Medinipur</v>
      </c>
      <c r="C218" s="3" t="str">
        <v>Unreinforced Masonry</v>
      </c>
      <c r="D218" s="3">
        <v>0</v>
      </c>
      <c r="E218" s="4">
        <v>18246041</v>
      </c>
      <c r="F218" s="3">
        <f t="shared" si="14"/>
        <v>0</v>
      </c>
      <c r="G218" s="30">
        <f>IF(F218=0, 0, INDEX(tbl_Vulnerability[[0 ft]:[10 ft]], MATCH(Simulation!C218, tbl_Vulnerability[Construction_Class], 0), MATCH(Simulation!F218,{0,1,2,3,5,8,10}, 1)))</f>
        <v>0</v>
      </c>
      <c r="H218" s="4">
        <f t="shared" si="15"/>
        <v>0</v>
      </c>
      <c r="I218" s="33">
        <f t="shared" si="16"/>
        <v>912302.05</v>
      </c>
      <c r="J218" s="33">
        <f t="shared" si="17"/>
        <v>0</v>
      </c>
    </row>
    <row r="219" spans="1:10">
      <c r="A219" s="3">
        <v>10000210</v>
      </c>
      <c r="B219" s="3" t="str">
        <v>Hooghly</v>
      </c>
      <c r="C219" s="3" t="str">
        <v>Adobe / Light Timber</v>
      </c>
      <c r="D219" s="3">
        <v>2</v>
      </c>
      <c r="E219" s="4">
        <v>425038</v>
      </c>
      <c r="F219" s="3">
        <f t="shared" si="14"/>
        <v>0</v>
      </c>
      <c r="G219" s="30">
        <f>IF(F219=0, 0, INDEX(tbl_Vulnerability[[0 ft]:[10 ft]], MATCH(Simulation!C219, tbl_Vulnerability[Construction_Class], 0), MATCH(Simulation!F219,{0,1,2,3,5,8,10}, 1)))</f>
        <v>0</v>
      </c>
      <c r="H219" s="4">
        <f t="shared" si="15"/>
        <v>0</v>
      </c>
      <c r="I219" s="33">
        <f t="shared" si="16"/>
        <v>21251.9</v>
      </c>
      <c r="J219" s="33">
        <f t="shared" si="17"/>
        <v>0</v>
      </c>
    </row>
    <row r="220" spans="1:10">
      <c r="A220" s="3">
        <v>10000211</v>
      </c>
      <c r="B220" s="3" t="str">
        <v>Kolkata</v>
      </c>
      <c r="C220" s="3" t="str">
        <v>Reinforced Concrete</v>
      </c>
      <c r="D220" s="3">
        <v>4</v>
      </c>
      <c r="E220" s="4">
        <v>48622549</v>
      </c>
      <c r="F220" s="3">
        <f t="shared" si="14"/>
        <v>0</v>
      </c>
      <c r="G220" s="30">
        <f>IF(F220=0, 0, INDEX(tbl_Vulnerability[[0 ft]:[10 ft]], MATCH(Simulation!C220, tbl_Vulnerability[Construction_Class], 0), MATCH(Simulation!F220,{0,1,2,3,5,8,10}, 1)))</f>
        <v>0</v>
      </c>
      <c r="H220" s="4">
        <f t="shared" si="15"/>
        <v>0</v>
      </c>
      <c r="I220" s="33">
        <f t="shared" si="16"/>
        <v>2431127.4500000002</v>
      </c>
      <c r="J220" s="33">
        <f t="shared" si="17"/>
        <v>0</v>
      </c>
    </row>
    <row r="221" spans="1:10">
      <c r="A221" s="3">
        <v>10000212</v>
      </c>
      <c r="B221" s="3" t="str">
        <v>South 24 Parganas</v>
      </c>
      <c r="C221" s="3" t="str">
        <v>Reinforced Concrete</v>
      </c>
      <c r="D221" s="3">
        <v>3</v>
      </c>
      <c r="E221" s="4">
        <v>60757723</v>
      </c>
      <c r="F221" s="3">
        <f t="shared" si="14"/>
        <v>0</v>
      </c>
      <c r="G221" s="30">
        <f>IF(F221=0, 0, INDEX(tbl_Vulnerability[[0 ft]:[10 ft]], MATCH(Simulation!C221, tbl_Vulnerability[Construction_Class], 0), MATCH(Simulation!F221,{0,1,2,3,5,8,10}, 1)))</f>
        <v>0</v>
      </c>
      <c r="H221" s="4">
        <f t="shared" si="15"/>
        <v>0</v>
      </c>
      <c r="I221" s="33">
        <f t="shared" si="16"/>
        <v>3037886.1500000004</v>
      </c>
      <c r="J221" s="33">
        <f t="shared" si="17"/>
        <v>0</v>
      </c>
    </row>
    <row r="222" spans="1:10">
      <c r="A222" s="3">
        <v>10000213</v>
      </c>
      <c r="B222" s="3" t="str">
        <v>Jalpaiguri</v>
      </c>
      <c r="C222" s="3" t="str">
        <v>Unreinforced Masonry</v>
      </c>
      <c r="D222" s="3">
        <v>1</v>
      </c>
      <c r="E222" s="4">
        <v>5422287</v>
      </c>
      <c r="F222" s="3">
        <f t="shared" si="14"/>
        <v>0</v>
      </c>
      <c r="G222" s="30">
        <f>IF(F222=0, 0, INDEX(tbl_Vulnerability[[0 ft]:[10 ft]], MATCH(Simulation!C222, tbl_Vulnerability[Construction_Class], 0), MATCH(Simulation!F222,{0,1,2,3,5,8,10}, 1)))</f>
        <v>0</v>
      </c>
      <c r="H222" s="4">
        <f t="shared" si="15"/>
        <v>0</v>
      </c>
      <c r="I222" s="33">
        <f t="shared" si="16"/>
        <v>271114.35000000003</v>
      </c>
      <c r="J222" s="33">
        <f t="shared" si="17"/>
        <v>0</v>
      </c>
    </row>
    <row r="223" spans="1:10">
      <c r="A223" s="3">
        <v>10000214</v>
      </c>
      <c r="B223" s="3" t="str">
        <v>Paschim Medinipur</v>
      </c>
      <c r="C223" s="3" t="str">
        <v>Reinforced Concrete</v>
      </c>
      <c r="D223" s="3">
        <v>3</v>
      </c>
      <c r="E223" s="4">
        <v>57898350</v>
      </c>
      <c r="F223" s="3">
        <f t="shared" si="14"/>
        <v>0</v>
      </c>
      <c r="G223" s="30">
        <f>IF(F223=0, 0, INDEX(tbl_Vulnerability[[0 ft]:[10 ft]], MATCH(Simulation!C223, tbl_Vulnerability[Construction_Class], 0), MATCH(Simulation!F223,{0,1,2,3,5,8,10}, 1)))</f>
        <v>0</v>
      </c>
      <c r="H223" s="4">
        <f t="shared" si="15"/>
        <v>0</v>
      </c>
      <c r="I223" s="33">
        <f t="shared" si="16"/>
        <v>2894917.5</v>
      </c>
      <c r="J223" s="33">
        <f t="shared" si="17"/>
        <v>0</v>
      </c>
    </row>
    <row r="224" spans="1:10">
      <c r="A224" s="3">
        <v>10000215</v>
      </c>
      <c r="B224" s="3" t="str">
        <v>Malda</v>
      </c>
      <c r="C224" s="3" t="str">
        <v>Reinforced Concrete</v>
      </c>
      <c r="D224" s="3">
        <v>4</v>
      </c>
      <c r="E224" s="4">
        <v>40275231</v>
      </c>
      <c r="F224" s="3">
        <f t="shared" si="14"/>
        <v>6</v>
      </c>
      <c r="G224" s="30">
        <f>IF(F224=0, 0, INDEX(tbl_Vulnerability[[0 ft]:[10 ft]], MATCH(Simulation!C224, tbl_Vulnerability[Construction_Class], 0), MATCH(Simulation!F224,{0,1,2,3,5,8,10}, 1)))</f>
        <v>0.2</v>
      </c>
      <c r="H224" s="4">
        <f t="shared" si="15"/>
        <v>8055046.2000000002</v>
      </c>
      <c r="I224" s="33">
        <f t="shared" si="16"/>
        <v>2013761.55</v>
      </c>
      <c r="J224" s="33">
        <f t="shared" si="17"/>
        <v>6041284.6500000004</v>
      </c>
    </row>
    <row r="225" spans="1:10">
      <c r="A225" s="3">
        <v>10000216</v>
      </c>
      <c r="B225" s="3" t="str">
        <v>Hooghly</v>
      </c>
      <c r="C225" s="3" t="str">
        <v>Reinforced Concrete</v>
      </c>
      <c r="D225" s="3">
        <v>4</v>
      </c>
      <c r="E225" s="4">
        <v>48422438</v>
      </c>
      <c r="F225" s="3">
        <f t="shared" si="14"/>
        <v>0</v>
      </c>
      <c r="G225" s="30">
        <f>IF(F225=0, 0, INDEX(tbl_Vulnerability[[0 ft]:[10 ft]], MATCH(Simulation!C225, tbl_Vulnerability[Construction_Class], 0), MATCH(Simulation!F225,{0,1,2,3,5,8,10}, 1)))</f>
        <v>0</v>
      </c>
      <c r="H225" s="4">
        <f t="shared" si="15"/>
        <v>0</v>
      </c>
      <c r="I225" s="33">
        <f t="shared" si="16"/>
        <v>2421121.9</v>
      </c>
      <c r="J225" s="33">
        <f t="shared" si="17"/>
        <v>0</v>
      </c>
    </row>
    <row r="226" spans="1:10">
      <c r="A226" s="3">
        <v>10000217</v>
      </c>
      <c r="B226" s="3" t="str">
        <v>South 24 Parganas</v>
      </c>
      <c r="C226" s="3" t="str">
        <v>Reinforced Concrete</v>
      </c>
      <c r="D226" s="3">
        <v>3</v>
      </c>
      <c r="E226" s="4">
        <v>60612008</v>
      </c>
      <c r="F226" s="3">
        <f t="shared" si="14"/>
        <v>0</v>
      </c>
      <c r="G226" s="30">
        <f>IF(F226=0, 0, INDEX(tbl_Vulnerability[[0 ft]:[10 ft]], MATCH(Simulation!C226, tbl_Vulnerability[Construction_Class], 0), MATCH(Simulation!F226,{0,1,2,3,5,8,10}, 1)))</f>
        <v>0</v>
      </c>
      <c r="H226" s="4">
        <f t="shared" si="15"/>
        <v>0</v>
      </c>
      <c r="I226" s="33">
        <f t="shared" si="16"/>
        <v>3030600.4000000004</v>
      </c>
      <c r="J226" s="33">
        <f t="shared" si="17"/>
        <v>0</v>
      </c>
    </row>
    <row r="227" spans="1:10">
      <c r="A227" s="3">
        <v>10000218</v>
      </c>
      <c r="B227" s="3" t="str">
        <v>Jalpaiguri</v>
      </c>
      <c r="C227" s="3" t="str">
        <v>Reinforced Concrete</v>
      </c>
      <c r="D227" s="3">
        <v>3</v>
      </c>
      <c r="E227" s="4">
        <v>47007714</v>
      </c>
      <c r="F227" s="3">
        <f t="shared" si="14"/>
        <v>0</v>
      </c>
      <c r="G227" s="30">
        <f>IF(F227=0, 0, INDEX(tbl_Vulnerability[[0 ft]:[10 ft]], MATCH(Simulation!C227, tbl_Vulnerability[Construction_Class], 0), MATCH(Simulation!F227,{0,1,2,3,5,8,10}, 1)))</f>
        <v>0</v>
      </c>
      <c r="H227" s="4">
        <f t="shared" si="15"/>
        <v>0</v>
      </c>
      <c r="I227" s="33">
        <f t="shared" si="16"/>
        <v>2350385.7000000002</v>
      </c>
      <c r="J227" s="33">
        <f t="shared" si="17"/>
        <v>0</v>
      </c>
    </row>
    <row r="228" spans="1:10">
      <c r="A228" s="3">
        <v>10000219</v>
      </c>
      <c r="B228" s="3" t="str">
        <v>Hooghly</v>
      </c>
      <c r="C228" s="3" t="str">
        <v>Unreinforced Masonry</v>
      </c>
      <c r="D228" s="3">
        <v>1</v>
      </c>
      <c r="E228" s="4">
        <v>12572867</v>
      </c>
      <c r="F228" s="3">
        <f t="shared" si="14"/>
        <v>0</v>
      </c>
      <c r="G228" s="30">
        <f>IF(F228=0, 0, INDEX(tbl_Vulnerability[[0 ft]:[10 ft]], MATCH(Simulation!C228, tbl_Vulnerability[Construction_Class], 0), MATCH(Simulation!F228,{0,1,2,3,5,8,10}, 1)))</f>
        <v>0</v>
      </c>
      <c r="H228" s="4">
        <f t="shared" si="15"/>
        <v>0</v>
      </c>
      <c r="I228" s="33">
        <f t="shared" si="16"/>
        <v>628643.35000000009</v>
      </c>
      <c r="J228" s="33">
        <f t="shared" si="17"/>
        <v>0</v>
      </c>
    </row>
    <row r="229" spans="1:10">
      <c r="A229" s="3">
        <v>10000220</v>
      </c>
      <c r="B229" s="3" t="str">
        <v>Paschim Medinipur</v>
      </c>
      <c r="C229" s="3" t="str">
        <v>Unreinforced Masonry</v>
      </c>
      <c r="D229" s="3">
        <v>2</v>
      </c>
      <c r="E229" s="4">
        <v>4827862</v>
      </c>
      <c r="F229" s="3">
        <f t="shared" si="14"/>
        <v>0</v>
      </c>
      <c r="G229" s="30">
        <f>IF(F229=0, 0, INDEX(tbl_Vulnerability[[0 ft]:[10 ft]], MATCH(Simulation!C229, tbl_Vulnerability[Construction_Class], 0), MATCH(Simulation!F229,{0,1,2,3,5,8,10}, 1)))</f>
        <v>0</v>
      </c>
      <c r="H229" s="4">
        <f t="shared" si="15"/>
        <v>0</v>
      </c>
      <c r="I229" s="33">
        <f t="shared" si="16"/>
        <v>241393.1</v>
      </c>
      <c r="J229" s="33">
        <f t="shared" si="17"/>
        <v>0</v>
      </c>
    </row>
    <row r="230" spans="1:10">
      <c r="A230" s="3">
        <v>10000221</v>
      </c>
      <c r="B230" s="3" t="str">
        <v>Jalpaiguri</v>
      </c>
      <c r="C230" s="3" t="str">
        <v>Unreinforced Masonry</v>
      </c>
      <c r="D230" s="3">
        <v>0</v>
      </c>
      <c r="E230" s="4">
        <v>12226530</v>
      </c>
      <c r="F230" s="3">
        <f t="shared" si="14"/>
        <v>0</v>
      </c>
      <c r="G230" s="30">
        <f>IF(F230=0, 0, INDEX(tbl_Vulnerability[[0 ft]:[10 ft]], MATCH(Simulation!C230, tbl_Vulnerability[Construction_Class], 0), MATCH(Simulation!F230,{0,1,2,3,5,8,10}, 1)))</f>
        <v>0</v>
      </c>
      <c r="H230" s="4">
        <f t="shared" si="15"/>
        <v>0</v>
      </c>
      <c r="I230" s="33">
        <f t="shared" si="16"/>
        <v>611326.5</v>
      </c>
      <c r="J230" s="33">
        <f t="shared" si="17"/>
        <v>0</v>
      </c>
    </row>
    <row r="231" spans="1:10">
      <c r="A231" s="3">
        <v>10000222</v>
      </c>
      <c r="B231" s="3" t="str">
        <v>Paschim Medinipur</v>
      </c>
      <c r="C231" s="3" t="str">
        <v>Reinforced Concrete</v>
      </c>
      <c r="D231" s="3">
        <v>3</v>
      </c>
      <c r="E231" s="4">
        <v>13934294</v>
      </c>
      <c r="F231" s="3">
        <f t="shared" si="14"/>
        <v>0</v>
      </c>
      <c r="G231" s="30">
        <f>IF(F231=0, 0, INDEX(tbl_Vulnerability[[0 ft]:[10 ft]], MATCH(Simulation!C231, tbl_Vulnerability[Construction_Class], 0), MATCH(Simulation!F231,{0,1,2,3,5,8,10}, 1)))</f>
        <v>0</v>
      </c>
      <c r="H231" s="4">
        <f t="shared" si="15"/>
        <v>0</v>
      </c>
      <c r="I231" s="33">
        <f t="shared" si="16"/>
        <v>696714.70000000007</v>
      </c>
      <c r="J231" s="33">
        <f t="shared" si="17"/>
        <v>0</v>
      </c>
    </row>
    <row r="232" spans="1:10">
      <c r="A232" s="3">
        <v>10000223</v>
      </c>
      <c r="B232" s="3" t="str">
        <v>Paschim Medinipur</v>
      </c>
      <c r="C232" s="3" t="str">
        <v>Reinforced Concrete</v>
      </c>
      <c r="D232" s="3">
        <v>5</v>
      </c>
      <c r="E232" s="4">
        <v>7468918</v>
      </c>
      <c r="F232" s="3">
        <f t="shared" si="14"/>
        <v>0</v>
      </c>
      <c r="G232" s="30">
        <f>IF(F232=0, 0, INDEX(tbl_Vulnerability[[0 ft]:[10 ft]], MATCH(Simulation!C232, tbl_Vulnerability[Construction_Class], 0), MATCH(Simulation!F232,{0,1,2,3,5,8,10}, 1)))</f>
        <v>0</v>
      </c>
      <c r="H232" s="4">
        <f t="shared" si="15"/>
        <v>0</v>
      </c>
      <c r="I232" s="33">
        <f t="shared" si="16"/>
        <v>373445.9</v>
      </c>
      <c r="J232" s="33">
        <f t="shared" si="17"/>
        <v>0</v>
      </c>
    </row>
    <row r="233" spans="1:10">
      <c r="A233" s="3">
        <v>10000224</v>
      </c>
      <c r="B233" s="3" t="str">
        <v>Jalpaiguri</v>
      </c>
      <c r="C233" s="3" t="str">
        <v>Unreinforced Masonry</v>
      </c>
      <c r="D233" s="3">
        <v>0</v>
      </c>
      <c r="E233" s="4">
        <v>1505657</v>
      </c>
      <c r="F233" s="3">
        <f t="shared" si="14"/>
        <v>0</v>
      </c>
      <c r="G233" s="30">
        <f>IF(F233=0, 0, INDEX(tbl_Vulnerability[[0 ft]:[10 ft]], MATCH(Simulation!C233, tbl_Vulnerability[Construction_Class], 0), MATCH(Simulation!F233,{0,1,2,3,5,8,10}, 1)))</f>
        <v>0</v>
      </c>
      <c r="H233" s="4">
        <f t="shared" si="15"/>
        <v>0</v>
      </c>
      <c r="I233" s="33">
        <f t="shared" si="16"/>
        <v>75282.850000000006</v>
      </c>
      <c r="J233" s="33">
        <f t="shared" si="17"/>
        <v>0</v>
      </c>
    </row>
    <row r="234" spans="1:10">
      <c r="A234" s="3">
        <v>10000225</v>
      </c>
      <c r="B234" s="3" t="str">
        <v>Malda</v>
      </c>
      <c r="C234" s="3" t="str">
        <v>Adobe / Light Timber</v>
      </c>
      <c r="D234" s="3">
        <v>1</v>
      </c>
      <c r="E234" s="4">
        <v>598348</v>
      </c>
      <c r="F234" s="3">
        <f t="shared" si="14"/>
        <v>9</v>
      </c>
      <c r="G234" s="30">
        <f>IF(F234=0, 0, INDEX(tbl_Vulnerability[[0 ft]:[10 ft]], MATCH(Simulation!C234, tbl_Vulnerability[Construction_Class], 0), MATCH(Simulation!F234,{0,1,2,3,5,8,10}, 1)))</f>
        <v>1</v>
      </c>
      <c r="H234" s="4">
        <f t="shared" si="15"/>
        <v>598348</v>
      </c>
      <c r="I234" s="33">
        <f t="shared" si="16"/>
        <v>29917.4</v>
      </c>
      <c r="J234" s="33">
        <f t="shared" si="17"/>
        <v>568430.6</v>
      </c>
    </row>
    <row r="235" spans="1:10">
      <c r="A235" s="3">
        <v>10000226</v>
      </c>
      <c r="B235" s="3" t="str">
        <v>South 24 Parganas</v>
      </c>
      <c r="C235" s="3" t="str">
        <v>Unreinforced Masonry</v>
      </c>
      <c r="D235" s="3">
        <v>0</v>
      </c>
      <c r="E235" s="4">
        <v>15409594</v>
      </c>
      <c r="F235" s="3">
        <f t="shared" si="14"/>
        <v>0</v>
      </c>
      <c r="G235" s="30">
        <f>IF(F235=0, 0, INDEX(tbl_Vulnerability[[0 ft]:[10 ft]], MATCH(Simulation!C235, tbl_Vulnerability[Construction_Class], 0), MATCH(Simulation!F235,{0,1,2,3,5,8,10}, 1)))</f>
        <v>0</v>
      </c>
      <c r="H235" s="4">
        <f t="shared" si="15"/>
        <v>0</v>
      </c>
      <c r="I235" s="33">
        <f t="shared" si="16"/>
        <v>770479.70000000007</v>
      </c>
      <c r="J235" s="33">
        <f t="shared" si="17"/>
        <v>0</v>
      </c>
    </row>
    <row r="236" spans="1:10">
      <c r="A236" s="3">
        <v>10000227</v>
      </c>
      <c r="B236" s="3" t="str">
        <v>Paschim Medinipur</v>
      </c>
      <c r="C236" s="3" t="str">
        <v>Reinforced Concrete</v>
      </c>
      <c r="D236" s="3">
        <v>3</v>
      </c>
      <c r="E236" s="4">
        <v>42546926</v>
      </c>
      <c r="F236" s="3">
        <f t="shared" si="14"/>
        <v>0</v>
      </c>
      <c r="G236" s="30">
        <f>IF(F236=0, 0, INDEX(tbl_Vulnerability[[0 ft]:[10 ft]], MATCH(Simulation!C236, tbl_Vulnerability[Construction_Class], 0), MATCH(Simulation!F236,{0,1,2,3,5,8,10}, 1)))</f>
        <v>0</v>
      </c>
      <c r="H236" s="4">
        <f t="shared" si="15"/>
        <v>0</v>
      </c>
      <c r="I236" s="33">
        <f t="shared" si="16"/>
        <v>2127346.3000000003</v>
      </c>
      <c r="J236" s="33">
        <f t="shared" si="17"/>
        <v>0</v>
      </c>
    </row>
    <row r="237" spans="1:10">
      <c r="A237" s="3">
        <v>10000228</v>
      </c>
      <c r="B237" s="3" t="str">
        <v>South 24 Parganas</v>
      </c>
      <c r="C237" s="3" t="str">
        <v>Reinforced Concrete</v>
      </c>
      <c r="D237" s="3">
        <v>5</v>
      </c>
      <c r="E237" s="4">
        <v>1699190</v>
      </c>
      <c r="F237" s="3">
        <f t="shared" si="14"/>
        <v>0</v>
      </c>
      <c r="G237" s="30">
        <f>IF(F237=0, 0, INDEX(tbl_Vulnerability[[0 ft]:[10 ft]], MATCH(Simulation!C237, tbl_Vulnerability[Construction_Class], 0), MATCH(Simulation!F237,{0,1,2,3,5,8,10}, 1)))</f>
        <v>0</v>
      </c>
      <c r="H237" s="4">
        <f t="shared" si="15"/>
        <v>0</v>
      </c>
      <c r="I237" s="33">
        <f t="shared" si="16"/>
        <v>84959.5</v>
      </c>
      <c r="J237" s="33">
        <f t="shared" si="17"/>
        <v>0</v>
      </c>
    </row>
    <row r="238" spans="1:10">
      <c r="A238" s="3">
        <v>10000229</v>
      </c>
      <c r="B238" s="3" t="str">
        <v>Paschim Medinipur</v>
      </c>
      <c r="C238" s="3" t="str">
        <v>Unreinforced Masonry</v>
      </c>
      <c r="D238" s="3">
        <v>0</v>
      </c>
      <c r="E238" s="4">
        <v>11983662</v>
      </c>
      <c r="F238" s="3">
        <f t="shared" si="14"/>
        <v>0</v>
      </c>
      <c r="G238" s="30">
        <f>IF(F238=0, 0, INDEX(tbl_Vulnerability[[0 ft]:[10 ft]], MATCH(Simulation!C238, tbl_Vulnerability[Construction_Class], 0), MATCH(Simulation!F238,{0,1,2,3,5,8,10}, 1)))</f>
        <v>0</v>
      </c>
      <c r="H238" s="4">
        <f t="shared" si="15"/>
        <v>0</v>
      </c>
      <c r="I238" s="33">
        <f t="shared" si="16"/>
        <v>599183.1</v>
      </c>
      <c r="J238" s="33">
        <f t="shared" si="17"/>
        <v>0</v>
      </c>
    </row>
    <row r="239" spans="1:10">
      <c r="A239" s="3">
        <v>10000230</v>
      </c>
      <c r="B239" s="3" t="str">
        <v>Hooghly</v>
      </c>
      <c r="C239" s="3" t="str">
        <v>Unreinforced Masonry</v>
      </c>
      <c r="D239" s="3">
        <v>0</v>
      </c>
      <c r="E239" s="4">
        <v>23227717</v>
      </c>
      <c r="F239" s="3">
        <f t="shared" si="14"/>
        <v>0</v>
      </c>
      <c r="G239" s="30">
        <f>IF(F239=0, 0, INDEX(tbl_Vulnerability[[0 ft]:[10 ft]], MATCH(Simulation!C239, tbl_Vulnerability[Construction_Class], 0), MATCH(Simulation!F239,{0,1,2,3,5,8,10}, 1)))</f>
        <v>0</v>
      </c>
      <c r="H239" s="4">
        <f t="shared" si="15"/>
        <v>0</v>
      </c>
      <c r="I239" s="33">
        <f t="shared" si="16"/>
        <v>1161385.8500000001</v>
      </c>
      <c r="J239" s="33">
        <f t="shared" si="17"/>
        <v>0</v>
      </c>
    </row>
    <row r="240" spans="1:10">
      <c r="A240" s="3">
        <v>10000231</v>
      </c>
      <c r="B240" s="3" t="str">
        <v>Kolkata</v>
      </c>
      <c r="C240" s="3" t="str">
        <v>Unreinforced Masonry</v>
      </c>
      <c r="D240" s="3">
        <v>0</v>
      </c>
      <c r="E240" s="4">
        <v>14647954</v>
      </c>
      <c r="F240" s="3">
        <f t="shared" si="14"/>
        <v>0</v>
      </c>
      <c r="G240" s="30">
        <f>IF(F240=0, 0, INDEX(tbl_Vulnerability[[0 ft]:[10 ft]], MATCH(Simulation!C240, tbl_Vulnerability[Construction_Class], 0), MATCH(Simulation!F240,{0,1,2,3,5,8,10}, 1)))</f>
        <v>0</v>
      </c>
      <c r="H240" s="4">
        <f t="shared" si="15"/>
        <v>0</v>
      </c>
      <c r="I240" s="33">
        <f t="shared" si="16"/>
        <v>732397.70000000007</v>
      </c>
      <c r="J240" s="33">
        <f t="shared" si="17"/>
        <v>0</v>
      </c>
    </row>
    <row r="241" spans="1:10">
      <c r="A241" s="3">
        <v>10000232</v>
      </c>
      <c r="B241" s="3" t="str">
        <v>Jalpaiguri</v>
      </c>
      <c r="C241" s="3" t="str">
        <v>Reinforced Concrete</v>
      </c>
      <c r="D241" s="3">
        <v>4</v>
      </c>
      <c r="E241" s="4">
        <v>3408287</v>
      </c>
      <c r="F241" s="3">
        <f t="shared" si="14"/>
        <v>0</v>
      </c>
      <c r="G241" s="30">
        <f>IF(F241=0, 0, INDEX(tbl_Vulnerability[[0 ft]:[10 ft]], MATCH(Simulation!C241, tbl_Vulnerability[Construction_Class], 0), MATCH(Simulation!F241,{0,1,2,3,5,8,10}, 1)))</f>
        <v>0</v>
      </c>
      <c r="H241" s="4">
        <f t="shared" si="15"/>
        <v>0</v>
      </c>
      <c r="I241" s="33">
        <f t="shared" si="16"/>
        <v>170414.35</v>
      </c>
      <c r="J241" s="33">
        <f t="shared" si="17"/>
        <v>0</v>
      </c>
    </row>
    <row r="242" spans="1:10">
      <c r="A242" s="3">
        <v>10000233</v>
      </c>
      <c r="B242" s="3" t="str">
        <v>Malda</v>
      </c>
      <c r="C242" s="3" t="str">
        <v>Unreinforced Masonry</v>
      </c>
      <c r="D242" s="3">
        <v>2</v>
      </c>
      <c r="E242" s="4">
        <v>4198163</v>
      </c>
      <c r="F242" s="3">
        <f t="shared" si="14"/>
        <v>8</v>
      </c>
      <c r="G242" s="30">
        <f>IF(F242=0, 0, INDEX(tbl_Vulnerability[[0 ft]:[10 ft]], MATCH(Simulation!C242, tbl_Vulnerability[Construction_Class], 0), MATCH(Simulation!F242,{0,1,2,3,5,8,10}, 1)))</f>
        <v>0.9</v>
      </c>
      <c r="H242" s="4">
        <f t="shared" si="15"/>
        <v>3778346.7</v>
      </c>
      <c r="I242" s="33">
        <f t="shared" si="16"/>
        <v>209908.15000000002</v>
      </c>
      <c r="J242" s="33">
        <f t="shared" si="17"/>
        <v>3568438.5500000003</v>
      </c>
    </row>
    <row r="243" spans="1:10">
      <c r="A243" s="3">
        <v>10000234</v>
      </c>
      <c r="B243" s="3" t="str">
        <v>Kolkata</v>
      </c>
      <c r="C243" s="3" t="str">
        <v>Unreinforced Masonry</v>
      </c>
      <c r="D243" s="3">
        <v>2</v>
      </c>
      <c r="E243" s="4">
        <v>9248320</v>
      </c>
      <c r="F243" s="3">
        <f t="shared" si="14"/>
        <v>0</v>
      </c>
      <c r="G243" s="30">
        <f>IF(F243=0, 0, INDEX(tbl_Vulnerability[[0 ft]:[10 ft]], MATCH(Simulation!C243, tbl_Vulnerability[Construction_Class], 0), MATCH(Simulation!F243,{0,1,2,3,5,8,10}, 1)))</f>
        <v>0</v>
      </c>
      <c r="H243" s="4">
        <f t="shared" si="15"/>
        <v>0</v>
      </c>
      <c r="I243" s="33">
        <f t="shared" si="16"/>
        <v>462416</v>
      </c>
      <c r="J243" s="33">
        <f t="shared" si="17"/>
        <v>0</v>
      </c>
    </row>
    <row r="244" spans="1:10">
      <c r="A244" s="3">
        <v>10000235</v>
      </c>
      <c r="B244" s="3" t="str">
        <v>Malda</v>
      </c>
      <c r="C244" s="3" t="str">
        <v>Reinforced Concrete</v>
      </c>
      <c r="D244" s="3">
        <v>5</v>
      </c>
      <c r="E244" s="4">
        <v>38484219</v>
      </c>
      <c r="F244" s="3">
        <f t="shared" si="14"/>
        <v>5</v>
      </c>
      <c r="G244" s="30">
        <f>IF(F244=0, 0, INDEX(tbl_Vulnerability[[0 ft]:[10 ft]], MATCH(Simulation!C244, tbl_Vulnerability[Construction_Class], 0), MATCH(Simulation!F244,{0,1,2,3,5,8,10}, 1)))</f>
        <v>0.2</v>
      </c>
      <c r="H244" s="4">
        <f t="shared" si="15"/>
        <v>7696843.8000000007</v>
      </c>
      <c r="I244" s="33">
        <f t="shared" si="16"/>
        <v>1924210.9500000002</v>
      </c>
      <c r="J244" s="33">
        <f t="shared" si="17"/>
        <v>5772632.8500000006</v>
      </c>
    </row>
    <row r="245" spans="1:10">
      <c r="A245" s="3">
        <v>10000236</v>
      </c>
      <c r="B245" s="3" t="str">
        <v>Jalpaiguri</v>
      </c>
      <c r="C245" s="3" t="str">
        <v>Unreinforced Masonry</v>
      </c>
      <c r="D245" s="3">
        <v>1</v>
      </c>
      <c r="E245" s="4">
        <v>13357036</v>
      </c>
      <c r="F245" s="3">
        <f t="shared" si="14"/>
        <v>0</v>
      </c>
      <c r="G245" s="30">
        <f>IF(F245=0, 0, INDEX(tbl_Vulnerability[[0 ft]:[10 ft]], MATCH(Simulation!C245, tbl_Vulnerability[Construction_Class], 0), MATCH(Simulation!F245,{0,1,2,3,5,8,10}, 1)))</f>
        <v>0</v>
      </c>
      <c r="H245" s="4">
        <f t="shared" si="15"/>
        <v>0</v>
      </c>
      <c r="I245" s="33">
        <f t="shared" si="16"/>
        <v>667851.80000000005</v>
      </c>
      <c r="J245" s="33">
        <f t="shared" si="17"/>
        <v>0</v>
      </c>
    </row>
    <row r="246" spans="1:10">
      <c r="A246" s="3">
        <v>10000237</v>
      </c>
      <c r="B246" s="3" t="str">
        <v>Kolkata</v>
      </c>
      <c r="C246" s="3" t="str">
        <v>Reinforced Concrete</v>
      </c>
      <c r="D246" s="3">
        <v>4</v>
      </c>
      <c r="E246" s="4">
        <v>16682276</v>
      </c>
      <c r="F246" s="3">
        <f t="shared" si="14"/>
        <v>0</v>
      </c>
      <c r="G246" s="30">
        <f>IF(F246=0, 0, INDEX(tbl_Vulnerability[[0 ft]:[10 ft]], MATCH(Simulation!C246, tbl_Vulnerability[Construction_Class], 0), MATCH(Simulation!F246,{0,1,2,3,5,8,10}, 1)))</f>
        <v>0</v>
      </c>
      <c r="H246" s="4">
        <f t="shared" si="15"/>
        <v>0</v>
      </c>
      <c r="I246" s="33">
        <f t="shared" si="16"/>
        <v>834113.8</v>
      </c>
      <c r="J246" s="33">
        <f t="shared" si="17"/>
        <v>0</v>
      </c>
    </row>
    <row r="247" spans="1:10">
      <c r="A247" s="3">
        <v>10000238</v>
      </c>
      <c r="B247" s="3" t="str">
        <v>Kolkata</v>
      </c>
      <c r="C247" s="3" t="str">
        <v>Reinforced Concrete</v>
      </c>
      <c r="D247" s="3">
        <v>3</v>
      </c>
      <c r="E247" s="4">
        <v>44841452</v>
      </c>
      <c r="F247" s="3">
        <f t="shared" si="14"/>
        <v>0</v>
      </c>
      <c r="G247" s="30">
        <f>IF(F247=0, 0, INDEX(tbl_Vulnerability[[0 ft]:[10 ft]], MATCH(Simulation!C247, tbl_Vulnerability[Construction_Class], 0), MATCH(Simulation!F247,{0,1,2,3,5,8,10}, 1)))</f>
        <v>0</v>
      </c>
      <c r="H247" s="4">
        <f t="shared" si="15"/>
        <v>0</v>
      </c>
      <c r="I247" s="33">
        <f t="shared" si="16"/>
        <v>2242072.6</v>
      </c>
      <c r="J247" s="33">
        <f t="shared" si="17"/>
        <v>0</v>
      </c>
    </row>
    <row r="248" spans="1:10">
      <c r="A248" s="3">
        <v>10000239</v>
      </c>
      <c r="B248" s="3" t="str">
        <v>Malda</v>
      </c>
      <c r="C248" s="3" t="str">
        <v>Reinforced Concrete</v>
      </c>
      <c r="D248" s="3">
        <v>4</v>
      </c>
      <c r="E248" s="4">
        <v>34097517</v>
      </c>
      <c r="F248" s="3">
        <f t="shared" si="14"/>
        <v>6</v>
      </c>
      <c r="G248" s="30">
        <f>IF(F248=0, 0, INDEX(tbl_Vulnerability[[0 ft]:[10 ft]], MATCH(Simulation!C248, tbl_Vulnerability[Construction_Class], 0), MATCH(Simulation!F248,{0,1,2,3,5,8,10}, 1)))</f>
        <v>0.2</v>
      </c>
      <c r="H248" s="4">
        <f t="shared" si="15"/>
        <v>6819503.4000000004</v>
      </c>
      <c r="I248" s="33">
        <f t="shared" si="16"/>
        <v>1704875.85</v>
      </c>
      <c r="J248" s="33">
        <f t="shared" si="17"/>
        <v>5114627.5500000007</v>
      </c>
    </row>
    <row r="249" spans="1:10">
      <c r="A249" s="3">
        <v>10000240</v>
      </c>
      <c r="B249" s="3" t="str">
        <v>Malda</v>
      </c>
      <c r="C249" s="3" t="str">
        <v>Reinforced Concrete</v>
      </c>
      <c r="D249" s="3">
        <v>5</v>
      </c>
      <c r="E249" s="4">
        <v>61164443</v>
      </c>
      <c r="F249" s="3">
        <f t="shared" si="14"/>
        <v>5</v>
      </c>
      <c r="G249" s="30">
        <f>IF(F249=0, 0, INDEX(tbl_Vulnerability[[0 ft]:[10 ft]], MATCH(Simulation!C249, tbl_Vulnerability[Construction_Class], 0), MATCH(Simulation!F249,{0,1,2,3,5,8,10}, 1)))</f>
        <v>0.2</v>
      </c>
      <c r="H249" s="4">
        <f t="shared" si="15"/>
        <v>12232888.600000001</v>
      </c>
      <c r="I249" s="33">
        <f t="shared" si="16"/>
        <v>3058222.1500000004</v>
      </c>
      <c r="J249" s="33">
        <f t="shared" si="17"/>
        <v>9174666.4500000011</v>
      </c>
    </row>
    <row r="250" spans="1:10">
      <c r="A250" s="3">
        <v>10000241</v>
      </c>
      <c r="B250" s="3" t="str">
        <v>Hooghly</v>
      </c>
      <c r="C250" s="3" t="str">
        <v>Adobe / Light Timber</v>
      </c>
      <c r="D250" s="3">
        <v>1</v>
      </c>
      <c r="E250" s="4">
        <v>475220</v>
      </c>
      <c r="F250" s="3">
        <f t="shared" si="14"/>
        <v>0</v>
      </c>
      <c r="G250" s="30">
        <f>IF(F250=0, 0, INDEX(tbl_Vulnerability[[0 ft]:[10 ft]], MATCH(Simulation!C250, tbl_Vulnerability[Construction_Class], 0), MATCH(Simulation!F250,{0,1,2,3,5,8,10}, 1)))</f>
        <v>0</v>
      </c>
      <c r="H250" s="4">
        <f t="shared" si="15"/>
        <v>0</v>
      </c>
      <c r="I250" s="33">
        <f t="shared" si="16"/>
        <v>23761</v>
      </c>
      <c r="J250" s="33">
        <f t="shared" si="17"/>
        <v>0</v>
      </c>
    </row>
    <row r="251" spans="1:10">
      <c r="A251" s="3">
        <v>10000242</v>
      </c>
      <c r="B251" s="3" t="str">
        <v>Malda</v>
      </c>
      <c r="C251" s="3" t="str">
        <v>Reinforced Concrete</v>
      </c>
      <c r="D251" s="3">
        <v>4</v>
      </c>
      <c r="E251" s="4">
        <v>19475307</v>
      </c>
      <c r="F251" s="3">
        <f t="shared" si="14"/>
        <v>6</v>
      </c>
      <c r="G251" s="30">
        <f>IF(F251=0, 0, INDEX(tbl_Vulnerability[[0 ft]:[10 ft]], MATCH(Simulation!C251, tbl_Vulnerability[Construction_Class], 0), MATCH(Simulation!F251,{0,1,2,3,5,8,10}, 1)))</f>
        <v>0.2</v>
      </c>
      <c r="H251" s="4">
        <f t="shared" si="15"/>
        <v>3895061.4000000004</v>
      </c>
      <c r="I251" s="33">
        <f t="shared" si="16"/>
        <v>973765.35000000009</v>
      </c>
      <c r="J251" s="33">
        <f t="shared" si="17"/>
        <v>2921296.0500000003</v>
      </c>
    </row>
    <row r="252" spans="1:10">
      <c r="A252" s="3">
        <v>10000243</v>
      </c>
      <c r="B252" s="3" t="str">
        <v>Jalpaiguri</v>
      </c>
      <c r="C252" s="3" t="str">
        <v>Reinforced Concrete</v>
      </c>
      <c r="D252" s="3">
        <v>5</v>
      </c>
      <c r="E252" s="4">
        <v>56160396</v>
      </c>
      <c r="F252" s="3">
        <f t="shared" si="14"/>
        <v>0</v>
      </c>
      <c r="G252" s="30">
        <f>IF(F252=0, 0, INDEX(tbl_Vulnerability[[0 ft]:[10 ft]], MATCH(Simulation!C252, tbl_Vulnerability[Construction_Class], 0), MATCH(Simulation!F252,{0,1,2,3,5,8,10}, 1)))</f>
        <v>0</v>
      </c>
      <c r="H252" s="4">
        <f t="shared" si="15"/>
        <v>0</v>
      </c>
      <c r="I252" s="33">
        <f t="shared" si="16"/>
        <v>2808019.8000000003</v>
      </c>
      <c r="J252" s="33">
        <f t="shared" si="17"/>
        <v>0</v>
      </c>
    </row>
    <row r="253" spans="1:10">
      <c r="A253" s="3">
        <v>10000244</v>
      </c>
      <c r="B253" s="3" t="str">
        <v>Hooghly</v>
      </c>
      <c r="C253" s="3" t="str">
        <v>Unreinforced Masonry</v>
      </c>
      <c r="D253" s="3">
        <v>2</v>
      </c>
      <c r="E253" s="4">
        <v>16714080</v>
      </c>
      <c r="F253" s="3">
        <f t="shared" si="14"/>
        <v>0</v>
      </c>
      <c r="G253" s="30">
        <f>IF(F253=0, 0, INDEX(tbl_Vulnerability[[0 ft]:[10 ft]], MATCH(Simulation!C253, tbl_Vulnerability[Construction_Class], 0), MATCH(Simulation!F253,{0,1,2,3,5,8,10}, 1)))</f>
        <v>0</v>
      </c>
      <c r="H253" s="4">
        <f t="shared" si="15"/>
        <v>0</v>
      </c>
      <c r="I253" s="33">
        <f t="shared" si="16"/>
        <v>835704</v>
      </c>
      <c r="J253" s="33">
        <f t="shared" si="17"/>
        <v>0</v>
      </c>
    </row>
    <row r="254" spans="1:10">
      <c r="A254" s="3">
        <v>10000245</v>
      </c>
      <c r="B254" s="3" t="str">
        <v>Hooghly</v>
      </c>
      <c r="C254" s="3" t="str">
        <v>Reinforced Concrete</v>
      </c>
      <c r="D254" s="3">
        <v>4</v>
      </c>
      <c r="E254" s="4">
        <v>46115172</v>
      </c>
      <c r="F254" s="3">
        <f t="shared" si="14"/>
        <v>0</v>
      </c>
      <c r="G254" s="30">
        <f>IF(F254=0, 0, INDEX(tbl_Vulnerability[[0 ft]:[10 ft]], MATCH(Simulation!C254, tbl_Vulnerability[Construction_Class], 0), MATCH(Simulation!F254,{0,1,2,3,5,8,10}, 1)))</f>
        <v>0</v>
      </c>
      <c r="H254" s="4">
        <f t="shared" si="15"/>
        <v>0</v>
      </c>
      <c r="I254" s="33">
        <f t="shared" si="16"/>
        <v>2305758.6</v>
      </c>
      <c r="J254" s="33">
        <f t="shared" si="17"/>
        <v>0</v>
      </c>
    </row>
    <row r="255" spans="1:10">
      <c r="A255" s="3">
        <v>10000246</v>
      </c>
      <c r="B255" s="3" t="str">
        <v>South 24 Parganas</v>
      </c>
      <c r="C255" s="3" t="str">
        <v>Reinforced Concrete</v>
      </c>
      <c r="D255" s="3">
        <v>5</v>
      </c>
      <c r="E255" s="4">
        <v>4480666</v>
      </c>
      <c r="F255" s="3">
        <f t="shared" si="14"/>
        <v>0</v>
      </c>
      <c r="G255" s="30">
        <f>IF(F255=0, 0, INDEX(tbl_Vulnerability[[0 ft]:[10 ft]], MATCH(Simulation!C255, tbl_Vulnerability[Construction_Class], 0), MATCH(Simulation!F255,{0,1,2,3,5,8,10}, 1)))</f>
        <v>0</v>
      </c>
      <c r="H255" s="4">
        <f t="shared" si="15"/>
        <v>0</v>
      </c>
      <c r="I255" s="33">
        <f t="shared" si="16"/>
        <v>224033.30000000002</v>
      </c>
      <c r="J255" s="33">
        <f t="shared" si="17"/>
        <v>0</v>
      </c>
    </row>
    <row r="256" spans="1:10">
      <c r="A256" s="3">
        <v>10000247</v>
      </c>
      <c r="B256" s="3" t="str">
        <v>Paschim Medinipur</v>
      </c>
      <c r="C256" s="3" t="str">
        <v>Adobe / Light Timber</v>
      </c>
      <c r="D256" s="3">
        <v>0</v>
      </c>
      <c r="E256" s="4">
        <v>555509</v>
      </c>
      <c r="F256" s="3">
        <f t="shared" si="14"/>
        <v>0</v>
      </c>
      <c r="G256" s="30">
        <f>IF(F256=0, 0, INDEX(tbl_Vulnerability[[0 ft]:[10 ft]], MATCH(Simulation!C256, tbl_Vulnerability[Construction_Class], 0), MATCH(Simulation!F256,{0,1,2,3,5,8,10}, 1)))</f>
        <v>0</v>
      </c>
      <c r="H256" s="4">
        <f t="shared" si="15"/>
        <v>0</v>
      </c>
      <c r="I256" s="33">
        <f t="shared" si="16"/>
        <v>27775.45</v>
      </c>
      <c r="J256" s="33">
        <f t="shared" si="17"/>
        <v>0</v>
      </c>
    </row>
    <row r="257" spans="1:10">
      <c r="A257" s="3">
        <v>10000248</v>
      </c>
      <c r="B257" s="3" t="str">
        <v>Paschim Medinipur</v>
      </c>
      <c r="C257" s="3" t="str">
        <v>Reinforced Concrete</v>
      </c>
      <c r="D257" s="3">
        <v>5</v>
      </c>
      <c r="E257" s="4">
        <v>47648429</v>
      </c>
      <c r="F257" s="3">
        <f t="shared" si="14"/>
        <v>0</v>
      </c>
      <c r="G257" s="30">
        <f>IF(F257=0, 0, INDEX(tbl_Vulnerability[[0 ft]:[10 ft]], MATCH(Simulation!C257, tbl_Vulnerability[Construction_Class], 0), MATCH(Simulation!F257,{0,1,2,3,5,8,10}, 1)))</f>
        <v>0</v>
      </c>
      <c r="H257" s="4">
        <f t="shared" si="15"/>
        <v>0</v>
      </c>
      <c r="I257" s="33">
        <f t="shared" si="16"/>
        <v>2382421.4500000002</v>
      </c>
      <c r="J257" s="33">
        <f t="shared" si="17"/>
        <v>0</v>
      </c>
    </row>
    <row r="258" spans="1:10">
      <c r="A258" s="3">
        <v>10000249</v>
      </c>
      <c r="B258" s="3" t="str">
        <v>Jalpaiguri</v>
      </c>
      <c r="C258" s="3" t="str">
        <v>Reinforced Concrete</v>
      </c>
      <c r="D258" s="3">
        <v>5</v>
      </c>
      <c r="E258" s="4">
        <v>28683365</v>
      </c>
      <c r="F258" s="3">
        <f t="shared" si="14"/>
        <v>0</v>
      </c>
      <c r="G258" s="30">
        <f>IF(F258=0, 0, INDEX(tbl_Vulnerability[[0 ft]:[10 ft]], MATCH(Simulation!C258, tbl_Vulnerability[Construction_Class], 0), MATCH(Simulation!F258,{0,1,2,3,5,8,10}, 1)))</f>
        <v>0</v>
      </c>
      <c r="H258" s="4">
        <f t="shared" si="15"/>
        <v>0</v>
      </c>
      <c r="I258" s="33">
        <f t="shared" si="16"/>
        <v>1434168.25</v>
      </c>
      <c r="J258" s="33">
        <f t="shared" si="17"/>
        <v>0</v>
      </c>
    </row>
    <row r="259" spans="1:10">
      <c r="A259" s="3">
        <v>10000250</v>
      </c>
      <c r="B259" s="3" t="str">
        <v>Hooghly</v>
      </c>
      <c r="C259" s="3" t="str">
        <v>Adobe / Light Timber</v>
      </c>
      <c r="D259" s="3">
        <v>1</v>
      </c>
      <c r="E259" s="4">
        <v>591609</v>
      </c>
      <c r="F259" s="3">
        <f t="shared" si="14"/>
        <v>0</v>
      </c>
      <c r="G259" s="30">
        <f>IF(F259=0, 0, INDEX(tbl_Vulnerability[[0 ft]:[10 ft]], MATCH(Simulation!C259, tbl_Vulnerability[Construction_Class], 0), MATCH(Simulation!F259,{0,1,2,3,5,8,10}, 1)))</f>
        <v>0</v>
      </c>
      <c r="H259" s="4">
        <f t="shared" si="15"/>
        <v>0</v>
      </c>
      <c r="I259" s="33">
        <f t="shared" si="16"/>
        <v>29580.45</v>
      </c>
      <c r="J259" s="33">
        <f t="shared" si="17"/>
        <v>0</v>
      </c>
    </row>
    <row r="260" spans="1:10">
      <c r="A260" s="3">
        <v>10000251</v>
      </c>
      <c r="B260" s="3" t="str">
        <v>Kolkata</v>
      </c>
      <c r="C260" s="3" t="str">
        <v>Reinforced Concrete</v>
      </c>
      <c r="D260" s="3">
        <v>3</v>
      </c>
      <c r="E260" s="4">
        <v>42493551</v>
      </c>
      <c r="F260" s="3">
        <f t="shared" si="14"/>
        <v>0</v>
      </c>
      <c r="G260" s="30">
        <f>IF(F260=0, 0, INDEX(tbl_Vulnerability[[0 ft]:[10 ft]], MATCH(Simulation!C260, tbl_Vulnerability[Construction_Class], 0), MATCH(Simulation!F260,{0,1,2,3,5,8,10}, 1)))</f>
        <v>0</v>
      </c>
      <c r="H260" s="4">
        <f t="shared" si="15"/>
        <v>0</v>
      </c>
      <c r="I260" s="33">
        <f t="shared" si="16"/>
        <v>2124677.5500000003</v>
      </c>
      <c r="J260" s="33">
        <f t="shared" si="17"/>
        <v>0</v>
      </c>
    </row>
    <row r="261" spans="1:10">
      <c r="A261" s="3">
        <v>10000252</v>
      </c>
      <c r="B261" s="3" t="str">
        <v>Malda</v>
      </c>
      <c r="C261" s="3" t="str">
        <v>Reinforced Concrete</v>
      </c>
      <c r="D261" s="3">
        <v>3</v>
      </c>
      <c r="E261" s="4">
        <v>50782008</v>
      </c>
      <c r="F261" s="3">
        <f t="shared" si="14"/>
        <v>7</v>
      </c>
      <c r="G261" s="30">
        <f>IF(F261=0, 0, INDEX(tbl_Vulnerability[[0 ft]:[10 ft]], MATCH(Simulation!C261, tbl_Vulnerability[Construction_Class], 0), MATCH(Simulation!F261,{0,1,2,3,5,8,10}, 1)))</f>
        <v>0.2</v>
      </c>
      <c r="H261" s="4">
        <f t="shared" si="15"/>
        <v>10156401.600000001</v>
      </c>
      <c r="I261" s="33">
        <f t="shared" si="16"/>
        <v>2539100.4000000004</v>
      </c>
      <c r="J261" s="33">
        <f t="shared" si="17"/>
        <v>7617301.2000000011</v>
      </c>
    </row>
    <row r="262" spans="1:10">
      <c r="A262" s="3">
        <v>10000253</v>
      </c>
      <c r="B262" s="3" t="str">
        <v>Paschim Medinipur</v>
      </c>
      <c r="C262" s="3" t="str">
        <v>Unreinforced Masonry</v>
      </c>
      <c r="D262" s="3">
        <v>1</v>
      </c>
      <c r="E262" s="4">
        <v>3077671</v>
      </c>
      <c r="F262" s="3">
        <f t="shared" si="14"/>
        <v>0</v>
      </c>
      <c r="G262" s="30">
        <f>IF(F262=0, 0, INDEX(tbl_Vulnerability[[0 ft]:[10 ft]], MATCH(Simulation!C262, tbl_Vulnerability[Construction_Class], 0), MATCH(Simulation!F262,{0,1,2,3,5,8,10}, 1)))</f>
        <v>0</v>
      </c>
      <c r="H262" s="4">
        <f t="shared" si="15"/>
        <v>0</v>
      </c>
      <c r="I262" s="33">
        <f t="shared" si="16"/>
        <v>153883.55000000002</v>
      </c>
      <c r="J262" s="33">
        <f t="shared" si="17"/>
        <v>0</v>
      </c>
    </row>
    <row r="263" spans="1:10">
      <c r="A263" s="3">
        <v>10000254</v>
      </c>
      <c r="B263" s="3" t="str">
        <v>Paschim Medinipur</v>
      </c>
      <c r="C263" s="3" t="str">
        <v>Reinforced Concrete</v>
      </c>
      <c r="D263" s="3">
        <v>5</v>
      </c>
      <c r="E263" s="4">
        <v>51936306</v>
      </c>
      <c r="F263" s="3">
        <f t="shared" si="14"/>
        <v>0</v>
      </c>
      <c r="G263" s="30">
        <f>IF(F263=0, 0, INDEX(tbl_Vulnerability[[0 ft]:[10 ft]], MATCH(Simulation!C263, tbl_Vulnerability[Construction_Class], 0), MATCH(Simulation!F263,{0,1,2,3,5,8,10}, 1)))</f>
        <v>0</v>
      </c>
      <c r="H263" s="4">
        <f t="shared" si="15"/>
        <v>0</v>
      </c>
      <c r="I263" s="33">
        <f t="shared" si="16"/>
        <v>2596815.3000000003</v>
      </c>
      <c r="J263" s="33">
        <f t="shared" si="17"/>
        <v>0</v>
      </c>
    </row>
    <row r="264" spans="1:10">
      <c r="A264" s="3">
        <v>10000255</v>
      </c>
      <c r="B264" s="3" t="str">
        <v>Malda</v>
      </c>
      <c r="C264" s="3" t="str">
        <v>Adobe / Light Timber</v>
      </c>
      <c r="D264" s="3">
        <v>0</v>
      </c>
      <c r="E264" s="4">
        <v>416654</v>
      </c>
      <c r="F264" s="3">
        <f t="shared" si="14"/>
        <v>10</v>
      </c>
      <c r="G264" s="30">
        <f>IF(F264=0, 0, INDEX(tbl_Vulnerability[[0 ft]:[10 ft]], MATCH(Simulation!C264, tbl_Vulnerability[Construction_Class], 0), MATCH(Simulation!F264,{0,1,2,3,5,8,10}, 1)))</f>
        <v>1</v>
      </c>
      <c r="H264" s="4">
        <f t="shared" si="15"/>
        <v>416654</v>
      </c>
      <c r="I264" s="33">
        <f t="shared" si="16"/>
        <v>20832.7</v>
      </c>
      <c r="J264" s="33">
        <f t="shared" si="17"/>
        <v>395821.3</v>
      </c>
    </row>
    <row r="265" spans="1:10">
      <c r="A265" s="3">
        <v>10000256</v>
      </c>
      <c r="B265" s="3" t="str">
        <v>Jalpaiguri</v>
      </c>
      <c r="C265" s="3" t="str">
        <v>Unreinforced Masonry</v>
      </c>
      <c r="D265" s="3">
        <v>0</v>
      </c>
      <c r="E265" s="4">
        <v>18636010</v>
      </c>
      <c r="F265" s="3">
        <f t="shared" si="14"/>
        <v>0</v>
      </c>
      <c r="G265" s="30">
        <f>IF(F265=0, 0, INDEX(tbl_Vulnerability[[0 ft]:[10 ft]], MATCH(Simulation!C265, tbl_Vulnerability[Construction_Class], 0), MATCH(Simulation!F265,{0,1,2,3,5,8,10}, 1)))</f>
        <v>0</v>
      </c>
      <c r="H265" s="4">
        <f t="shared" si="15"/>
        <v>0</v>
      </c>
      <c r="I265" s="33">
        <f t="shared" si="16"/>
        <v>931800.5</v>
      </c>
      <c r="J265" s="33">
        <f t="shared" si="17"/>
        <v>0</v>
      </c>
    </row>
    <row r="266" spans="1:10">
      <c r="A266" s="3">
        <v>10000257</v>
      </c>
      <c r="B266" s="3" t="str">
        <v>Hooghly</v>
      </c>
      <c r="C266" s="3" t="str">
        <v>Unreinforced Masonry</v>
      </c>
      <c r="D266" s="3">
        <v>0</v>
      </c>
      <c r="E266" s="4">
        <v>21154021</v>
      </c>
      <c r="F266" s="3">
        <f t="shared" si="14"/>
        <v>0</v>
      </c>
      <c r="G266" s="30">
        <f>IF(F266=0, 0, INDEX(tbl_Vulnerability[[0 ft]:[10 ft]], MATCH(Simulation!C266, tbl_Vulnerability[Construction_Class], 0), MATCH(Simulation!F266,{0,1,2,3,5,8,10}, 1)))</f>
        <v>0</v>
      </c>
      <c r="H266" s="4">
        <f t="shared" si="15"/>
        <v>0</v>
      </c>
      <c r="I266" s="33">
        <f t="shared" si="16"/>
        <v>1057701.05</v>
      </c>
      <c r="J266" s="33">
        <f t="shared" si="17"/>
        <v>0</v>
      </c>
    </row>
    <row r="267" spans="1:10">
      <c r="A267" s="3">
        <v>10000258</v>
      </c>
      <c r="B267" s="3" t="str">
        <v>Hooghly</v>
      </c>
      <c r="C267" s="3" t="str">
        <v>Unreinforced Masonry</v>
      </c>
      <c r="D267" s="3">
        <v>2</v>
      </c>
      <c r="E267" s="4">
        <v>13217647</v>
      </c>
      <c r="F267" s="3">
        <f t="shared" ref="F267:F330" si="18">IF(B267=$B$2, MAX(0, $B$3 - D267), 0)</f>
        <v>0</v>
      </c>
      <c r="G267" s="30">
        <f>IF(F267=0, 0, INDEX(tbl_Vulnerability[[0 ft]:[10 ft]], MATCH(Simulation!C267, tbl_Vulnerability[Construction_Class], 0), MATCH(Simulation!F267,{0,1,2,3,5,8,10}, 1)))</f>
        <v>0</v>
      </c>
      <c r="H267" s="4">
        <f t="shared" ref="H267:H330" si="19">E267*G267</f>
        <v>0</v>
      </c>
      <c r="I267" s="33">
        <f t="shared" ref="I267:I330" si="20">E267*$B$4</f>
        <v>660882.35000000009</v>
      </c>
      <c r="J267" s="33">
        <f t="shared" ref="J267:J330" si="21">MAX(0, H267 - I267)</f>
        <v>0</v>
      </c>
    </row>
    <row r="268" spans="1:10">
      <c r="A268" s="3">
        <v>10000259</v>
      </c>
      <c r="B268" s="3" t="str">
        <v>Paschim Medinipur</v>
      </c>
      <c r="C268" s="3" t="str">
        <v>Reinforced Concrete</v>
      </c>
      <c r="D268" s="3">
        <v>3</v>
      </c>
      <c r="E268" s="4">
        <v>9511285</v>
      </c>
      <c r="F268" s="3">
        <f t="shared" si="18"/>
        <v>0</v>
      </c>
      <c r="G268" s="30">
        <f>IF(F268=0, 0, INDEX(tbl_Vulnerability[[0 ft]:[10 ft]], MATCH(Simulation!C268, tbl_Vulnerability[Construction_Class], 0), MATCH(Simulation!F268,{0,1,2,3,5,8,10}, 1)))</f>
        <v>0</v>
      </c>
      <c r="H268" s="4">
        <f t="shared" si="19"/>
        <v>0</v>
      </c>
      <c r="I268" s="33">
        <f t="shared" si="20"/>
        <v>475564.25</v>
      </c>
      <c r="J268" s="33">
        <f t="shared" si="21"/>
        <v>0</v>
      </c>
    </row>
    <row r="269" spans="1:10">
      <c r="A269" s="3">
        <v>10000260</v>
      </c>
      <c r="B269" s="3" t="str">
        <v>Malda</v>
      </c>
      <c r="C269" s="3" t="str">
        <v>Unreinforced Masonry</v>
      </c>
      <c r="D269" s="3">
        <v>2</v>
      </c>
      <c r="E269" s="4">
        <v>4368806</v>
      </c>
      <c r="F269" s="3">
        <f t="shared" si="18"/>
        <v>8</v>
      </c>
      <c r="G269" s="30">
        <f>IF(F269=0, 0, INDEX(tbl_Vulnerability[[0 ft]:[10 ft]], MATCH(Simulation!C269, tbl_Vulnerability[Construction_Class], 0), MATCH(Simulation!F269,{0,1,2,3,5,8,10}, 1)))</f>
        <v>0.9</v>
      </c>
      <c r="H269" s="4">
        <f t="shared" si="19"/>
        <v>3931925.4</v>
      </c>
      <c r="I269" s="33">
        <f t="shared" si="20"/>
        <v>218440.30000000002</v>
      </c>
      <c r="J269" s="33">
        <f t="shared" si="21"/>
        <v>3713485.1</v>
      </c>
    </row>
    <row r="270" spans="1:10">
      <c r="A270" s="3">
        <v>10000261</v>
      </c>
      <c r="B270" s="3" t="str">
        <v>Hooghly</v>
      </c>
      <c r="C270" s="3" t="str">
        <v>Adobe / Light Timber</v>
      </c>
      <c r="D270" s="3">
        <v>1</v>
      </c>
      <c r="E270" s="4">
        <v>538062</v>
      </c>
      <c r="F270" s="3">
        <f t="shared" si="18"/>
        <v>0</v>
      </c>
      <c r="G270" s="30">
        <f>IF(F270=0, 0, INDEX(tbl_Vulnerability[[0 ft]:[10 ft]], MATCH(Simulation!C270, tbl_Vulnerability[Construction_Class], 0), MATCH(Simulation!F270,{0,1,2,3,5,8,10}, 1)))</f>
        <v>0</v>
      </c>
      <c r="H270" s="4">
        <f t="shared" si="19"/>
        <v>0</v>
      </c>
      <c r="I270" s="33">
        <f t="shared" si="20"/>
        <v>26903.100000000002</v>
      </c>
      <c r="J270" s="33">
        <f t="shared" si="21"/>
        <v>0</v>
      </c>
    </row>
    <row r="271" spans="1:10">
      <c r="A271" s="3">
        <v>10000262</v>
      </c>
      <c r="B271" s="3" t="str">
        <v>South 24 Parganas</v>
      </c>
      <c r="C271" s="3" t="str">
        <v>Unreinforced Masonry</v>
      </c>
      <c r="D271" s="3">
        <v>1</v>
      </c>
      <c r="E271" s="4">
        <v>3296559</v>
      </c>
      <c r="F271" s="3">
        <f t="shared" si="18"/>
        <v>0</v>
      </c>
      <c r="G271" s="30">
        <f>IF(F271=0, 0, INDEX(tbl_Vulnerability[[0 ft]:[10 ft]], MATCH(Simulation!C271, tbl_Vulnerability[Construction_Class], 0), MATCH(Simulation!F271,{0,1,2,3,5,8,10}, 1)))</f>
        <v>0</v>
      </c>
      <c r="H271" s="4">
        <f t="shared" si="19"/>
        <v>0</v>
      </c>
      <c r="I271" s="33">
        <f t="shared" si="20"/>
        <v>164827.95000000001</v>
      </c>
      <c r="J271" s="33">
        <f t="shared" si="21"/>
        <v>0</v>
      </c>
    </row>
    <row r="272" spans="1:10">
      <c r="A272" s="3">
        <v>10000263</v>
      </c>
      <c r="B272" s="3" t="str">
        <v>Kolkata</v>
      </c>
      <c r="C272" s="3" t="str">
        <v>Unreinforced Masonry</v>
      </c>
      <c r="D272" s="3">
        <v>2</v>
      </c>
      <c r="E272" s="4">
        <v>8600993</v>
      </c>
      <c r="F272" s="3">
        <f t="shared" si="18"/>
        <v>0</v>
      </c>
      <c r="G272" s="30">
        <f>IF(F272=0, 0, INDEX(tbl_Vulnerability[[0 ft]:[10 ft]], MATCH(Simulation!C272, tbl_Vulnerability[Construction_Class], 0), MATCH(Simulation!F272,{0,1,2,3,5,8,10}, 1)))</f>
        <v>0</v>
      </c>
      <c r="H272" s="4">
        <f t="shared" si="19"/>
        <v>0</v>
      </c>
      <c r="I272" s="33">
        <f t="shared" si="20"/>
        <v>430049.65</v>
      </c>
      <c r="J272" s="33">
        <f t="shared" si="21"/>
        <v>0</v>
      </c>
    </row>
    <row r="273" spans="1:10">
      <c r="A273" s="3">
        <v>10000264</v>
      </c>
      <c r="B273" s="3" t="str">
        <v>Hooghly</v>
      </c>
      <c r="C273" s="3" t="str">
        <v>Reinforced Concrete</v>
      </c>
      <c r="D273" s="3">
        <v>5</v>
      </c>
      <c r="E273" s="4">
        <v>200000</v>
      </c>
      <c r="F273" s="3">
        <f t="shared" si="18"/>
        <v>0</v>
      </c>
      <c r="G273" s="30">
        <f>IF(F273=0, 0, INDEX(tbl_Vulnerability[[0 ft]:[10 ft]], MATCH(Simulation!C273, tbl_Vulnerability[Construction_Class], 0), MATCH(Simulation!F273,{0,1,2,3,5,8,10}, 1)))</f>
        <v>0</v>
      </c>
      <c r="H273" s="4">
        <f t="shared" si="19"/>
        <v>0</v>
      </c>
      <c r="I273" s="33">
        <f t="shared" si="20"/>
        <v>10000</v>
      </c>
      <c r="J273" s="33">
        <f t="shared" si="21"/>
        <v>0</v>
      </c>
    </row>
    <row r="274" spans="1:10">
      <c r="A274" s="3">
        <v>10000265</v>
      </c>
      <c r="B274" s="3" t="str">
        <v>Hooghly</v>
      </c>
      <c r="C274" s="3" t="str">
        <v>Unreinforced Masonry</v>
      </c>
      <c r="D274" s="3">
        <v>2</v>
      </c>
      <c r="E274" s="4">
        <v>21067762</v>
      </c>
      <c r="F274" s="3">
        <f t="shared" si="18"/>
        <v>0</v>
      </c>
      <c r="G274" s="30">
        <f>IF(F274=0, 0, INDEX(tbl_Vulnerability[[0 ft]:[10 ft]], MATCH(Simulation!C274, tbl_Vulnerability[Construction_Class], 0), MATCH(Simulation!F274,{0,1,2,3,5,8,10}, 1)))</f>
        <v>0</v>
      </c>
      <c r="H274" s="4">
        <f t="shared" si="19"/>
        <v>0</v>
      </c>
      <c r="I274" s="33">
        <f t="shared" si="20"/>
        <v>1053388.1000000001</v>
      </c>
      <c r="J274" s="33">
        <f t="shared" si="21"/>
        <v>0</v>
      </c>
    </row>
    <row r="275" spans="1:10">
      <c r="A275" s="3">
        <v>10000266</v>
      </c>
      <c r="B275" s="3" t="str">
        <v>Malda</v>
      </c>
      <c r="C275" s="3" t="str">
        <v>Adobe / Light Timber</v>
      </c>
      <c r="D275" s="3">
        <v>0</v>
      </c>
      <c r="E275" s="4">
        <v>636755</v>
      </c>
      <c r="F275" s="3">
        <f t="shared" si="18"/>
        <v>10</v>
      </c>
      <c r="G275" s="30">
        <f>IF(F275=0, 0, INDEX(tbl_Vulnerability[[0 ft]:[10 ft]], MATCH(Simulation!C275, tbl_Vulnerability[Construction_Class], 0), MATCH(Simulation!F275,{0,1,2,3,5,8,10}, 1)))</f>
        <v>1</v>
      </c>
      <c r="H275" s="4">
        <f t="shared" si="19"/>
        <v>636755</v>
      </c>
      <c r="I275" s="33">
        <f t="shared" si="20"/>
        <v>31837.75</v>
      </c>
      <c r="J275" s="33">
        <f t="shared" si="21"/>
        <v>604917.25</v>
      </c>
    </row>
    <row r="276" spans="1:10">
      <c r="A276" s="3">
        <v>10000267</v>
      </c>
      <c r="B276" s="3" t="str">
        <v>Hooghly</v>
      </c>
      <c r="C276" s="3" t="str">
        <v>Reinforced Concrete</v>
      </c>
      <c r="D276" s="3">
        <v>5</v>
      </c>
      <c r="E276" s="4">
        <v>8444212</v>
      </c>
      <c r="F276" s="3">
        <f t="shared" si="18"/>
        <v>0</v>
      </c>
      <c r="G276" s="30">
        <f>IF(F276=0, 0, INDEX(tbl_Vulnerability[[0 ft]:[10 ft]], MATCH(Simulation!C276, tbl_Vulnerability[Construction_Class], 0), MATCH(Simulation!F276,{0,1,2,3,5,8,10}, 1)))</f>
        <v>0</v>
      </c>
      <c r="H276" s="4">
        <f t="shared" si="19"/>
        <v>0</v>
      </c>
      <c r="I276" s="33">
        <f t="shared" si="20"/>
        <v>422210.60000000003</v>
      </c>
      <c r="J276" s="33">
        <f t="shared" si="21"/>
        <v>0</v>
      </c>
    </row>
    <row r="277" spans="1:10">
      <c r="A277" s="3">
        <v>10000268</v>
      </c>
      <c r="B277" s="3" t="str">
        <v>Kolkata</v>
      </c>
      <c r="C277" s="3" t="str">
        <v>Reinforced Concrete</v>
      </c>
      <c r="D277" s="3">
        <v>5</v>
      </c>
      <c r="E277" s="4">
        <v>59008645</v>
      </c>
      <c r="F277" s="3">
        <f t="shared" si="18"/>
        <v>0</v>
      </c>
      <c r="G277" s="30">
        <f>IF(F277=0, 0, INDEX(tbl_Vulnerability[[0 ft]:[10 ft]], MATCH(Simulation!C277, tbl_Vulnerability[Construction_Class], 0), MATCH(Simulation!F277,{0,1,2,3,5,8,10}, 1)))</f>
        <v>0</v>
      </c>
      <c r="H277" s="4">
        <f t="shared" si="19"/>
        <v>0</v>
      </c>
      <c r="I277" s="33">
        <f t="shared" si="20"/>
        <v>2950432.25</v>
      </c>
      <c r="J277" s="33">
        <f t="shared" si="21"/>
        <v>0</v>
      </c>
    </row>
    <row r="278" spans="1:10">
      <c r="A278" s="3">
        <v>10000269</v>
      </c>
      <c r="B278" s="3" t="str">
        <v>Jalpaiguri</v>
      </c>
      <c r="C278" s="3" t="str">
        <v>Reinforced Concrete</v>
      </c>
      <c r="D278" s="3">
        <v>5</v>
      </c>
      <c r="E278" s="4">
        <v>38278672</v>
      </c>
      <c r="F278" s="3">
        <f t="shared" si="18"/>
        <v>0</v>
      </c>
      <c r="G278" s="30">
        <f>IF(F278=0, 0, INDEX(tbl_Vulnerability[[0 ft]:[10 ft]], MATCH(Simulation!C278, tbl_Vulnerability[Construction_Class], 0), MATCH(Simulation!F278,{0,1,2,3,5,8,10}, 1)))</f>
        <v>0</v>
      </c>
      <c r="H278" s="4">
        <f t="shared" si="19"/>
        <v>0</v>
      </c>
      <c r="I278" s="33">
        <f t="shared" si="20"/>
        <v>1913933.6</v>
      </c>
      <c r="J278" s="33">
        <f t="shared" si="21"/>
        <v>0</v>
      </c>
    </row>
    <row r="279" spans="1:10">
      <c r="A279" s="3">
        <v>10000270</v>
      </c>
      <c r="B279" s="3" t="str">
        <v>Kolkata</v>
      </c>
      <c r="C279" s="3" t="str">
        <v>Unreinforced Masonry</v>
      </c>
      <c r="D279" s="3">
        <v>0</v>
      </c>
      <c r="E279" s="4">
        <v>3995072</v>
      </c>
      <c r="F279" s="3">
        <f t="shared" si="18"/>
        <v>0</v>
      </c>
      <c r="G279" s="30">
        <f>IF(F279=0, 0, INDEX(tbl_Vulnerability[[0 ft]:[10 ft]], MATCH(Simulation!C279, tbl_Vulnerability[Construction_Class], 0), MATCH(Simulation!F279,{0,1,2,3,5,8,10}, 1)))</f>
        <v>0</v>
      </c>
      <c r="H279" s="4">
        <f t="shared" si="19"/>
        <v>0</v>
      </c>
      <c r="I279" s="33">
        <f t="shared" si="20"/>
        <v>199753.60000000001</v>
      </c>
      <c r="J279" s="33">
        <f t="shared" si="21"/>
        <v>0</v>
      </c>
    </row>
    <row r="280" spans="1:10">
      <c r="A280" s="3">
        <v>10000271</v>
      </c>
      <c r="B280" s="3" t="str">
        <v>Paschim Medinipur</v>
      </c>
      <c r="C280" s="3" t="str">
        <v>Reinforced Concrete</v>
      </c>
      <c r="D280" s="3">
        <v>3</v>
      </c>
      <c r="E280" s="4">
        <v>15991445</v>
      </c>
      <c r="F280" s="3">
        <f t="shared" si="18"/>
        <v>0</v>
      </c>
      <c r="G280" s="30">
        <f>IF(F280=0, 0, INDEX(tbl_Vulnerability[[0 ft]:[10 ft]], MATCH(Simulation!C280, tbl_Vulnerability[Construction_Class], 0), MATCH(Simulation!F280,{0,1,2,3,5,8,10}, 1)))</f>
        <v>0</v>
      </c>
      <c r="H280" s="4">
        <f t="shared" si="19"/>
        <v>0</v>
      </c>
      <c r="I280" s="33">
        <f t="shared" si="20"/>
        <v>799572.25</v>
      </c>
      <c r="J280" s="33">
        <f t="shared" si="21"/>
        <v>0</v>
      </c>
    </row>
    <row r="281" spans="1:10">
      <c r="A281" s="3">
        <v>10000272</v>
      </c>
      <c r="B281" s="3" t="str">
        <v>Jalpaiguri</v>
      </c>
      <c r="C281" s="3" t="str">
        <v>Adobe / Light Timber</v>
      </c>
      <c r="D281" s="3">
        <v>0</v>
      </c>
      <c r="E281" s="4">
        <v>343875</v>
      </c>
      <c r="F281" s="3">
        <f t="shared" si="18"/>
        <v>0</v>
      </c>
      <c r="G281" s="30">
        <f>IF(F281=0, 0, INDEX(tbl_Vulnerability[[0 ft]:[10 ft]], MATCH(Simulation!C281, tbl_Vulnerability[Construction_Class], 0), MATCH(Simulation!F281,{0,1,2,3,5,8,10}, 1)))</f>
        <v>0</v>
      </c>
      <c r="H281" s="4">
        <f t="shared" si="19"/>
        <v>0</v>
      </c>
      <c r="I281" s="33">
        <f t="shared" si="20"/>
        <v>17193.75</v>
      </c>
      <c r="J281" s="33">
        <f t="shared" si="21"/>
        <v>0</v>
      </c>
    </row>
    <row r="282" spans="1:10">
      <c r="A282" s="3">
        <v>10000273</v>
      </c>
      <c r="B282" s="3" t="str">
        <v>Paschim Medinipur</v>
      </c>
      <c r="C282" s="3" t="str">
        <v>Reinforced Concrete</v>
      </c>
      <c r="D282" s="3">
        <v>4</v>
      </c>
      <c r="E282" s="4">
        <v>11935673</v>
      </c>
      <c r="F282" s="3">
        <f t="shared" si="18"/>
        <v>0</v>
      </c>
      <c r="G282" s="30">
        <f>IF(F282=0, 0, INDEX(tbl_Vulnerability[[0 ft]:[10 ft]], MATCH(Simulation!C282, tbl_Vulnerability[Construction_Class], 0), MATCH(Simulation!F282,{0,1,2,3,5,8,10}, 1)))</f>
        <v>0</v>
      </c>
      <c r="H282" s="4">
        <f t="shared" si="19"/>
        <v>0</v>
      </c>
      <c r="I282" s="33">
        <f t="shared" si="20"/>
        <v>596783.65</v>
      </c>
      <c r="J282" s="33">
        <f t="shared" si="21"/>
        <v>0</v>
      </c>
    </row>
    <row r="283" spans="1:10">
      <c r="A283" s="3">
        <v>10000274</v>
      </c>
      <c r="B283" s="3" t="str">
        <v>Jalpaiguri</v>
      </c>
      <c r="C283" s="3" t="str">
        <v>Reinforced Concrete</v>
      </c>
      <c r="D283" s="3">
        <v>3</v>
      </c>
      <c r="E283" s="4">
        <v>58196002</v>
      </c>
      <c r="F283" s="3">
        <f t="shared" si="18"/>
        <v>0</v>
      </c>
      <c r="G283" s="30">
        <f>IF(F283=0, 0, INDEX(tbl_Vulnerability[[0 ft]:[10 ft]], MATCH(Simulation!C283, tbl_Vulnerability[Construction_Class], 0), MATCH(Simulation!F283,{0,1,2,3,5,8,10}, 1)))</f>
        <v>0</v>
      </c>
      <c r="H283" s="4">
        <f t="shared" si="19"/>
        <v>0</v>
      </c>
      <c r="I283" s="33">
        <f t="shared" si="20"/>
        <v>2909800.1</v>
      </c>
      <c r="J283" s="33">
        <f t="shared" si="21"/>
        <v>0</v>
      </c>
    </row>
    <row r="284" spans="1:10">
      <c r="A284" s="3">
        <v>10000275</v>
      </c>
      <c r="B284" s="3" t="str">
        <v>Malda</v>
      </c>
      <c r="C284" s="3" t="str">
        <v>Unreinforced Masonry</v>
      </c>
      <c r="D284" s="3">
        <v>2</v>
      </c>
      <c r="E284" s="4">
        <v>2812797</v>
      </c>
      <c r="F284" s="3">
        <f t="shared" si="18"/>
        <v>8</v>
      </c>
      <c r="G284" s="30">
        <f>IF(F284=0, 0, INDEX(tbl_Vulnerability[[0 ft]:[10 ft]], MATCH(Simulation!C284, tbl_Vulnerability[Construction_Class], 0), MATCH(Simulation!F284,{0,1,2,3,5,8,10}, 1)))</f>
        <v>0.9</v>
      </c>
      <c r="H284" s="4">
        <f t="shared" si="19"/>
        <v>2531517.3000000003</v>
      </c>
      <c r="I284" s="33">
        <f t="shared" si="20"/>
        <v>140639.85</v>
      </c>
      <c r="J284" s="33">
        <f t="shared" si="21"/>
        <v>2390877.4500000002</v>
      </c>
    </row>
    <row r="285" spans="1:10">
      <c r="A285" s="3">
        <v>10000276</v>
      </c>
      <c r="B285" s="3" t="str">
        <v>Kolkata</v>
      </c>
      <c r="C285" s="3" t="str">
        <v>Unreinforced Masonry</v>
      </c>
      <c r="D285" s="3">
        <v>0</v>
      </c>
      <c r="E285" s="4">
        <v>11282848</v>
      </c>
      <c r="F285" s="3">
        <f t="shared" si="18"/>
        <v>0</v>
      </c>
      <c r="G285" s="30">
        <f>IF(F285=0, 0, INDEX(tbl_Vulnerability[[0 ft]:[10 ft]], MATCH(Simulation!C285, tbl_Vulnerability[Construction_Class], 0), MATCH(Simulation!F285,{0,1,2,3,5,8,10}, 1)))</f>
        <v>0</v>
      </c>
      <c r="H285" s="4">
        <f t="shared" si="19"/>
        <v>0</v>
      </c>
      <c r="I285" s="33">
        <f t="shared" si="20"/>
        <v>564142.4</v>
      </c>
      <c r="J285" s="33">
        <f t="shared" si="21"/>
        <v>0</v>
      </c>
    </row>
    <row r="286" spans="1:10">
      <c r="A286" s="3">
        <v>10000277</v>
      </c>
      <c r="B286" s="3" t="str">
        <v>Kolkata</v>
      </c>
      <c r="C286" s="3" t="str">
        <v>Unreinforced Masonry</v>
      </c>
      <c r="D286" s="3">
        <v>1</v>
      </c>
      <c r="E286" s="4">
        <v>2052284</v>
      </c>
      <c r="F286" s="3">
        <f t="shared" si="18"/>
        <v>0</v>
      </c>
      <c r="G286" s="30">
        <f>IF(F286=0, 0, INDEX(tbl_Vulnerability[[0 ft]:[10 ft]], MATCH(Simulation!C286, tbl_Vulnerability[Construction_Class], 0), MATCH(Simulation!F286,{0,1,2,3,5,8,10}, 1)))</f>
        <v>0</v>
      </c>
      <c r="H286" s="4">
        <f t="shared" si="19"/>
        <v>0</v>
      </c>
      <c r="I286" s="33">
        <f t="shared" si="20"/>
        <v>102614.20000000001</v>
      </c>
      <c r="J286" s="33">
        <f t="shared" si="21"/>
        <v>0</v>
      </c>
    </row>
    <row r="287" spans="1:10">
      <c r="A287" s="3">
        <v>10000278</v>
      </c>
      <c r="B287" s="3" t="str">
        <v>Kolkata</v>
      </c>
      <c r="C287" s="3" t="str">
        <v>Reinforced Concrete</v>
      </c>
      <c r="D287" s="3">
        <v>3</v>
      </c>
      <c r="E287" s="4">
        <v>15335357</v>
      </c>
      <c r="F287" s="3">
        <f t="shared" si="18"/>
        <v>0</v>
      </c>
      <c r="G287" s="30">
        <f>IF(F287=0, 0, INDEX(tbl_Vulnerability[[0 ft]:[10 ft]], MATCH(Simulation!C287, tbl_Vulnerability[Construction_Class], 0), MATCH(Simulation!F287,{0,1,2,3,5,8,10}, 1)))</f>
        <v>0</v>
      </c>
      <c r="H287" s="4">
        <f t="shared" si="19"/>
        <v>0</v>
      </c>
      <c r="I287" s="33">
        <f t="shared" si="20"/>
        <v>766767.85000000009</v>
      </c>
      <c r="J287" s="33">
        <f t="shared" si="21"/>
        <v>0</v>
      </c>
    </row>
    <row r="288" spans="1:10">
      <c r="A288" s="3">
        <v>10000279</v>
      </c>
      <c r="B288" s="3" t="str">
        <v>Hooghly</v>
      </c>
      <c r="C288" s="3" t="str">
        <v>Adobe / Light Timber</v>
      </c>
      <c r="D288" s="3">
        <v>0</v>
      </c>
      <c r="E288" s="4">
        <v>352904</v>
      </c>
      <c r="F288" s="3">
        <f t="shared" si="18"/>
        <v>0</v>
      </c>
      <c r="G288" s="30">
        <f>IF(F288=0, 0, INDEX(tbl_Vulnerability[[0 ft]:[10 ft]], MATCH(Simulation!C288, tbl_Vulnerability[Construction_Class], 0), MATCH(Simulation!F288,{0,1,2,3,5,8,10}, 1)))</f>
        <v>0</v>
      </c>
      <c r="H288" s="4">
        <f t="shared" si="19"/>
        <v>0</v>
      </c>
      <c r="I288" s="33">
        <f t="shared" si="20"/>
        <v>17645.2</v>
      </c>
      <c r="J288" s="33">
        <f t="shared" si="21"/>
        <v>0</v>
      </c>
    </row>
    <row r="289" spans="1:10">
      <c r="A289" s="3">
        <v>10000280</v>
      </c>
      <c r="B289" s="3" t="str">
        <v>Jalpaiguri</v>
      </c>
      <c r="C289" s="3" t="str">
        <v>Reinforced Concrete</v>
      </c>
      <c r="D289" s="3">
        <v>3</v>
      </c>
      <c r="E289" s="4">
        <v>56041557</v>
      </c>
      <c r="F289" s="3">
        <f t="shared" si="18"/>
        <v>0</v>
      </c>
      <c r="G289" s="30">
        <f>IF(F289=0, 0, INDEX(tbl_Vulnerability[[0 ft]:[10 ft]], MATCH(Simulation!C289, tbl_Vulnerability[Construction_Class], 0), MATCH(Simulation!F289,{0,1,2,3,5,8,10}, 1)))</f>
        <v>0</v>
      </c>
      <c r="H289" s="4">
        <f t="shared" si="19"/>
        <v>0</v>
      </c>
      <c r="I289" s="33">
        <f t="shared" si="20"/>
        <v>2802077.85</v>
      </c>
      <c r="J289" s="33">
        <f t="shared" si="21"/>
        <v>0</v>
      </c>
    </row>
    <row r="290" spans="1:10">
      <c r="A290" s="3">
        <v>10000281</v>
      </c>
      <c r="B290" s="3" t="str">
        <v>Kolkata</v>
      </c>
      <c r="C290" s="3" t="str">
        <v>Unreinforced Masonry</v>
      </c>
      <c r="D290" s="3">
        <v>2</v>
      </c>
      <c r="E290" s="4">
        <v>13436590</v>
      </c>
      <c r="F290" s="3">
        <f t="shared" si="18"/>
        <v>0</v>
      </c>
      <c r="G290" s="30">
        <f>IF(F290=0, 0, INDEX(tbl_Vulnerability[[0 ft]:[10 ft]], MATCH(Simulation!C290, tbl_Vulnerability[Construction_Class], 0), MATCH(Simulation!F290,{0,1,2,3,5,8,10}, 1)))</f>
        <v>0</v>
      </c>
      <c r="H290" s="4">
        <f t="shared" si="19"/>
        <v>0</v>
      </c>
      <c r="I290" s="33">
        <f t="shared" si="20"/>
        <v>671829.5</v>
      </c>
      <c r="J290" s="33">
        <f t="shared" si="21"/>
        <v>0</v>
      </c>
    </row>
    <row r="291" spans="1:10">
      <c r="A291" s="3">
        <v>10000282</v>
      </c>
      <c r="B291" s="3" t="str">
        <v>Paschim Medinipur</v>
      </c>
      <c r="C291" s="3" t="str">
        <v>Reinforced Concrete</v>
      </c>
      <c r="D291" s="3">
        <v>5</v>
      </c>
      <c r="E291" s="4">
        <v>40993620</v>
      </c>
      <c r="F291" s="3">
        <f t="shared" si="18"/>
        <v>0</v>
      </c>
      <c r="G291" s="30">
        <f>IF(F291=0, 0, INDEX(tbl_Vulnerability[[0 ft]:[10 ft]], MATCH(Simulation!C291, tbl_Vulnerability[Construction_Class], 0), MATCH(Simulation!F291,{0,1,2,3,5,8,10}, 1)))</f>
        <v>0</v>
      </c>
      <c r="H291" s="4">
        <f t="shared" si="19"/>
        <v>0</v>
      </c>
      <c r="I291" s="33">
        <f t="shared" si="20"/>
        <v>2049681</v>
      </c>
      <c r="J291" s="33">
        <f t="shared" si="21"/>
        <v>0</v>
      </c>
    </row>
    <row r="292" spans="1:10">
      <c r="A292" s="3">
        <v>10000283</v>
      </c>
      <c r="B292" s="3" t="str">
        <v>Paschim Medinipur</v>
      </c>
      <c r="C292" s="3" t="str">
        <v>Reinforced Concrete</v>
      </c>
      <c r="D292" s="3">
        <v>5</v>
      </c>
      <c r="E292" s="4">
        <v>55008004</v>
      </c>
      <c r="F292" s="3">
        <f t="shared" si="18"/>
        <v>0</v>
      </c>
      <c r="G292" s="30">
        <f>IF(F292=0, 0, INDEX(tbl_Vulnerability[[0 ft]:[10 ft]], MATCH(Simulation!C292, tbl_Vulnerability[Construction_Class], 0), MATCH(Simulation!F292,{0,1,2,3,5,8,10}, 1)))</f>
        <v>0</v>
      </c>
      <c r="H292" s="4">
        <f t="shared" si="19"/>
        <v>0</v>
      </c>
      <c r="I292" s="33">
        <f t="shared" si="20"/>
        <v>2750400.2</v>
      </c>
      <c r="J292" s="33">
        <f t="shared" si="21"/>
        <v>0</v>
      </c>
    </row>
    <row r="293" spans="1:10">
      <c r="A293" s="3">
        <v>10000284</v>
      </c>
      <c r="B293" s="3" t="str">
        <v>Paschim Medinipur</v>
      </c>
      <c r="C293" s="3" t="str">
        <v>Unreinforced Masonry</v>
      </c>
      <c r="D293" s="3">
        <v>0</v>
      </c>
      <c r="E293" s="4">
        <v>5786044</v>
      </c>
      <c r="F293" s="3">
        <f t="shared" si="18"/>
        <v>0</v>
      </c>
      <c r="G293" s="30">
        <f>IF(F293=0, 0, INDEX(tbl_Vulnerability[[0 ft]:[10 ft]], MATCH(Simulation!C293, tbl_Vulnerability[Construction_Class], 0), MATCH(Simulation!F293,{0,1,2,3,5,8,10}, 1)))</f>
        <v>0</v>
      </c>
      <c r="H293" s="4">
        <f t="shared" si="19"/>
        <v>0</v>
      </c>
      <c r="I293" s="33">
        <f t="shared" si="20"/>
        <v>289302.2</v>
      </c>
      <c r="J293" s="33">
        <f t="shared" si="21"/>
        <v>0</v>
      </c>
    </row>
    <row r="294" spans="1:10">
      <c r="A294" s="3">
        <v>10000285</v>
      </c>
      <c r="B294" s="3" t="str">
        <v>Malda</v>
      </c>
      <c r="C294" s="3" t="str">
        <v>Reinforced Concrete</v>
      </c>
      <c r="D294" s="3">
        <v>4</v>
      </c>
      <c r="E294" s="4">
        <v>39565346</v>
      </c>
      <c r="F294" s="3">
        <f t="shared" si="18"/>
        <v>6</v>
      </c>
      <c r="G294" s="30">
        <f>IF(F294=0, 0, INDEX(tbl_Vulnerability[[0 ft]:[10 ft]], MATCH(Simulation!C294, tbl_Vulnerability[Construction_Class], 0), MATCH(Simulation!F294,{0,1,2,3,5,8,10}, 1)))</f>
        <v>0.2</v>
      </c>
      <c r="H294" s="4">
        <f t="shared" si="19"/>
        <v>7913069.2000000002</v>
      </c>
      <c r="I294" s="33">
        <f t="shared" si="20"/>
        <v>1978267.3</v>
      </c>
      <c r="J294" s="33">
        <f t="shared" si="21"/>
        <v>5934801.9000000004</v>
      </c>
    </row>
    <row r="295" spans="1:10">
      <c r="A295" s="3">
        <v>10000286</v>
      </c>
      <c r="B295" s="3" t="str">
        <v>South 24 Parganas</v>
      </c>
      <c r="C295" s="3" t="str">
        <v>Reinforced Concrete</v>
      </c>
      <c r="D295" s="3">
        <v>3</v>
      </c>
      <c r="E295" s="4">
        <v>51223696</v>
      </c>
      <c r="F295" s="3">
        <f t="shared" si="18"/>
        <v>0</v>
      </c>
      <c r="G295" s="30">
        <f>IF(F295=0, 0, INDEX(tbl_Vulnerability[[0 ft]:[10 ft]], MATCH(Simulation!C295, tbl_Vulnerability[Construction_Class], 0), MATCH(Simulation!F295,{0,1,2,3,5,8,10}, 1)))</f>
        <v>0</v>
      </c>
      <c r="H295" s="4">
        <f t="shared" si="19"/>
        <v>0</v>
      </c>
      <c r="I295" s="33">
        <f t="shared" si="20"/>
        <v>2561184.8000000003</v>
      </c>
      <c r="J295" s="33">
        <f t="shared" si="21"/>
        <v>0</v>
      </c>
    </row>
    <row r="296" spans="1:10">
      <c r="A296" s="3">
        <v>10000287</v>
      </c>
      <c r="B296" s="3" t="str">
        <v>Paschim Medinipur</v>
      </c>
      <c r="C296" s="3" t="str">
        <v>Reinforced Concrete</v>
      </c>
      <c r="D296" s="3">
        <v>4</v>
      </c>
      <c r="E296" s="4">
        <v>53965260</v>
      </c>
      <c r="F296" s="3">
        <f t="shared" si="18"/>
        <v>0</v>
      </c>
      <c r="G296" s="30">
        <f>IF(F296=0, 0, INDEX(tbl_Vulnerability[[0 ft]:[10 ft]], MATCH(Simulation!C296, tbl_Vulnerability[Construction_Class], 0), MATCH(Simulation!F296,{0,1,2,3,5,8,10}, 1)))</f>
        <v>0</v>
      </c>
      <c r="H296" s="4">
        <f t="shared" si="19"/>
        <v>0</v>
      </c>
      <c r="I296" s="33">
        <f t="shared" si="20"/>
        <v>2698263</v>
      </c>
      <c r="J296" s="33">
        <f t="shared" si="21"/>
        <v>0</v>
      </c>
    </row>
    <row r="297" spans="1:10">
      <c r="A297" s="3">
        <v>10000288</v>
      </c>
      <c r="B297" s="3" t="str">
        <v>Jalpaiguri</v>
      </c>
      <c r="C297" s="3" t="str">
        <v>Reinforced Concrete</v>
      </c>
      <c r="D297" s="3">
        <v>3</v>
      </c>
      <c r="E297" s="4">
        <v>4082565</v>
      </c>
      <c r="F297" s="3">
        <f t="shared" si="18"/>
        <v>0</v>
      </c>
      <c r="G297" s="30">
        <f>IF(F297=0, 0, INDEX(tbl_Vulnerability[[0 ft]:[10 ft]], MATCH(Simulation!C297, tbl_Vulnerability[Construction_Class], 0), MATCH(Simulation!F297,{0,1,2,3,5,8,10}, 1)))</f>
        <v>0</v>
      </c>
      <c r="H297" s="4">
        <f t="shared" si="19"/>
        <v>0</v>
      </c>
      <c r="I297" s="33">
        <f t="shared" si="20"/>
        <v>204128.25</v>
      </c>
      <c r="J297" s="33">
        <f t="shared" si="21"/>
        <v>0</v>
      </c>
    </row>
    <row r="298" spans="1:10">
      <c r="A298" s="3">
        <v>10000289</v>
      </c>
      <c r="B298" s="3" t="str">
        <v>Paschim Medinipur</v>
      </c>
      <c r="C298" s="3" t="str">
        <v>Adobe / Light Timber</v>
      </c>
      <c r="D298" s="3">
        <v>2</v>
      </c>
      <c r="E298" s="4">
        <v>536980</v>
      </c>
      <c r="F298" s="3">
        <f t="shared" si="18"/>
        <v>0</v>
      </c>
      <c r="G298" s="30">
        <f>IF(F298=0, 0, INDEX(tbl_Vulnerability[[0 ft]:[10 ft]], MATCH(Simulation!C298, tbl_Vulnerability[Construction_Class], 0), MATCH(Simulation!F298,{0,1,2,3,5,8,10}, 1)))</f>
        <v>0</v>
      </c>
      <c r="H298" s="4">
        <f t="shared" si="19"/>
        <v>0</v>
      </c>
      <c r="I298" s="33">
        <f t="shared" si="20"/>
        <v>26849</v>
      </c>
      <c r="J298" s="33">
        <f t="shared" si="21"/>
        <v>0</v>
      </c>
    </row>
    <row r="299" spans="1:10">
      <c r="A299" s="3">
        <v>10000290</v>
      </c>
      <c r="B299" s="3" t="str">
        <v>Jalpaiguri</v>
      </c>
      <c r="C299" s="3" t="str">
        <v>Reinforced Concrete</v>
      </c>
      <c r="D299" s="3">
        <v>5</v>
      </c>
      <c r="E299" s="4">
        <v>5715251</v>
      </c>
      <c r="F299" s="3">
        <f t="shared" si="18"/>
        <v>0</v>
      </c>
      <c r="G299" s="30">
        <f>IF(F299=0, 0, INDEX(tbl_Vulnerability[[0 ft]:[10 ft]], MATCH(Simulation!C299, tbl_Vulnerability[Construction_Class], 0), MATCH(Simulation!F299,{0,1,2,3,5,8,10}, 1)))</f>
        <v>0</v>
      </c>
      <c r="H299" s="4">
        <f t="shared" si="19"/>
        <v>0</v>
      </c>
      <c r="I299" s="33">
        <f t="shared" si="20"/>
        <v>285762.55</v>
      </c>
      <c r="J299" s="33">
        <f t="shared" si="21"/>
        <v>0</v>
      </c>
    </row>
    <row r="300" spans="1:10">
      <c r="A300" s="3">
        <v>10000291</v>
      </c>
      <c r="B300" s="3" t="str">
        <v>Malda</v>
      </c>
      <c r="C300" s="3" t="str">
        <v>Reinforced Concrete</v>
      </c>
      <c r="D300" s="3">
        <v>4</v>
      </c>
      <c r="E300" s="4">
        <v>10374403</v>
      </c>
      <c r="F300" s="3">
        <f t="shared" si="18"/>
        <v>6</v>
      </c>
      <c r="G300" s="30">
        <f>IF(F300=0, 0, INDEX(tbl_Vulnerability[[0 ft]:[10 ft]], MATCH(Simulation!C300, tbl_Vulnerability[Construction_Class], 0), MATCH(Simulation!F300,{0,1,2,3,5,8,10}, 1)))</f>
        <v>0.2</v>
      </c>
      <c r="H300" s="4">
        <f t="shared" si="19"/>
        <v>2074880.6</v>
      </c>
      <c r="I300" s="33">
        <f t="shared" si="20"/>
        <v>518720.15</v>
      </c>
      <c r="J300" s="33">
        <f t="shared" si="21"/>
        <v>1556160.4500000002</v>
      </c>
    </row>
    <row r="301" spans="1:10">
      <c r="A301" s="3">
        <v>10000292</v>
      </c>
      <c r="B301" s="3" t="str">
        <v>Jalpaiguri</v>
      </c>
      <c r="C301" s="3" t="str">
        <v>Reinforced Concrete</v>
      </c>
      <c r="D301" s="3">
        <v>5</v>
      </c>
      <c r="E301" s="4">
        <v>59512442</v>
      </c>
      <c r="F301" s="3">
        <f t="shared" si="18"/>
        <v>0</v>
      </c>
      <c r="G301" s="30">
        <f>IF(F301=0, 0, INDEX(tbl_Vulnerability[[0 ft]:[10 ft]], MATCH(Simulation!C301, tbl_Vulnerability[Construction_Class], 0), MATCH(Simulation!F301,{0,1,2,3,5,8,10}, 1)))</f>
        <v>0</v>
      </c>
      <c r="H301" s="4">
        <f t="shared" si="19"/>
        <v>0</v>
      </c>
      <c r="I301" s="33">
        <f t="shared" si="20"/>
        <v>2975622.1</v>
      </c>
      <c r="J301" s="33">
        <f t="shared" si="21"/>
        <v>0</v>
      </c>
    </row>
    <row r="302" spans="1:10">
      <c r="A302" s="3">
        <v>10000293</v>
      </c>
      <c r="B302" s="3" t="str">
        <v>Malda</v>
      </c>
      <c r="C302" s="3" t="str">
        <v>Unreinforced Masonry</v>
      </c>
      <c r="D302" s="3">
        <v>2</v>
      </c>
      <c r="E302" s="4">
        <v>14290757</v>
      </c>
      <c r="F302" s="3">
        <f t="shared" si="18"/>
        <v>8</v>
      </c>
      <c r="G302" s="30">
        <f>IF(F302=0, 0, INDEX(tbl_Vulnerability[[0 ft]:[10 ft]], MATCH(Simulation!C302, tbl_Vulnerability[Construction_Class], 0), MATCH(Simulation!F302,{0,1,2,3,5,8,10}, 1)))</f>
        <v>0.9</v>
      </c>
      <c r="H302" s="4">
        <f t="shared" si="19"/>
        <v>12861681.300000001</v>
      </c>
      <c r="I302" s="33">
        <f t="shared" si="20"/>
        <v>714537.85000000009</v>
      </c>
      <c r="J302" s="33">
        <f t="shared" si="21"/>
        <v>12147143.450000001</v>
      </c>
    </row>
    <row r="303" spans="1:10">
      <c r="A303" s="3">
        <v>10000294</v>
      </c>
      <c r="B303" s="3" t="str">
        <v>Kolkata</v>
      </c>
      <c r="C303" s="3" t="str">
        <v>Reinforced Concrete</v>
      </c>
      <c r="D303" s="3">
        <v>4</v>
      </c>
      <c r="E303" s="4">
        <v>50752657</v>
      </c>
      <c r="F303" s="3">
        <f t="shared" si="18"/>
        <v>0</v>
      </c>
      <c r="G303" s="30">
        <f>IF(F303=0, 0, INDEX(tbl_Vulnerability[[0 ft]:[10 ft]], MATCH(Simulation!C303, tbl_Vulnerability[Construction_Class], 0), MATCH(Simulation!F303,{0,1,2,3,5,8,10}, 1)))</f>
        <v>0</v>
      </c>
      <c r="H303" s="4">
        <f t="shared" si="19"/>
        <v>0</v>
      </c>
      <c r="I303" s="33">
        <f t="shared" si="20"/>
        <v>2537632.85</v>
      </c>
      <c r="J303" s="33">
        <f t="shared" si="21"/>
        <v>0</v>
      </c>
    </row>
    <row r="304" spans="1:10">
      <c r="A304" s="3">
        <v>10000295</v>
      </c>
      <c r="B304" s="3" t="str">
        <v>Paschim Medinipur</v>
      </c>
      <c r="C304" s="3" t="str">
        <v>Reinforced Concrete</v>
      </c>
      <c r="D304" s="3">
        <v>5</v>
      </c>
      <c r="E304" s="4">
        <v>8385127</v>
      </c>
      <c r="F304" s="3">
        <f t="shared" si="18"/>
        <v>0</v>
      </c>
      <c r="G304" s="30">
        <f>IF(F304=0, 0, INDEX(tbl_Vulnerability[[0 ft]:[10 ft]], MATCH(Simulation!C304, tbl_Vulnerability[Construction_Class], 0), MATCH(Simulation!F304,{0,1,2,3,5,8,10}, 1)))</f>
        <v>0</v>
      </c>
      <c r="H304" s="4">
        <f t="shared" si="19"/>
        <v>0</v>
      </c>
      <c r="I304" s="33">
        <f t="shared" si="20"/>
        <v>419256.35000000003</v>
      </c>
      <c r="J304" s="33">
        <f t="shared" si="21"/>
        <v>0</v>
      </c>
    </row>
    <row r="305" spans="1:10">
      <c r="A305" s="3">
        <v>10000296</v>
      </c>
      <c r="B305" s="3" t="str">
        <v>Kolkata</v>
      </c>
      <c r="C305" s="3" t="str">
        <v>Unreinforced Masonry</v>
      </c>
      <c r="D305" s="3">
        <v>2</v>
      </c>
      <c r="E305" s="4">
        <v>4255452</v>
      </c>
      <c r="F305" s="3">
        <f t="shared" si="18"/>
        <v>0</v>
      </c>
      <c r="G305" s="30">
        <f>IF(F305=0, 0, INDEX(tbl_Vulnerability[[0 ft]:[10 ft]], MATCH(Simulation!C305, tbl_Vulnerability[Construction_Class], 0), MATCH(Simulation!F305,{0,1,2,3,5,8,10}, 1)))</f>
        <v>0</v>
      </c>
      <c r="H305" s="4">
        <f t="shared" si="19"/>
        <v>0</v>
      </c>
      <c r="I305" s="33">
        <f t="shared" si="20"/>
        <v>212772.6</v>
      </c>
      <c r="J305" s="33">
        <f t="shared" si="21"/>
        <v>0</v>
      </c>
    </row>
    <row r="306" spans="1:10">
      <c r="A306" s="3">
        <v>10000297</v>
      </c>
      <c r="B306" s="3" t="str">
        <v>Hooghly</v>
      </c>
      <c r="C306" s="3" t="str">
        <v>Reinforced Concrete</v>
      </c>
      <c r="D306" s="3">
        <v>4</v>
      </c>
      <c r="E306" s="4">
        <v>13562771</v>
      </c>
      <c r="F306" s="3">
        <f t="shared" si="18"/>
        <v>0</v>
      </c>
      <c r="G306" s="30">
        <f>IF(F306=0, 0, INDEX(tbl_Vulnerability[[0 ft]:[10 ft]], MATCH(Simulation!C306, tbl_Vulnerability[Construction_Class], 0), MATCH(Simulation!F306,{0,1,2,3,5,8,10}, 1)))</f>
        <v>0</v>
      </c>
      <c r="H306" s="4">
        <f t="shared" si="19"/>
        <v>0</v>
      </c>
      <c r="I306" s="33">
        <f t="shared" si="20"/>
        <v>678138.55</v>
      </c>
      <c r="J306" s="33">
        <f t="shared" si="21"/>
        <v>0</v>
      </c>
    </row>
    <row r="307" spans="1:10">
      <c r="A307" s="3">
        <v>10000298</v>
      </c>
      <c r="B307" s="3" t="str">
        <v>Kolkata</v>
      </c>
      <c r="C307" s="3" t="str">
        <v>Reinforced Concrete</v>
      </c>
      <c r="D307" s="3">
        <v>5</v>
      </c>
      <c r="E307" s="4">
        <v>14079776</v>
      </c>
      <c r="F307" s="3">
        <f t="shared" si="18"/>
        <v>0</v>
      </c>
      <c r="G307" s="30">
        <f>IF(F307=0, 0, INDEX(tbl_Vulnerability[[0 ft]:[10 ft]], MATCH(Simulation!C307, tbl_Vulnerability[Construction_Class], 0), MATCH(Simulation!F307,{0,1,2,3,5,8,10}, 1)))</f>
        <v>0</v>
      </c>
      <c r="H307" s="4">
        <f t="shared" si="19"/>
        <v>0</v>
      </c>
      <c r="I307" s="33">
        <f t="shared" si="20"/>
        <v>703988.8</v>
      </c>
      <c r="J307" s="33">
        <f t="shared" si="21"/>
        <v>0</v>
      </c>
    </row>
    <row r="308" spans="1:10">
      <c r="A308" s="3">
        <v>10000299</v>
      </c>
      <c r="B308" s="3" t="str">
        <v>South 24 Parganas</v>
      </c>
      <c r="C308" s="3" t="str">
        <v>Unreinforced Masonry</v>
      </c>
      <c r="D308" s="3">
        <v>0</v>
      </c>
      <c r="E308" s="4">
        <v>18760225</v>
      </c>
      <c r="F308" s="3">
        <f t="shared" si="18"/>
        <v>0</v>
      </c>
      <c r="G308" s="30">
        <f>IF(F308=0, 0, INDEX(tbl_Vulnerability[[0 ft]:[10 ft]], MATCH(Simulation!C308, tbl_Vulnerability[Construction_Class], 0), MATCH(Simulation!F308,{0,1,2,3,5,8,10}, 1)))</f>
        <v>0</v>
      </c>
      <c r="H308" s="4">
        <f t="shared" si="19"/>
        <v>0</v>
      </c>
      <c r="I308" s="33">
        <f t="shared" si="20"/>
        <v>938011.25</v>
      </c>
      <c r="J308" s="33">
        <f t="shared" si="21"/>
        <v>0</v>
      </c>
    </row>
    <row r="309" spans="1:10">
      <c r="A309" s="3">
        <v>10000300</v>
      </c>
      <c r="B309" s="3" t="str">
        <v>Hooghly</v>
      </c>
      <c r="C309" s="3" t="str">
        <v>Unreinforced Masonry</v>
      </c>
      <c r="D309" s="3">
        <v>1</v>
      </c>
      <c r="E309" s="4">
        <v>8355620</v>
      </c>
      <c r="F309" s="3">
        <f t="shared" si="18"/>
        <v>0</v>
      </c>
      <c r="G309" s="30">
        <f>IF(F309=0, 0, INDEX(tbl_Vulnerability[[0 ft]:[10 ft]], MATCH(Simulation!C309, tbl_Vulnerability[Construction_Class], 0), MATCH(Simulation!F309,{0,1,2,3,5,8,10}, 1)))</f>
        <v>0</v>
      </c>
      <c r="H309" s="4">
        <f t="shared" si="19"/>
        <v>0</v>
      </c>
      <c r="I309" s="33">
        <f t="shared" si="20"/>
        <v>417781</v>
      </c>
      <c r="J309" s="33">
        <f t="shared" si="21"/>
        <v>0</v>
      </c>
    </row>
    <row r="310" spans="1:10">
      <c r="A310" s="3">
        <v>10000301</v>
      </c>
      <c r="B310" s="3" t="str">
        <v>Paschim Medinipur</v>
      </c>
      <c r="C310" s="3" t="str">
        <v>Unreinforced Masonry</v>
      </c>
      <c r="D310" s="3">
        <v>1</v>
      </c>
      <c r="E310" s="4">
        <v>2378736</v>
      </c>
      <c r="F310" s="3">
        <f t="shared" si="18"/>
        <v>0</v>
      </c>
      <c r="G310" s="30">
        <f>IF(F310=0, 0, INDEX(tbl_Vulnerability[[0 ft]:[10 ft]], MATCH(Simulation!C310, tbl_Vulnerability[Construction_Class], 0), MATCH(Simulation!F310,{0,1,2,3,5,8,10}, 1)))</f>
        <v>0</v>
      </c>
      <c r="H310" s="4">
        <f t="shared" si="19"/>
        <v>0</v>
      </c>
      <c r="I310" s="33">
        <f t="shared" si="20"/>
        <v>118936.8</v>
      </c>
      <c r="J310" s="33">
        <f t="shared" si="21"/>
        <v>0</v>
      </c>
    </row>
    <row r="311" spans="1:10">
      <c r="A311" s="3">
        <v>10000302</v>
      </c>
      <c r="B311" s="3" t="str">
        <v>Malda</v>
      </c>
      <c r="C311" s="3" t="str">
        <v>Reinforced Concrete</v>
      </c>
      <c r="D311" s="3">
        <v>5</v>
      </c>
      <c r="E311" s="4">
        <v>54653771</v>
      </c>
      <c r="F311" s="3">
        <f t="shared" si="18"/>
        <v>5</v>
      </c>
      <c r="G311" s="30">
        <f>IF(F311=0, 0, INDEX(tbl_Vulnerability[[0 ft]:[10 ft]], MATCH(Simulation!C311, tbl_Vulnerability[Construction_Class], 0), MATCH(Simulation!F311,{0,1,2,3,5,8,10}, 1)))</f>
        <v>0.2</v>
      </c>
      <c r="H311" s="4">
        <f t="shared" si="19"/>
        <v>10930754.200000001</v>
      </c>
      <c r="I311" s="33">
        <f t="shared" si="20"/>
        <v>2732688.5500000003</v>
      </c>
      <c r="J311" s="33">
        <f t="shared" si="21"/>
        <v>8198065.6500000004</v>
      </c>
    </row>
    <row r="312" spans="1:10">
      <c r="A312" s="3">
        <v>10000303</v>
      </c>
      <c r="B312" s="3" t="str">
        <v>Jalpaiguri</v>
      </c>
      <c r="C312" s="3" t="str">
        <v>Reinforced Concrete</v>
      </c>
      <c r="D312" s="3">
        <v>3</v>
      </c>
      <c r="E312" s="4">
        <v>1130117</v>
      </c>
      <c r="F312" s="3">
        <f t="shared" si="18"/>
        <v>0</v>
      </c>
      <c r="G312" s="30">
        <f>IF(F312=0, 0, INDEX(tbl_Vulnerability[[0 ft]:[10 ft]], MATCH(Simulation!C312, tbl_Vulnerability[Construction_Class], 0), MATCH(Simulation!F312,{0,1,2,3,5,8,10}, 1)))</f>
        <v>0</v>
      </c>
      <c r="H312" s="4">
        <f t="shared" si="19"/>
        <v>0</v>
      </c>
      <c r="I312" s="33">
        <f t="shared" si="20"/>
        <v>56505.850000000006</v>
      </c>
      <c r="J312" s="33">
        <f t="shared" si="21"/>
        <v>0</v>
      </c>
    </row>
    <row r="313" spans="1:10">
      <c r="A313" s="3">
        <v>10000304</v>
      </c>
      <c r="B313" s="3" t="str">
        <v>Kolkata</v>
      </c>
      <c r="C313" s="3" t="str">
        <v>Reinforced Concrete</v>
      </c>
      <c r="D313" s="3">
        <v>5</v>
      </c>
      <c r="E313" s="4">
        <v>4168661</v>
      </c>
      <c r="F313" s="3">
        <f t="shared" si="18"/>
        <v>0</v>
      </c>
      <c r="G313" s="30">
        <f>IF(F313=0, 0, INDEX(tbl_Vulnerability[[0 ft]:[10 ft]], MATCH(Simulation!C313, tbl_Vulnerability[Construction_Class], 0), MATCH(Simulation!F313,{0,1,2,3,5,8,10}, 1)))</f>
        <v>0</v>
      </c>
      <c r="H313" s="4">
        <f t="shared" si="19"/>
        <v>0</v>
      </c>
      <c r="I313" s="33">
        <f t="shared" si="20"/>
        <v>208433.05000000002</v>
      </c>
      <c r="J313" s="33">
        <f t="shared" si="21"/>
        <v>0</v>
      </c>
    </row>
    <row r="314" spans="1:10">
      <c r="A314" s="3">
        <v>10000305</v>
      </c>
      <c r="B314" s="3" t="str">
        <v>Hooghly</v>
      </c>
      <c r="C314" s="3" t="str">
        <v>Unreinforced Masonry</v>
      </c>
      <c r="D314" s="3">
        <v>0</v>
      </c>
      <c r="E314" s="4">
        <v>4597483</v>
      </c>
      <c r="F314" s="3">
        <f t="shared" si="18"/>
        <v>0</v>
      </c>
      <c r="G314" s="30">
        <f>IF(F314=0, 0, INDEX(tbl_Vulnerability[[0 ft]:[10 ft]], MATCH(Simulation!C314, tbl_Vulnerability[Construction_Class], 0), MATCH(Simulation!F314,{0,1,2,3,5,8,10}, 1)))</f>
        <v>0</v>
      </c>
      <c r="H314" s="4">
        <f t="shared" si="19"/>
        <v>0</v>
      </c>
      <c r="I314" s="33">
        <f t="shared" si="20"/>
        <v>229874.15000000002</v>
      </c>
      <c r="J314" s="33">
        <f t="shared" si="21"/>
        <v>0</v>
      </c>
    </row>
    <row r="315" spans="1:10">
      <c r="A315" s="3">
        <v>10000306</v>
      </c>
      <c r="B315" s="3" t="str">
        <v>Jalpaiguri</v>
      </c>
      <c r="C315" s="3" t="str">
        <v>Reinforced Concrete</v>
      </c>
      <c r="D315" s="3">
        <v>5</v>
      </c>
      <c r="E315" s="4">
        <v>22256752</v>
      </c>
      <c r="F315" s="3">
        <f t="shared" si="18"/>
        <v>0</v>
      </c>
      <c r="G315" s="30">
        <f>IF(F315=0, 0, INDEX(tbl_Vulnerability[[0 ft]:[10 ft]], MATCH(Simulation!C315, tbl_Vulnerability[Construction_Class], 0), MATCH(Simulation!F315,{0,1,2,3,5,8,10}, 1)))</f>
        <v>0</v>
      </c>
      <c r="H315" s="4">
        <f t="shared" si="19"/>
        <v>0</v>
      </c>
      <c r="I315" s="33">
        <f t="shared" si="20"/>
        <v>1112837.6000000001</v>
      </c>
      <c r="J315" s="33">
        <f t="shared" si="21"/>
        <v>0</v>
      </c>
    </row>
    <row r="316" spans="1:10">
      <c r="A316" s="3">
        <v>10000307</v>
      </c>
      <c r="B316" s="3" t="str">
        <v>Paschim Medinipur</v>
      </c>
      <c r="C316" s="3" t="str">
        <v>Reinforced Concrete</v>
      </c>
      <c r="D316" s="3">
        <v>3</v>
      </c>
      <c r="E316" s="4">
        <v>3132470</v>
      </c>
      <c r="F316" s="3">
        <f t="shared" si="18"/>
        <v>0</v>
      </c>
      <c r="G316" s="30">
        <f>IF(F316=0, 0, INDEX(tbl_Vulnerability[[0 ft]:[10 ft]], MATCH(Simulation!C316, tbl_Vulnerability[Construction_Class], 0), MATCH(Simulation!F316,{0,1,2,3,5,8,10}, 1)))</f>
        <v>0</v>
      </c>
      <c r="H316" s="4">
        <f t="shared" si="19"/>
        <v>0</v>
      </c>
      <c r="I316" s="33">
        <f t="shared" si="20"/>
        <v>156623.5</v>
      </c>
      <c r="J316" s="33">
        <f t="shared" si="21"/>
        <v>0</v>
      </c>
    </row>
    <row r="317" spans="1:10">
      <c r="A317" s="3">
        <v>10000308</v>
      </c>
      <c r="B317" s="3" t="str">
        <v>South 24 Parganas</v>
      </c>
      <c r="C317" s="3" t="str">
        <v>Reinforced Concrete</v>
      </c>
      <c r="D317" s="3">
        <v>5</v>
      </c>
      <c r="E317" s="4">
        <v>1092719</v>
      </c>
      <c r="F317" s="3">
        <f t="shared" si="18"/>
        <v>0</v>
      </c>
      <c r="G317" s="30">
        <f>IF(F317=0, 0, INDEX(tbl_Vulnerability[[0 ft]:[10 ft]], MATCH(Simulation!C317, tbl_Vulnerability[Construction_Class], 0), MATCH(Simulation!F317,{0,1,2,3,5,8,10}, 1)))</f>
        <v>0</v>
      </c>
      <c r="H317" s="4">
        <f t="shared" si="19"/>
        <v>0</v>
      </c>
      <c r="I317" s="33">
        <f t="shared" si="20"/>
        <v>54635.950000000004</v>
      </c>
      <c r="J317" s="33">
        <f t="shared" si="21"/>
        <v>0</v>
      </c>
    </row>
    <row r="318" spans="1:10">
      <c r="A318" s="3">
        <v>10000309</v>
      </c>
      <c r="B318" s="3" t="str">
        <v>Hooghly</v>
      </c>
      <c r="C318" s="3" t="str">
        <v>Reinforced Concrete</v>
      </c>
      <c r="D318" s="3">
        <v>3</v>
      </c>
      <c r="E318" s="4">
        <v>55452676</v>
      </c>
      <c r="F318" s="3">
        <f t="shared" si="18"/>
        <v>0</v>
      </c>
      <c r="G318" s="30">
        <f>IF(F318=0, 0, INDEX(tbl_Vulnerability[[0 ft]:[10 ft]], MATCH(Simulation!C318, tbl_Vulnerability[Construction_Class], 0), MATCH(Simulation!F318,{0,1,2,3,5,8,10}, 1)))</f>
        <v>0</v>
      </c>
      <c r="H318" s="4">
        <f t="shared" si="19"/>
        <v>0</v>
      </c>
      <c r="I318" s="33">
        <f t="shared" si="20"/>
        <v>2772633.8000000003</v>
      </c>
      <c r="J318" s="33">
        <f t="shared" si="21"/>
        <v>0</v>
      </c>
    </row>
    <row r="319" spans="1:10">
      <c r="A319" s="3">
        <v>10000310</v>
      </c>
      <c r="B319" s="3" t="str">
        <v>South 24 Parganas</v>
      </c>
      <c r="C319" s="3" t="str">
        <v>Reinforced Concrete</v>
      </c>
      <c r="D319" s="3">
        <v>4</v>
      </c>
      <c r="E319" s="4">
        <v>50111038</v>
      </c>
      <c r="F319" s="3">
        <f t="shared" si="18"/>
        <v>0</v>
      </c>
      <c r="G319" s="30">
        <f>IF(F319=0, 0, INDEX(tbl_Vulnerability[[0 ft]:[10 ft]], MATCH(Simulation!C319, tbl_Vulnerability[Construction_Class], 0), MATCH(Simulation!F319,{0,1,2,3,5,8,10}, 1)))</f>
        <v>0</v>
      </c>
      <c r="H319" s="4">
        <f t="shared" si="19"/>
        <v>0</v>
      </c>
      <c r="I319" s="33">
        <f t="shared" si="20"/>
        <v>2505551.9</v>
      </c>
      <c r="J319" s="33">
        <f t="shared" si="21"/>
        <v>0</v>
      </c>
    </row>
    <row r="320" spans="1:10">
      <c r="A320" s="3">
        <v>10000311</v>
      </c>
      <c r="B320" s="3" t="str">
        <v>Kolkata</v>
      </c>
      <c r="C320" s="3" t="str">
        <v>Reinforced Concrete</v>
      </c>
      <c r="D320" s="3">
        <v>4</v>
      </c>
      <c r="E320" s="4">
        <v>53304921</v>
      </c>
      <c r="F320" s="3">
        <f t="shared" si="18"/>
        <v>0</v>
      </c>
      <c r="G320" s="30">
        <f>IF(F320=0, 0, INDEX(tbl_Vulnerability[[0 ft]:[10 ft]], MATCH(Simulation!C320, tbl_Vulnerability[Construction_Class], 0), MATCH(Simulation!F320,{0,1,2,3,5,8,10}, 1)))</f>
        <v>0</v>
      </c>
      <c r="H320" s="4">
        <f t="shared" si="19"/>
        <v>0</v>
      </c>
      <c r="I320" s="33">
        <f t="shared" si="20"/>
        <v>2665246.0500000003</v>
      </c>
      <c r="J320" s="33">
        <f t="shared" si="21"/>
        <v>0</v>
      </c>
    </row>
    <row r="321" spans="1:10">
      <c r="A321" s="3">
        <v>10000312</v>
      </c>
      <c r="B321" s="3" t="str">
        <v>Kolkata</v>
      </c>
      <c r="C321" s="3" t="str">
        <v>Reinforced Concrete</v>
      </c>
      <c r="D321" s="3">
        <v>4</v>
      </c>
      <c r="E321" s="4">
        <v>48280590</v>
      </c>
      <c r="F321" s="3">
        <f t="shared" si="18"/>
        <v>0</v>
      </c>
      <c r="G321" s="30">
        <f>IF(F321=0, 0, INDEX(tbl_Vulnerability[[0 ft]:[10 ft]], MATCH(Simulation!C321, tbl_Vulnerability[Construction_Class], 0), MATCH(Simulation!F321,{0,1,2,3,5,8,10}, 1)))</f>
        <v>0</v>
      </c>
      <c r="H321" s="4">
        <f t="shared" si="19"/>
        <v>0</v>
      </c>
      <c r="I321" s="33">
        <f t="shared" si="20"/>
        <v>2414029.5</v>
      </c>
      <c r="J321" s="33">
        <f t="shared" si="21"/>
        <v>0</v>
      </c>
    </row>
    <row r="322" spans="1:10">
      <c r="A322" s="3">
        <v>10000313</v>
      </c>
      <c r="B322" s="3" t="str">
        <v>Malda</v>
      </c>
      <c r="C322" s="3" t="str">
        <v>Reinforced Concrete</v>
      </c>
      <c r="D322" s="3">
        <v>4</v>
      </c>
      <c r="E322" s="4">
        <v>19556624</v>
      </c>
      <c r="F322" s="3">
        <f t="shared" si="18"/>
        <v>6</v>
      </c>
      <c r="G322" s="30">
        <f>IF(F322=0, 0, INDEX(tbl_Vulnerability[[0 ft]:[10 ft]], MATCH(Simulation!C322, tbl_Vulnerability[Construction_Class], 0), MATCH(Simulation!F322,{0,1,2,3,5,8,10}, 1)))</f>
        <v>0.2</v>
      </c>
      <c r="H322" s="4">
        <f t="shared" si="19"/>
        <v>3911324.8000000003</v>
      </c>
      <c r="I322" s="33">
        <f t="shared" si="20"/>
        <v>977831.20000000007</v>
      </c>
      <c r="J322" s="33">
        <f t="shared" si="21"/>
        <v>2933493.6</v>
      </c>
    </row>
    <row r="323" spans="1:10">
      <c r="A323" s="3">
        <v>10000314</v>
      </c>
      <c r="B323" s="3" t="str">
        <v>Paschim Medinipur</v>
      </c>
      <c r="C323" s="3" t="str">
        <v>Unreinforced Masonry</v>
      </c>
      <c r="D323" s="3">
        <v>1</v>
      </c>
      <c r="E323" s="4">
        <v>12566265</v>
      </c>
      <c r="F323" s="3">
        <f t="shared" si="18"/>
        <v>0</v>
      </c>
      <c r="G323" s="30">
        <f>IF(F323=0, 0, INDEX(tbl_Vulnerability[[0 ft]:[10 ft]], MATCH(Simulation!C323, tbl_Vulnerability[Construction_Class], 0), MATCH(Simulation!F323,{0,1,2,3,5,8,10}, 1)))</f>
        <v>0</v>
      </c>
      <c r="H323" s="4">
        <f t="shared" si="19"/>
        <v>0</v>
      </c>
      <c r="I323" s="33">
        <f t="shared" si="20"/>
        <v>628313.25</v>
      </c>
      <c r="J323" s="33">
        <f t="shared" si="21"/>
        <v>0</v>
      </c>
    </row>
    <row r="324" spans="1:10">
      <c r="A324" s="3">
        <v>10000315</v>
      </c>
      <c r="B324" s="3" t="str">
        <v>Jalpaiguri</v>
      </c>
      <c r="C324" s="3" t="str">
        <v>Adobe / Light Timber</v>
      </c>
      <c r="D324" s="3">
        <v>1</v>
      </c>
      <c r="E324" s="4">
        <v>433499</v>
      </c>
      <c r="F324" s="3">
        <f t="shared" si="18"/>
        <v>0</v>
      </c>
      <c r="G324" s="30">
        <f>IF(F324=0, 0, INDEX(tbl_Vulnerability[[0 ft]:[10 ft]], MATCH(Simulation!C324, tbl_Vulnerability[Construction_Class], 0), MATCH(Simulation!F324,{0,1,2,3,5,8,10}, 1)))</f>
        <v>0</v>
      </c>
      <c r="H324" s="4">
        <f t="shared" si="19"/>
        <v>0</v>
      </c>
      <c r="I324" s="33">
        <f t="shared" si="20"/>
        <v>21674.95</v>
      </c>
      <c r="J324" s="33">
        <f t="shared" si="21"/>
        <v>0</v>
      </c>
    </row>
    <row r="325" spans="1:10">
      <c r="A325" s="3">
        <v>10000316</v>
      </c>
      <c r="B325" s="3" t="str">
        <v>Jalpaiguri</v>
      </c>
      <c r="C325" s="3" t="str">
        <v>Reinforced Concrete</v>
      </c>
      <c r="D325" s="3">
        <v>3</v>
      </c>
      <c r="E325" s="4">
        <v>49282790</v>
      </c>
      <c r="F325" s="3">
        <f t="shared" si="18"/>
        <v>0</v>
      </c>
      <c r="G325" s="30">
        <f>IF(F325=0, 0, INDEX(tbl_Vulnerability[[0 ft]:[10 ft]], MATCH(Simulation!C325, tbl_Vulnerability[Construction_Class], 0), MATCH(Simulation!F325,{0,1,2,3,5,8,10}, 1)))</f>
        <v>0</v>
      </c>
      <c r="H325" s="4">
        <f t="shared" si="19"/>
        <v>0</v>
      </c>
      <c r="I325" s="33">
        <f t="shared" si="20"/>
        <v>2464139.5</v>
      </c>
      <c r="J325" s="33">
        <f t="shared" si="21"/>
        <v>0</v>
      </c>
    </row>
    <row r="326" spans="1:10">
      <c r="A326" s="3">
        <v>10000317</v>
      </c>
      <c r="B326" s="3" t="str">
        <v>Malda</v>
      </c>
      <c r="C326" s="3" t="str">
        <v>Unreinforced Masonry</v>
      </c>
      <c r="D326" s="3">
        <v>1</v>
      </c>
      <c r="E326" s="4">
        <v>17762245</v>
      </c>
      <c r="F326" s="3">
        <f t="shared" si="18"/>
        <v>9</v>
      </c>
      <c r="G326" s="30">
        <f>IF(F326=0, 0, INDEX(tbl_Vulnerability[[0 ft]:[10 ft]], MATCH(Simulation!C326, tbl_Vulnerability[Construction_Class], 0), MATCH(Simulation!F326,{0,1,2,3,5,8,10}, 1)))</f>
        <v>0.9</v>
      </c>
      <c r="H326" s="4">
        <f t="shared" si="19"/>
        <v>15986020.5</v>
      </c>
      <c r="I326" s="33">
        <f t="shared" si="20"/>
        <v>888112.25</v>
      </c>
      <c r="J326" s="33">
        <f t="shared" si="21"/>
        <v>15097908.25</v>
      </c>
    </row>
    <row r="327" spans="1:10">
      <c r="A327" s="3">
        <v>10000318</v>
      </c>
      <c r="B327" s="3" t="str">
        <v>Jalpaiguri</v>
      </c>
      <c r="C327" s="3" t="str">
        <v>Unreinforced Masonry</v>
      </c>
      <c r="D327" s="3">
        <v>0</v>
      </c>
      <c r="E327" s="4">
        <v>16478371</v>
      </c>
      <c r="F327" s="3">
        <f t="shared" si="18"/>
        <v>0</v>
      </c>
      <c r="G327" s="30">
        <f>IF(F327=0, 0, INDEX(tbl_Vulnerability[[0 ft]:[10 ft]], MATCH(Simulation!C327, tbl_Vulnerability[Construction_Class], 0), MATCH(Simulation!F327,{0,1,2,3,5,8,10}, 1)))</f>
        <v>0</v>
      </c>
      <c r="H327" s="4">
        <f t="shared" si="19"/>
        <v>0</v>
      </c>
      <c r="I327" s="33">
        <f t="shared" si="20"/>
        <v>823918.55</v>
      </c>
      <c r="J327" s="33">
        <f t="shared" si="21"/>
        <v>0</v>
      </c>
    </row>
    <row r="328" spans="1:10">
      <c r="A328" s="3">
        <v>10000319</v>
      </c>
      <c r="B328" s="3" t="str">
        <v>Malda</v>
      </c>
      <c r="C328" s="3" t="str">
        <v>Unreinforced Masonry</v>
      </c>
      <c r="D328" s="3">
        <v>0</v>
      </c>
      <c r="E328" s="4">
        <v>23275381</v>
      </c>
      <c r="F328" s="3">
        <f t="shared" si="18"/>
        <v>10</v>
      </c>
      <c r="G328" s="30">
        <f>IF(F328=0, 0, INDEX(tbl_Vulnerability[[0 ft]:[10 ft]], MATCH(Simulation!C328, tbl_Vulnerability[Construction_Class], 0), MATCH(Simulation!F328,{0,1,2,3,5,8,10}, 1)))</f>
        <v>1</v>
      </c>
      <c r="H328" s="4">
        <f t="shared" si="19"/>
        <v>23275381</v>
      </c>
      <c r="I328" s="33">
        <f t="shared" si="20"/>
        <v>1163769.05</v>
      </c>
      <c r="J328" s="33">
        <f t="shared" si="21"/>
        <v>22111611.949999999</v>
      </c>
    </row>
    <row r="329" spans="1:10">
      <c r="A329" s="3">
        <v>10000320</v>
      </c>
      <c r="B329" s="3" t="str">
        <v>Malda</v>
      </c>
      <c r="C329" s="3" t="str">
        <v>Reinforced Concrete</v>
      </c>
      <c r="D329" s="3">
        <v>5</v>
      </c>
      <c r="E329" s="4">
        <v>50374846</v>
      </c>
      <c r="F329" s="3">
        <f t="shared" si="18"/>
        <v>5</v>
      </c>
      <c r="G329" s="30">
        <f>IF(F329=0, 0, INDEX(tbl_Vulnerability[[0 ft]:[10 ft]], MATCH(Simulation!C329, tbl_Vulnerability[Construction_Class], 0), MATCH(Simulation!F329,{0,1,2,3,5,8,10}, 1)))</f>
        <v>0.2</v>
      </c>
      <c r="H329" s="4">
        <f t="shared" si="19"/>
        <v>10074969.200000001</v>
      </c>
      <c r="I329" s="33">
        <f t="shared" si="20"/>
        <v>2518742.3000000003</v>
      </c>
      <c r="J329" s="33">
        <f t="shared" si="21"/>
        <v>7556226.9000000004</v>
      </c>
    </row>
    <row r="330" spans="1:10">
      <c r="A330" s="3">
        <v>10000321</v>
      </c>
      <c r="B330" s="3" t="str">
        <v>Malda</v>
      </c>
      <c r="C330" s="3" t="str">
        <v>Adobe / Light Timber</v>
      </c>
      <c r="D330" s="3">
        <v>2</v>
      </c>
      <c r="E330" s="4">
        <v>509898</v>
      </c>
      <c r="F330" s="3">
        <f t="shared" si="18"/>
        <v>8</v>
      </c>
      <c r="G330" s="30">
        <f>IF(F330=0, 0, INDEX(tbl_Vulnerability[[0 ft]:[10 ft]], MATCH(Simulation!C330, tbl_Vulnerability[Construction_Class], 0), MATCH(Simulation!F330,{0,1,2,3,5,8,10}, 1)))</f>
        <v>1</v>
      </c>
      <c r="H330" s="4">
        <f t="shared" si="19"/>
        <v>509898</v>
      </c>
      <c r="I330" s="33">
        <f t="shared" si="20"/>
        <v>25494.9</v>
      </c>
      <c r="J330" s="33">
        <f t="shared" si="21"/>
        <v>484403.1</v>
      </c>
    </row>
    <row r="331" spans="1:10">
      <c r="A331" s="3">
        <v>10000322</v>
      </c>
      <c r="B331" s="3" t="str">
        <v>Jalpaiguri</v>
      </c>
      <c r="C331" s="3" t="str">
        <v>Reinforced Concrete</v>
      </c>
      <c r="D331" s="3">
        <v>5</v>
      </c>
      <c r="E331" s="4">
        <v>59230872</v>
      </c>
      <c r="F331" s="3">
        <f t="shared" ref="F331:F394" si="22">IF(B331=$B$2, MAX(0, $B$3 - D331), 0)</f>
        <v>0</v>
      </c>
      <c r="G331" s="30">
        <f>IF(F331=0, 0, INDEX(tbl_Vulnerability[[0 ft]:[10 ft]], MATCH(Simulation!C331, tbl_Vulnerability[Construction_Class], 0), MATCH(Simulation!F331,{0,1,2,3,5,8,10}, 1)))</f>
        <v>0</v>
      </c>
      <c r="H331" s="4">
        <f t="shared" ref="H331:H394" si="23">E331*G331</f>
        <v>0</v>
      </c>
      <c r="I331" s="33">
        <f t="shared" ref="I331:I394" si="24">E331*$B$4</f>
        <v>2961543.6</v>
      </c>
      <c r="J331" s="33">
        <f t="shared" ref="J331:J394" si="25">MAX(0, H331 - I331)</f>
        <v>0</v>
      </c>
    </row>
    <row r="332" spans="1:10">
      <c r="A332" s="3">
        <v>10000323</v>
      </c>
      <c r="B332" s="3" t="str">
        <v>Kolkata</v>
      </c>
      <c r="C332" s="3" t="str">
        <v>Unreinforced Masonry</v>
      </c>
      <c r="D332" s="3">
        <v>1</v>
      </c>
      <c r="E332" s="4">
        <v>27433674</v>
      </c>
      <c r="F332" s="3">
        <f t="shared" si="22"/>
        <v>0</v>
      </c>
      <c r="G332" s="30">
        <f>IF(F332=0, 0, INDEX(tbl_Vulnerability[[0 ft]:[10 ft]], MATCH(Simulation!C332, tbl_Vulnerability[Construction_Class], 0), MATCH(Simulation!F332,{0,1,2,3,5,8,10}, 1)))</f>
        <v>0</v>
      </c>
      <c r="H332" s="4">
        <f t="shared" si="23"/>
        <v>0</v>
      </c>
      <c r="I332" s="33">
        <f t="shared" si="24"/>
        <v>1371683.7000000002</v>
      </c>
      <c r="J332" s="33">
        <f t="shared" si="25"/>
        <v>0</v>
      </c>
    </row>
    <row r="333" spans="1:10">
      <c r="A333" s="3">
        <v>10000324</v>
      </c>
      <c r="B333" s="3" t="str">
        <v>Jalpaiguri</v>
      </c>
      <c r="C333" s="3" t="str">
        <v>Reinforced Concrete</v>
      </c>
      <c r="D333" s="3">
        <v>3</v>
      </c>
      <c r="E333" s="4">
        <v>57655975</v>
      </c>
      <c r="F333" s="3">
        <f t="shared" si="22"/>
        <v>0</v>
      </c>
      <c r="G333" s="30">
        <f>IF(F333=0, 0, INDEX(tbl_Vulnerability[[0 ft]:[10 ft]], MATCH(Simulation!C333, tbl_Vulnerability[Construction_Class], 0), MATCH(Simulation!F333,{0,1,2,3,5,8,10}, 1)))</f>
        <v>0</v>
      </c>
      <c r="H333" s="4">
        <f t="shared" si="23"/>
        <v>0</v>
      </c>
      <c r="I333" s="33">
        <f t="shared" si="24"/>
        <v>2882798.75</v>
      </c>
      <c r="J333" s="33">
        <f t="shared" si="25"/>
        <v>0</v>
      </c>
    </row>
    <row r="334" spans="1:10">
      <c r="A334" s="3">
        <v>10000325</v>
      </c>
      <c r="B334" s="3" t="str">
        <v>Hooghly</v>
      </c>
      <c r="C334" s="3" t="str">
        <v>Reinforced Concrete</v>
      </c>
      <c r="D334" s="3">
        <v>3</v>
      </c>
      <c r="E334" s="4">
        <v>21518678</v>
      </c>
      <c r="F334" s="3">
        <f t="shared" si="22"/>
        <v>0</v>
      </c>
      <c r="G334" s="30">
        <f>IF(F334=0, 0, INDEX(tbl_Vulnerability[[0 ft]:[10 ft]], MATCH(Simulation!C334, tbl_Vulnerability[Construction_Class], 0), MATCH(Simulation!F334,{0,1,2,3,5,8,10}, 1)))</f>
        <v>0</v>
      </c>
      <c r="H334" s="4">
        <f t="shared" si="23"/>
        <v>0</v>
      </c>
      <c r="I334" s="33">
        <f t="shared" si="24"/>
        <v>1075933.9000000001</v>
      </c>
      <c r="J334" s="33">
        <f t="shared" si="25"/>
        <v>0</v>
      </c>
    </row>
    <row r="335" spans="1:10">
      <c r="A335" s="3">
        <v>10000326</v>
      </c>
      <c r="B335" s="3" t="str">
        <v>Kolkata</v>
      </c>
      <c r="C335" s="3" t="str">
        <v>Reinforced Concrete</v>
      </c>
      <c r="D335" s="3">
        <v>5</v>
      </c>
      <c r="E335" s="4">
        <v>53078505</v>
      </c>
      <c r="F335" s="3">
        <f t="shared" si="22"/>
        <v>0</v>
      </c>
      <c r="G335" s="30">
        <f>IF(F335=0, 0, INDEX(tbl_Vulnerability[[0 ft]:[10 ft]], MATCH(Simulation!C335, tbl_Vulnerability[Construction_Class], 0), MATCH(Simulation!F335,{0,1,2,3,5,8,10}, 1)))</f>
        <v>0</v>
      </c>
      <c r="H335" s="4">
        <f t="shared" si="23"/>
        <v>0</v>
      </c>
      <c r="I335" s="33">
        <f t="shared" si="24"/>
        <v>2653925.25</v>
      </c>
      <c r="J335" s="33">
        <f t="shared" si="25"/>
        <v>0</v>
      </c>
    </row>
    <row r="336" spans="1:10">
      <c r="A336" s="3">
        <v>10000327</v>
      </c>
      <c r="B336" s="3" t="str">
        <v>Paschim Medinipur</v>
      </c>
      <c r="C336" s="3" t="str">
        <v>Reinforced Concrete</v>
      </c>
      <c r="D336" s="3">
        <v>5</v>
      </c>
      <c r="E336" s="4">
        <v>56751405</v>
      </c>
      <c r="F336" s="3">
        <f t="shared" si="22"/>
        <v>0</v>
      </c>
      <c r="G336" s="30">
        <f>IF(F336=0, 0, INDEX(tbl_Vulnerability[[0 ft]:[10 ft]], MATCH(Simulation!C336, tbl_Vulnerability[Construction_Class], 0), MATCH(Simulation!F336,{0,1,2,3,5,8,10}, 1)))</f>
        <v>0</v>
      </c>
      <c r="H336" s="4">
        <f t="shared" si="23"/>
        <v>0</v>
      </c>
      <c r="I336" s="33">
        <f t="shared" si="24"/>
        <v>2837570.25</v>
      </c>
      <c r="J336" s="33">
        <f t="shared" si="25"/>
        <v>0</v>
      </c>
    </row>
    <row r="337" spans="1:10">
      <c r="A337" s="3">
        <v>10000328</v>
      </c>
      <c r="B337" s="3" t="str">
        <v>Hooghly</v>
      </c>
      <c r="C337" s="3" t="str">
        <v>Unreinforced Masonry</v>
      </c>
      <c r="D337" s="3">
        <v>2</v>
      </c>
      <c r="E337" s="4">
        <v>12920624</v>
      </c>
      <c r="F337" s="3">
        <f t="shared" si="22"/>
        <v>0</v>
      </c>
      <c r="G337" s="30">
        <f>IF(F337=0, 0, INDEX(tbl_Vulnerability[[0 ft]:[10 ft]], MATCH(Simulation!C337, tbl_Vulnerability[Construction_Class], 0), MATCH(Simulation!F337,{0,1,2,3,5,8,10}, 1)))</f>
        <v>0</v>
      </c>
      <c r="H337" s="4">
        <f t="shared" si="23"/>
        <v>0</v>
      </c>
      <c r="I337" s="33">
        <f t="shared" si="24"/>
        <v>646031.20000000007</v>
      </c>
      <c r="J337" s="33">
        <f t="shared" si="25"/>
        <v>0</v>
      </c>
    </row>
    <row r="338" spans="1:10">
      <c r="A338" s="3">
        <v>10000329</v>
      </c>
      <c r="B338" s="3" t="str">
        <v>Kolkata</v>
      </c>
      <c r="C338" s="3" t="str">
        <v>Reinforced Concrete</v>
      </c>
      <c r="D338" s="3">
        <v>3</v>
      </c>
      <c r="E338" s="4">
        <v>74342114</v>
      </c>
      <c r="F338" s="3">
        <f t="shared" si="22"/>
        <v>0</v>
      </c>
      <c r="G338" s="30">
        <f>IF(F338=0, 0, INDEX(tbl_Vulnerability[[0 ft]:[10 ft]], MATCH(Simulation!C338, tbl_Vulnerability[Construction_Class], 0), MATCH(Simulation!F338,{0,1,2,3,5,8,10}, 1)))</f>
        <v>0</v>
      </c>
      <c r="H338" s="4">
        <f t="shared" si="23"/>
        <v>0</v>
      </c>
      <c r="I338" s="33">
        <f t="shared" si="24"/>
        <v>3717105.7</v>
      </c>
      <c r="J338" s="33">
        <f t="shared" si="25"/>
        <v>0</v>
      </c>
    </row>
    <row r="339" spans="1:10">
      <c r="A339" s="3">
        <v>10000330</v>
      </c>
      <c r="B339" s="3" t="str">
        <v>Malda</v>
      </c>
      <c r="C339" s="3" t="str">
        <v>Reinforced Concrete</v>
      </c>
      <c r="D339" s="3">
        <v>5</v>
      </c>
      <c r="E339" s="4">
        <v>52209849</v>
      </c>
      <c r="F339" s="3">
        <f t="shared" si="22"/>
        <v>5</v>
      </c>
      <c r="G339" s="30">
        <f>IF(F339=0, 0, INDEX(tbl_Vulnerability[[0 ft]:[10 ft]], MATCH(Simulation!C339, tbl_Vulnerability[Construction_Class], 0), MATCH(Simulation!F339,{0,1,2,3,5,8,10}, 1)))</f>
        <v>0.2</v>
      </c>
      <c r="H339" s="4">
        <f t="shared" si="23"/>
        <v>10441969.800000001</v>
      </c>
      <c r="I339" s="33">
        <f t="shared" si="24"/>
        <v>2610492.4500000002</v>
      </c>
      <c r="J339" s="33">
        <f t="shared" si="25"/>
        <v>7831477.3500000006</v>
      </c>
    </row>
    <row r="340" spans="1:10">
      <c r="A340" s="3">
        <v>10000331</v>
      </c>
      <c r="B340" s="3" t="str">
        <v>Paschim Medinipur</v>
      </c>
      <c r="C340" s="3" t="str">
        <v>Reinforced Concrete</v>
      </c>
      <c r="D340" s="3">
        <v>4</v>
      </c>
      <c r="E340" s="4">
        <v>18639840</v>
      </c>
      <c r="F340" s="3">
        <f t="shared" si="22"/>
        <v>0</v>
      </c>
      <c r="G340" s="30">
        <f>IF(F340=0, 0, INDEX(tbl_Vulnerability[[0 ft]:[10 ft]], MATCH(Simulation!C340, tbl_Vulnerability[Construction_Class], 0), MATCH(Simulation!F340,{0,1,2,3,5,8,10}, 1)))</f>
        <v>0</v>
      </c>
      <c r="H340" s="4">
        <f t="shared" si="23"/>
        <v>0</v>
      </c>
      <c r="I340" s="33">
        <f t="shared" si="24"/>
        <v>931992</v>
      </c>
      <c r="J340" s="33">
        <f t="shared" si="25"/>
        <v>0</v>
      </c>
    </row>
    <row r="341" spans="1:10">
      <c r="A341" s="3">
        <v>10000332</v>
      </c>
      <c r="B341" s="3" t="str">
        <v>Paschim Medinipur</v>
      </c>
      <c r="C341" s="3" t="str">
        <v>Reinforced Concrete</v>
      </c>
      <c r="D341" s="3">
        <v>4</v>
      </c>
      <c r="E341" s="4">
        <v>5603837</v>
      </c>
      <c r="F341" s="3">
        <f t="shared" si="22"/>
        <v>0</v>
      </c>
      <c r="G341" s="30">
        <f>IF(F341=0, 0, INDEX(tbl_Vulnerability[[0 ft]:[10 ft]], MATCH(Simulation!C341, tbl_Vulnerability[Construction_Class], 0), MATCH(Simulation!F341,{0,1,2,3,5,8,10}, 1)))</f>
        <v>0</v>
      </c>
      <c r="H341" s="4">
        <f t="shared" si="23"/>
        <v>0</v>
      </c>
      <c r="I341" s="33">
        <f t="shared" si="24"/>
        <v>280191.85000000003</v>
      </c>
      <c r="J341" s="33">
        <f t="shared" si="25"/>
        <v>0</v>
      </c>
    </row>
    <row r="342" spans="1:10">
      <c r="A342" s="3">
        <v>10000333</v>
      </c>
      <c r="B342" s="3" t="str">
        <v>Hooghly</v>
      </c>
      <c r="C342" s="3" t="str">
        <v>Reinforced Concrete</v>
      </c>
      <c r="D342" s="3">
        <v>4</v>
      </c>
      <c r="E342" s="4">
        <v>45125774</v>
      </c>
      <c r="F342" s="3">
        <f t="shared" si="22"/>
        <v>0</v>
      </c>
      <c r="G342" s="30">
        <f>IF(F342=0, 0, INDEX(tbl_Vulnerability[[0 ft]:[10 ft]], MATCH(Simulation!C342, tbl_Vulnerability[Construction_Class], 0), MATCH(Simulation!F342,{0,1,2,3,5,8,10}, 1)))</f>
        <v>0</v>
      </c>
      <c r="H342" s="4">
        <f t="shared" si="23"/>
        <v>0</v>
      </c>
      <c r="I342" s="33">
        <f t="shared" si="24"/>
        <v>2256288.7000000002</v>
      </c>
      <c r="J342" s="33">
        <f t="shared" si="25"/>
        <v>0</v>
      </c>
    </row>
    <row r="343" spans="1:10">
      <c r="A343" s="3">
        <v>10000334</v>
      </c>
      <c r="B343" s="3" t="str">
        <v>Malda</v>
      </c>
      <c r="C343" s="3" t="str">
        <v>Reinforced Concrete</v>
      </c>
      <c r="D343" s="3">
        <v>5</v>
      </c>
      <c r="E343" s="4">
        <v>54074193</v>
      </c>
      <c r="F343" s="3">
        <f t="shared" si="22"/>
        <v>5</v>
      </c>
      <c r="G343" s="30">
        <f>IF(F343=0, 0, INDEX(tbl_Vulnerability[[0 ft]:[10 ft]], MATCH(Simulation!C343, tbl_Vulnerability[Construction_Class], 0), MATCH(Simulation!F343,{0,1,2,3,5,8,10}, 1)))</f>
        <v>0.2</v>
      </c>
      <c r="H343" s="4">
        <f t="shared" si="23"/>
        <v>10814838.600000001</v>
      </c>
      <c r="I343" s="33">
        <f t="shared" si="24"/>
        <v>2703709.6500000004</v>
      </c>
      <c r="J343" s="33">
        <f t="shared" si="25"/>
        <v>8111128.9500000011</v>
      </c>
    </row>
    <row r="344" spans="1:10">
      <c r="A344" s="3">
        <v>10000335</v>
      </c>
      <c r="B344" s="3" t="str">
        <v>Paschim Medinipur</v>
      </c>
      <c r="C344" s="3" t="str">
        <v>Reinforced Concrete</v>
      </c>
      <c r="D344" s="3">
        <v>3</v>
      </c>
      <c r="E344" s="4">
        <v>49303445</v>
      </c>
      <c r="F344" s="3">
        <f t="shared" si="22"/>
        <v>0</v>
      </c>
      <c r="G344" s="30">
        <f>IF(F344=0, 0, INDEX(tbl_Vulnerability[[0 ft]:[10 ft]], MATCH(Simulation!C344, tbl_Vulnerability[Construction_Class], 0), MATCH(Simulation!F344,{0,1,2,3,5,8,10}, 1)))</f>
        <v>0</v>
      </c>
      <c r="H344" s="4">
        <f t="shared" si="23"/>
        <v>0</v>
      </c>
      <c r="I344" s="33">
        <f t="shared" si="24"/>
        <v>2465172.25</v>
      </c>
      <c r="J344" s="33">
        <f t="shared" si="25"/>
        <v>0</v>
      </c>
    </row>
    <row r="345" spans="1:10">
      <c r="A345" s="3">
        <v>10000336</v>
      </c>
      <c r="B345" s="3" t="str">
        <v>Paschim Medinipur</v>
      </c>
      <c r="C345" s="3" t="str">
        <v>Reinforced Concrete</v>
      </c>
      <c r="D345" s="3">
        <v>3</v>
      </c>
      <c r="E345" s="4">
        <v>20590985</v>
      </c>
      <c r="F345" s="3">
        <f t="shared" si="22"/>
        <v>0</v>
      </c>
      <c r="G345" s="30">
        <f>IF(F345=0, 0, INDEX(tbl_Vulnerability[[0 ft]:[10 ft]], MATCH(Simulation!C345, tbl_Vulnerability[Construction_Class], 0), MATCH(Simulation!F345,{0,1,2,3,5,8,10}, 1)))</f>
        <v>0</v>
      </c>
      <c r="H345" s="4">
        <f t="shared" si="23"/>
        <v>0</v>
      </c>
      <c r="I345" s="33">
        <f t="shared" si="24"/>
        <v>1029549.25</v>
      </c>
      <c r="J345" s="33">
        <f t="shared" si="25"/>
        <v>0</v>
      </c>
    </row>
    <row r="346" spans="1:10">
      <c r="A346" s="3">
        <v>10000337</v>
      </c>
      <c r="B346" s="3" t="str">
        <v>Kolkata</v>
      </c>
      <c r="C346" s="3" t="str">
        <v>Reinforced Concrete</v>
      </c>
      <c r="D346" s="3">
        <v>4</v>
      </c>
      <c r="E346" s="4">
        <v>3561444</v>
      </c>
      <c r="F346" s="3">
        <f t="shared" si="22"/>
        <v>0</v>
      </c>
      <c r="G346" s="30">
        <f>IF(F346=0, 0, INDEX(tbl_Vulnerability[[0 ft]:[10 ft]], MATCH(Simulation!C346, tbl_Vulnerability[Construction_Class], 0), MATCH(Simulation!F346,{0,1,2,3,5,8,10}, 1)))</f>
        <v>0</v>
      </c>
      <c r="H346" s="4">
        <f t="shared" si="23"/>
        <v>0</v>
      </c>
      <c r="I346" s="33">
        <f t="shared" si="24"/>
        <v>178072.2</v>
      </c>
      <c r="J346" s="33">
        <f t="shared" si="25"/>
        <v>0</v>
      </c>
    </row>
    <row r="347" spans="1:10">
      <c r="A347" s="3">
        <v>10000338</v>
      </c>
      <c r="B347" s="3" t="str">
        <v>South 24 Parganas</v>
      </c>
      <c r="C347" s="3" t="str">
        <v>Reinforced Concrete</v>
      </c>
      <c r="D347" s="3">
        <v>5</v>
      </c>
      <c r="E347" s="4">
        <v>53686901</v>
      </c>
      <c r="F347" s="3">
        <f t="shared" si="22"/>
        <v>0</v>
      </c>
      <c r="G347" s="30">
        <f>IF(F347=0, 0, INDEX(tbl_Vulnerability[[0 ft]:[10 ft]], MATCH(Simulation!C347, tbl_Vulnerability[Construction_Class], 0), MATCH(Simulation!F347,{0,1,2,3,5,8,10}, 1)))</f>
        <v>0</v>
      </c>
      <c r="H347" s="4">
        <f t="shared" si="23"/>
        <v>0</v>
      </c>
      <c r="I347" s="33">
        <f t="shared" si="24"/>
        <v>2684345.0500000003</v>
      </c>
      <c r="J347" s="33">
        <f t="shared" si="25"/>
        <v>0</v>
      </c>
    </row>
    <row r="348" spans="1:10">
      <c r="A348" s="3">
        <v>10000339</v>
      </c>
      <c r="B348" s="3" t="str">
        <v>South 24 Parganas</v>
      </c>
      <c r="C348" s="3" t="str">
        <v>Reinforced Concrete</v>
      </c>
      <c r="D348" s="3">
        <v>3</v>
      </c>
      <c r="E348" s="4">
        <v>21117833</v>
      </c>
      <c r="F348" s="3">
        <f t="shared" si="22"/>
        <v>0</v>
      </c>
      <c r="G348" s="30">
        <f>IF(F348=0, 0, INDEX(tbl_Vulnerability[[0 ft]:[10 ft]], MATCH(Simulation!C348, tbl_Vulnerability[Construction_Class], 0), MATCH(Simulation!F348,{0,1,2,3,5,8,10}, 1)))</f>
        <v>0</v>
      </c>
      <c r="H348" s="4">
        <f t="shared" si="23"/>
        <v>0</v>
      </c>
      <c r="I348" s="33">
        <f t="shared" si="24"/>
        <v>1055891.6500000001</v>
      </c>
      <c r="J348" s="33">
        <f t="shared" si="25"/>
        <v>0</v>
      </c>
    </row>
    <row r="349" spans="1:10">
      <c r="A349" s="3">
        <v>10000340</v>
      </c>
      <c r="B349" s="3" t="str">
        <v>Hooghly</v>
      </c>
      <c r="C349" s="3" t="str">
        <v>Unreinforced Masonry</v>
      </c>
      <c r="D349" s="3">
        <v>1</v>
      </c>
      <c r="E349" s="4">
        <v>15016269</v>
      </c>
      <c r="F349" s="3">
        <f t="shared" si="22"/>
        <v>0</v>
      </c>
      <c r="G349" s="30">
        <f>IF(F349=0, 0, INDEX(tbl_Vulnerability[[0 ft]:[10 ft]], MATCH(Simulation!C349, tbl_Vulnerability[Construction_Class], 0), MATCH(Simulation!F349,{0,1,2,3,5,8,10}, 1)))</f>
        <v>0</v>
      </c>
      <c r="H349" s="4">
        <f t="shared" si="23"/>
        <v>0</v>
      </c>
      <c r="I349" s="33">
        <f t="shared" si="24"/>
        <v>750813.45000000007</v>
      </c>
      <c r="J349" s="33">
        <f t="shared" si="25"/>
        <v>0</v>
      </c>
    </row>
    <row r="350" spans="1:10">
      <c r="A350" s="3">
        <v>10000341</v>
      </c>
      <c r="B350" s="3" t="str">
        <v>South 24 Parganas</v>
      </c>
      <c r="C350" s="3" t="str">
        <v>Reinforced Concrete</v>
      </c>
      <c r="D350" s="3">
        <v>3</v>
      </c>
      <c r="E350" s="4">
        <v>52395520</v>
      </c>
      <c r="F350" s="3">
        <f t="shared" si="22"/>
        <v>0</v>
      </c>
      <c r="G350" s="30">
        <f>IF(F350=0, 0, INDEX(tbl_Vulnerability[[0 ft]:[10 ft]], MATCH(Simulation!C350, tbl_Vulnerability[Construction_Class], 0), MATCH(Simulation!F350,{0,1,2,3,5,8,10}, 1)))</f>
        <v>0</v>
      </c>
      <c r="H350" s="4">
        <f t="shared" si="23"/>
        <v>0</v>
      </c>
      <c r="I350" s="33">
        <f t="shared" si="24"/>
        <v>2619776</v>
      </c>
      <c r="J350" s="33">
        <f t="shared" si="25"/>
        <v>0</v>
      </c>
    </row>
    <row r="351" spans="1:10">
      <c r="A351" s="3">
        <v>10000342</v>
      </c>
      <c r="B351" s="3" t="str">
        <v>Hooghly</v>
      </c>
      <c r="C351" s="3" t="str">
        <v>Unreinforced Masonry</v>
      </c>
      <c r="D351" s="3">
        <v>2</v>
      </c>
      <c r="E351" s="4">
        <v>10666386</v>
      </c>
      <c r="F351" s="3">
        <f t="shared" si="22"/>
        <v>0</v>
      </c>
      <c r="G351" s="30">
        <f>IF(F351=0, 0, INDEX(tbl_Vulnerability[[0 ft]:[10 ft]], MATCH(Simulation!C351, tbl_Vulnerability[Construction_Class], 0), MATCH(Simulation!F351,{0,1,2,3,5,8,10}, 1)))</f>
        <v>0</v>
      </c>
      <c r="H351" s="4">
        <f t="shared" si="23"/>
        <v>0</v>
      </c>
      <c r="I351" s="33">
        <f t="shared" si="24"/>
        <v>533319.30000000005</v>
      </c>
      <c r="J351" s="33">
        <f t="shared" si="25"/>
        <v>0</v>
      </c>
    </row>
    <row r="352" spans="1:10">
      <c r="A352" s="3">
        <v>10000343</v>
      </c>
      <c r="B352" s="3" t="str">
        <v>Kolkata</v>
      </c>
      <c r="C352" s="3" t="str">
        <v>Adobe / Light Timber</v>
      </c>
      <c r="D352" s="3">
        <v>0</v>
      </c>
      <c r="E352" s="4">
        <v>446239</v>
      </c>
      <c r="F352" s="3">
        <f t="shared" si="22"/>
        <v>0</v>
      </c>
      <c r="G352" s="30">
        <f>IF(F352=0, 0, INDEX(tbl_Vulnerability[[0 ft]:[10 ft]], MATCH(Simulation!C352, tbl_Vulnerability[Construction_Class], 0), MATCH(Simulation!F352,{0,1,2,3,5,8,10}, 1)))</f>
        <v>0</v>
      </c>
      <c r="H352" s="4">
        <f t="shared" si="23"/>
        <v>0</v>
      </c>
      <c r="I352" s="33">
        <f t="shared" si="24"/>
        <v>22311.95</v>
      </c>
      <c r="J352" s="33">
        <f t="shared" si="25"/>
        <v>0</v>
      </c>
    </row>
    <row r="353" spans="1:10">
      <c r="A353" s="3">
        <v>10000344</v>
      </c>
      <c r="B353" s="3" t="str">
        <v>Paschim Medinipur</v>
      </c>
      <c r="C353" s="3" t="str">
        <v>Reinforced Concrete</v>
      </c>
      <c r="D353" s="3">
        <v>5</v>
      </c>
      <c r="E353" s="4">
        <v>44308196</v>
      </c>
      <c r="F353" s="3">
        <f t="shared" si="22"/>
        <v>0</v>
      </c>
      <c r="G353" s="30">
        <f>IF(F353=0, 0, INDEX(tbl_Vulnerability[[0 ft]:[10 ft]], MATCH(Simulation!C353, tbl_Vulnerability[Construction_Class], 0), MATCH(Simulation!F353,{0,1,2,3,5,8,10}, 1)))</f>
        <v>0</v>
      </c>
      <c r="H353" s="4">
        <f t="shared" si="23"/>
        <v>0</v>
      </c>
      <c r="I353" s="33">
        <f t="shared" si="24"/>
        <v>2215409.8000000003</v>
      </c>
      <c r="J353" s="33">
        <f t="shared" si="25"/>
        <v>0</v>
      </c>
    </row>
    <row r="354" spans="1:10">
      <c r="A354" s="3">
        <v>10000345</v>
      </c>
      <c r="B354" s="3" t="str">
        <v>Malda</v>
      </c>
      <c r="C354" s="3" t="str">
        <v>Reinforced Concrete</v>
      </c>
      <c r="D354" s="3">
        <v>3</v>
      </c>
      <c r="E354" s="4">
        <v>13813193</v>
      </c>
      <c r="F354" s="3">
        <f t="shared" si="22"/>
        <v>7</v>
      </c>
      <c r="G354" s="30">
        <f>IF(F354=0, 0, INDEX(tbl_Vulnerability[[0 ft]:[10 ft]], MATCH(Simulation!C354, tbl_Vulnerability[Construction_Class], 0), MATCH(Simulation!F354,{0,1,2,3,5,8,10}, 1)))</f>
        <v>0.2</v>
      </c>
      <c r="H354" s="4">
        <f t="shared" si="23"/>
        <v>2762638.6</v>
      </c>
      <c r="I354" s="33">
        <f t="shared" si="24"/>
        <v>690659.65</v>
      </c>
      <c r="J354" s="33">
        <f t="shared" si="25"/>
        <v>2071978.9500000002</v>
      </c>
    </row>
    <row r="355" spans="1:10">
      <c r="A355" s="3">
        <v>10000346</v>
      </c>
      <c r="B355" s="3" t="str">
        <v>Paschim Medinipur</v>
      </c>
      <c r="C355" s="3" t="str">
        <v>Reinforced Concrete</v>
      </c>
      <c r="D355" s="3">
        <v>5</v>
      </c>
      <c r="E355" s="4">
        <v>5976104</v>
      </c>
      <c r="F355" s="3">
        <f t="shared" si="22"/>
        <v>0</v>
      </c>
      <c r="G355" s="30">
        <f>IF(F355=0, 0, INDEX(tbl_Vulnerability[[0 ft]:[10 ft]], MATCH(Simulation!C355, tbl_Vulnerability[Construction_Class], 0), MATCH(Simulation!F355,{0,1,2,3,5,8,10}, 1)))</f>
        <v>0</v>
      </c>
      <c r="H355" s="4">
        <f t="shared" si="23"/>
        <v>0</v>
      </c>
      <c r="I355" s="33">
        <f t="shared" si="24"/>
        <v>298805.2</v>
      </c>
      <c r="J355" s="33">
        <f t="shared" si="25"/>
        <v>0</v>
      </c>
    </row>
    <row r="356" spans="1:10">
      <c r="A356" s="3">
        <v>10000347</v>
      </c>
      <c r="B356" s="3" t="str">
        <v>Jalpaiguri</v>
      </c>
      <c r="C356" s="3" t="str">
        <v>Reinforced Concrete</v>
      </c>
      <c r="D356" s="3">
        <v>4</v>
      </c>
      <c r="E356" s="4">
        <v>42686669</v>
      </c>
      <c r="F356" s="3">
        <f t="shared" si="22"/>
        <v>0</v>
      </c>
      <c r="G356" s="30">
        <f>IF(F356=0, 0, INDEX(tbl_Vulnerability[[0 ft]:[10 ft]], MATCH(Simulation!C356, tbl_Vulnerability[Construction_Class], 0), MATCH(Simulation!F356,{0,1,2,3,5,8,10}, 1)))</f>
        <v>0</v>
      </c>
      <c r="H356" s="4">
        <f t="shared" si="23"/>
        <v>0</v>
      </c>
      <c r="I356" s="33">
        <f t="shared" si="24"/>
        <v>2134333.4500000002</v>
      </c>
      <c r="J356" s="33">
        <f t="shared" si="25"/>
        <v>0</v>
      </c>
    </row>
    <row r="357" spans="1:10">
      <c r="A357" s="3">
        <v>10000348</v>
      </c>
      <c r="B357" s="3" t="str">
        <v>Malda</v>
      </c>
      <c r="C357" s="3" t="str">
        <v>Reinforced Concrete</v>
      </c>
      <c r="D357" s="3">
        <v>5</v>
      </c>
      <c r="E357" s="4">
        <v>44962769</v>
      </c>
      <c r="F357" s="3">
        <f t="shared" si="22"/>
        <v>5</v>
      </c>
      <c r="G357" s="30">
        <f>IF(F357=0, 0, INDEX(tbl_Vulnerability[[0 ft]:[10 ft]], MATCH(Simulation!C357, tbl_Vulnerability[Construction_Class], 0), MATCH(Simulation!F357,{0,1,2,3,5,8,10}, 1)))</f>
        <v>0.2</v>
      </c>
      <c r="H357" s="4">
        <f t="shared" si="23"/>
        <v>8992553.8000000007</v>
      </c>
      <c r="I357" s="33">
        <f t="shared" si="24"/>
        <v>2248138.4500000002</v>
      </c>
      <c r="J357" s="33">
        <f t="shared" si="25"/>
        <v>6744415.3500000006</v>
      </c>
    </row>
    <row r="358" spans="1:10">
      <c r="A358" s="3">
        <v>10000349</v>
      </c>
      <c r="B358" s="3" t="str">
        <v>South 24 Parganas</v>
      </c>
      <c r="C358" s="3" t="str">
        <v>Reinforced Concrete</v>
      </c>
      <c r="D358" s="3">
        <v>3</v>
      </c>
      <c r="E358" s="4">
        <v>1886833</v>
      </c>
      <c r="F358" s="3">
        <f t="shared" si="22"/>
        <v>0</v>
      </c>
      <c r="G358" s="30">
        <f>IF(F358=0, 0, INDEX(tbl_Vulnerability[[0 ft]:[10 ft]], MATCH(Simulation!C358, tbl_Vulnerability[Construction_Class], 0), MATCH(Simulation!F358,{0,1,2,3,5,8,10}, 1)))</f>
        <v>0</v>
      </c>
      <c r="H358" s="4">
        <f t="shared" si="23"/>
        <v>0</v>
      </c>
      <c r="I358" s="33">
        <f t="shared" si="24"/>
        <v>94341.650000000009</v>
      </c>
      <c r="J358" s="33">
        <f t="shared" si="25"/>
        <v>0</v>
      </c>
    </row>
    <row r="359" spans="1:10">
      <c r="A359" s="3">
        <v>10000350</v>
      </c>
      <c r="B359" s="3" t="str">
        <v>Paschim Medinipur</v>
      </c>
      <c r="C359" s="3" t="str">
        <v>Adobe / Light Timber</v>
      </c>
      <c r="D359" s="3">
        <v>1</v>
      </c>
      <c r="E359" s="4">
        <v>522245</v>
      </c>
      <c r="F359" s="3">
        <f t="shared" si="22"/>
        <v>0</v>
      </c>
      <c r="G359" s="30">
        <f>IF(F359=0, 0, INDEX(tbl_Vulnerability[[0 ft]:[10 ft]], MATCH(Simulation!C359, tbl_Vulnerability[Construction_Class], 0), MATCH(Simulation!F359,{0,1,2,3,5,8,10}, 1)))</f>
        <v>0</v>
      </c>
      <c r="H359" s="4">
        <f t="shared" si="23"/>
        <v>0</v>
      </c>
      <c r="I359" s="33">
        <f t="shared" si="24"/>
        <v>26112.25</v>
      </c>
      <c r="J359" s="33">
        <f t="shared" si="25"/>
        <v>0</v>
      </c>
    </row>
    <row r="360" spans="1:10">
      <c r="A360" s="3">
        <v>10000351</v>
      </c>
      <c r="B360" s="3" t="str">
        <v>South 24 Parganas</v>
      </c>
      <c r="C360" s="3" t="str">
        <v>Reinforced Concrete</v>
      </c>
      <c r="D360" s="3">
        <v>3</v>
      </c>
      <c r="E360" s="4">
        <v>47885250</v>
      </c>
      <c r="F360" s="3">
        <f t="shared" si="22"/>
        <v>0</v>
      </c>
      <c r="G360" s="30">
        <f>IF(F360=0, 0, INDEX(tbl_Vulnerability[[0 ft]:[10 ft]], MATCH(Simulation!C360, tbl_Vulnerability[Construction_Class], 0), MATCH(Simulation!F360,{0,1,2,3,5,8,10}, 1)))</f>
        <v>0</v>
      </c>
      <c r="H360" s="4">
        <f t="shared" si="23"/>
        <v>0</v>
      </c>
      <c r="I360" s="33">
        <f t="shared" si="24"/>
        <v>2394262.5</v>
      </c>
      <c r="J360" s="33">
        <f t="shared" si="25"/>
        <v>0</v>
      </c>
    </row>
    <row r="361" spans="1:10">
      <c r="A361" s="3">
        <v>10000352</v>
      </c>
      <c r="B361" s="3" t="str">
        <v>Malda</v>
      </c>
      <c r="C361" s="3" t="str">
        <v>Reinforced Concrete</v>
      </c>
      <c r="D361" s="3">
        <v>3</v>
      </c>
      <c r="E361" s="4">
        <v>63516533</v>
      </c>
      <c r="F361" s="3">
        <f t="shared" si="22"/>
        <v>7</v>
      </c>
      <c r="G361" s="30">
        <f>IF(F361=0, 0, INDEX(tbl_Vulnerability[[0 ft]:[10 ft]], MATCH(Simulation!C361, tbl_Vulnerability[Construction_Class], 0), MATCH(Simulation!F361,{0,1,2,3,5,8,10}, 1)))</f>
        <v>0.2</v>
      </c>
      <c r="H361" s="4">
        <f t="shared" si="23"/>
        <v>12703306.600000001</v>
      </c>
      <c r="I361" s="33">
        <f t="shared" si="24"/>
        <v>3175826.6500000004</v>
      </c>
      <c r="J361" s="33">
        <f t="shared" si="25"/>
        <v>9527479.9500000011</v>
      </c>
    </row>
    <row r="362" spans="1:10">
      <c r="A362" s="3">
        <v>10000353</v>
      </c>
      <c r="B362" s="3" t="str">
        <v>Paschim Medinipur</v>
      </c>
      <c r="C362" s="3" t="str">
        <v>Reinforced Concrete</v>
      </c>
      <c r="D362" s="3">
        <v>3</v>
      </c>
      <c r="E362" s="4">
        <v>50560908</v>
      </c>
      <c r="F362" s="3">
        <f t="shared" si="22"/>
        <v>0</v>
      </c>
      <c r="G362" s="30">
        <f>IF(F362=0, 0, INDEX(tbl_Vulnerability[[0 ft]:[10 ft]], MATCH(Simulation!C362, tbl_Vulnerability[Construction_Class], 0), MATCH(Simulation!F362,{0,1,2,3,5,8,10}, 1)))</f>
        <v>0</v>
      </c>
      <c r="H362" s="4">
        <f t="shared" si="23"/>
        <v>0</v>
      </c>
      <c r="I362" s="33">
        <f t="shared" si="24"/>
        <v>2528045.4000000004</v>
      </c>
      <c r="J362" s="33">
        <f t="shared" si="25"/>
        <v>0</v>
      </c>
    </row>
    <row r="363" spans="1:10">
      <c r="A363" s="3">
        <v>10000354</v>
      </c>
      <c r="B363" s="3" t="str">
        <v>Hooghly</v>
      </c>
      <c r="C363" s="3" t="str">
        <v>Adobe / Light Timber</v>
      </c>
      <c r="D363" s="3">
        <v>1</v>
      </c>
      <c r="E363" s="4">
        <v>418135</v>
      </c>
      <c r="F363" s="3">
        <f t="shared" si="22"/>
        <v>0</v>
      </c>
      <c r="G363" s="30">
        <f>IF(F363=0, 0, INDEX(tbl_Vulnerability[[0 ft]:[10 ft]], MATCH(Simulation!C363, tbl_Vulnerability[Construction_Class], 0), MATCH(Simulation!F363,{0,1,2,3,5,8,10}, 1)))</f>
        <v>0</v>
      </c>
      <c r="H363" s="4">
        <f t="shared" si="23"/>
        <v>0</v>
      </c>
      <c r="I363" s="33">
        <f t="shared" si="24"/>
        <v>20906.75</v>
      </c>
      <c r="J363" s="33">
        <f t="shared" si="25"/>
        <v>0</v>
      </c>
    </row>
    <row r="364" spans="1:10">
      <c r="A364" s="3">
        <v>10000355</v>
      </c>
      <c r="B364" s="3" t="str">
        <v>Hooghly</v>
      </c>
      <c r="C364" s="3" t="str">
        <v>Reinforced Concrete</v>
      </c>
      <c r="D364" s="3">
        <v>5</v>
      </c>
      <c r="E364" s="4">
        <v>5262310</v>
      </c>
      <c r="F364" s="3">
        <f t="shared" si="22"/>
        <v>0</v>
      </c>
      <c r="G364" s="30">
        <f>IF(F364=0, 0, INDEX(tbl_Vulnerability[[0 ft]:[10 ft]], MATCH(Simulation!C364, tbl_Vulnerability[Construction_Class], 0), MATCH(Simulation!F364,{0,1,2,3,5,8,10}, 1)))</f>
        <v>0</v>
      </c>
      <c r="H364" s="4">
        <f t="shared" si="23"/>
        <v>0</v>
      </c>
      <c r="I364" s="33">
        <f t="shared" si="24"/>
        <v>263115.5</v>
      </c>
      <c r="J364" s="33">
        <f t="shared" si="25"/>
        <v>0</v>
      </c>
    </row>
    <row r="365" spans="1:10">
      <c r="A365" s="3">
        <v>10000356</v>
      </c>
      <c r="B365" s="3" t="str">
        <v>Malda</v>
      </c>
      <c r="C365" s="3" t="str">
        <v>Reinforced Concrete</v>
      </c>
      <c r="D365" s="3">
        <v>3</v>
      </c>
      <c r="E365" s="4">
        <v>49092731</v>
      </c>
      <c r="F365" s="3">
        <f t="shared" si="22"/>
        <v>7</v>
      </c>
      <c r="G365" s="30">
        <f>IF(F365=0, 0, INDEX(tbl_Vulnerability[[0 ft]:[10 ft]], MATCH(Simulation!C365, tbl_Vulnerability[Construction_Class], 0), MATCH(Simulation!F365,{0,1,2,3,5,8,10}, 1)))</f>
        <v>0.2</v>
      </c>
      <c r="H365" s="4">
        <f t="shared" si="23"/>
        <v>9818546.2000000011</v>
      </c>
      <c r="I365" s="33">
        <f t="shared" si="24"/>
        <v>2454636.5500000003</v>
      </c>
      <c r="J365" s="33">
        <f t="shared" si="25"/>
        <v>7363909.6500000004</v>
      </c>
    </row>
    <row r="366" spans="1:10">
      <c r="A366" s="3">
        <v>10000357</v>
      </c>
      <c r="B366" s="3" t="str">
        <v>South 24 Parganas</v>
      </c>
      <c r="C366" s="3" t="str">
        <v>Reinforced Concrete</v>
      </c>
      <c r="D366" s="3">
        <v>3</v>
      </c>
      <c r="E366" s="4">
        <v>5743491</v>
      </c>
      <c r="F366" s="3">
        <f t="shared" si="22"/>
        <v>0</v>
      </c>
      <c r="G366" s="30">
        <f>IF(F366=0, 0, INDEX(tbl_Vulnerability[[0 ft]:[10 ft]], MATCH(Simulation!C366, tbl_Vulnerability[Construction_Class], 0), MATCH(Simulation!F366,{0,1,2,3,5,8,10}, 1)))</f>
        <v>0</v>
      </c>
      <c r="H366" s="4">
        <f t="shared" si="23"/>
        <v>0</v>
      </c>
      <c r="I366" s="33">
        <f t="shared" si="24"/>
        <v>287174.55</v>
      </c>
      <c r="J366" s="33">
        <f t="shared" si="25"/>
        <v>0</v>
      </c>
    </row>
    <row r="367" spans="1:10">
      <c r="A367" s="3">
        <v>10000358</v>
      </c>
      <c r="B367" s="3" t="str">
        <v>South 24 Parganas</v>
      </c>
      <c r="C367" s="3" t="str">
        <v>Reinforced Concrete</v>
      </c>
      <c r="D367" s="3">
        <v>4</v>
      </c>
      <c r="E367" s="4">
        <v>42714449</v>
      </c>
      <c r="F367" s="3">
        <f t="shared" si="22"/>
        <v>0</v>
      </c>
      <c r="G367" s="30">
        <f>IF(F367=0, 0, INDEX(tbl_Vulnerability[[0 ft]:[10 ft]], MATCH(Simulation!C367, tbl_Vulnerability[Construction_Class], 0), MATCH(Simulation!F367,{0,1,2,3,5,8,10}, 1)))</f>
        <v>0</v>
      </c>
      <c r="H367" s="4">
        <f t="shared" si="23"/>
        <v>0</v>
      </c>
      <c r="I367" s="33">
        <f t="shared" si="24"/>
        <v>2135722.4500000002</v>
      </c>
      <c r="J367" s="33">
        <f t="shared" si="25"/>
        <v>0</v>
      </c>
    </row>
    <row r="368" spans="1:10">
      <c r="A368" s="3">
        <v>10000359</v>
      </c>
      <c r="B368" s="3" t="str">
        <v>South 24 Parganas</v>
      </c>
      <c r="C368" s="3" t="str">
        <v>Unreinforced Masonry</v>
      </c>
      <c r="D368" s="3">
        <v>0</v>
      </c>
      <c r="E368" s="4">
        <v>24533983</v>
      </c>
      <c r="F368" s="3">
        <f t="shared" si="22"/>
        <v>0</v>
      </c>
      <c r="G368" s="30">
        <f>IF(F368=0, 0, INDEX(tbl_Vulnerability[[0 ft]:[10 ft]], MATCH(Simulation!C368, tbl_Vulnerability[Construction_Class], 0), MATCH(Simulation!F368,{0,1,2,3,5,8,10}, 1)))</f>
        <v>0</v>
      </c>
      <c r="H368" s="4">
        <f t="shared" si="23"/>
        <v>0</v>
      </c>
      <c r="I368" s="33">
        <f t="shared" si="24"/>
        <v>1226699.1500000001</v>
      </c>
      <c r="J368" s="33">
        <f t="shared" si="25"/>
        <v>0</v>
      </c>
    </row>
    <row r="369" spans="1:10">
      <c r="A369" s="3">
        <v>10000360</v>
      </c>
      <c r="B369" s="3" t="str">
        <v>Hooghly</v>
      </c>
      <c r="C369" s="3" t="str">
        <v>Adobe / Light Timber</v>
      </c>
      <c r="D369" s="3">
        <v>2</v>
      </c>
      <c r="E369" s="4">
        <v>474870</v>
      </c>
      <c r="F369" s="3">
        <f t="shared" si="22"/>
        <v>0</v>
      </c>
      <c r="G369" s="30">
        <f>IF(F369=0, 0, INDEX(tbl_Vulnerability[[0 ft]:[10 ft]], MATCH(Simulation!C369, tbl_Vulnerability[Construction_Class], 0), MATCH(Simulation!F369,{0,1,2,3,5,8,10}, 1)))</f>
        <v>0</v>
      </c>
      <c r="H369" s="4">
        <f t="shared" si="23"/>
        <v>0</v>
      </c>
      <c r="I369" s="33">
        <f t="shared" si="24"/>
        <v>23743.5</v>
      </c>
      <c r="J369" s="33">
        <f t="shared" si="25"/>
        <v>0</v>
      </c>
    </row>
    <row r="370" spans="1:10">
      <c r="A370" s="3">
        <v>10000361</v>
      </c>
      <c r="B370" s="3" t="str">
        <v>Malda</v>
      </c>
      <c r="C370" s="3" t="str">
        <v>Reinforced Concrete</v>
      </c>
      <c r="D370" s="3">
        <v>4</v>
      </c>
      <c r="E370" s="4">
        <v>17777918</v>
      </c>
      <c r="F370" s="3">
        <f t="shared" si="22"/>
        <v>6</v>
      </c>
      <c r="G370" s="30">
        <f>IF(F370=0, 0, INDEX(tbl_Vulnerability[[0 ft]:[10 ft]], MATCH(Simulation!C370, tbl_Vulnerability[Construction_Class], 0), MATCH(Simulation!F370,{0,1,2,3,5,8,10}, 1)))</f>
        <v>0.2</v>
      </c>
      <c r="H370" s="4">
        <f t="shared" si="23"/>
        <v>3555583.6</v>
      </c>
      <c r="I370" s="33">
        <f t="shared" si="24"/>
        <v>888895.9</v>
      </c>
      <c r="J370" s="33">
        <f t="shared" si="25"/>
        <v>2666687.7000000002</v>
      </c>
    </row>
    <row r="371" spans="1:10">
      <c r="A371" s="3">
        <v>10000362</v>
      </c>
      <c r="B371" s="3" t="str">
        <v>South 24 Parganas</v>
      </c>
      <c r="C371" s="3" t="str">
        <v>Unreinforced Masonry</v>
      </c>
      <c r="D371" s="3">
        <v>2</v>
      </c>
      <c r="E371" s="4">
        <v>2014762</v>
      </c>
      <c r="F371" s="3">
        <f t="shared" si="22"/>
        <v>0</v>
      </c>
      <c r="G371" s="30">
        <f>IF(F371=0, 0, INDEX(tbl_Vulnerability[[0 ft]:[10 ft]], MATCH(Simulation!C371, tbl_Vulnerability[Construction_Class], 0), MATCH(Simulation!F371,{0,1,2,3,5,8,10}, 1)))</f>
        <v>0</v>
      </c>
      <c r="H371" s="4">
        <f t="shared" si="23"/>
        <v>0</v>
      </c>
      <c r="I371" s="33">
        <f t="shared" si="24"/>
        <v>100738.1</v>
      </c>
      <c r="J371" s="33">
        <f t="shared" si="25"/>
        <v>0</v>
      </c>
    </row>
    <row r="372" spans="1:10">
      <c r="A372" s="3">
        <v>10000363</v>
      </c>
      <c r="B372" s="3" t="str">
        <v>Hooghly</v>
      </c>
      <c r="C372" s="3" t="str">
        <v>Reinforced Concrete</v>
      </c>
      <c r="D372" s="3">
        <v>4</v>
      </c>
      <c r="E372" s="4">
        <v>48073147</v>
      </c>
      <c r="F372" s="3">
        <f t="shared" si="22"/>
        <v>0</v>
      </c>
      <c r="G372" s="30">
        <f>IF(F372=0, 0, INDEX(tbl_Vulnerability[[0 ft]:[10 ft]], MATCH(Simulation!C372, tbl_Vulnerability[Construction_Class], 0), MATCH(Simulation!F372,{0,1,2,3,5,8,10}, 1)))</f>
        <v>0</v>
      </c>
      <c r="H372" s="4">
        <f t="shared" si="23"/>
        <v>0</v>
      </c>
      <c r="I372" s="33">
        <f t="shared" si="24"/>
        <v>2403657.35</v>
      </c>
      <c r="J372" s="33">
        <f t="shared" si="25"/>
        <v>0</v>
      </c>
    </row>
    <row r="373" spans="1:10">
      <c r="A373" s="3">
        <v>10000364</v>
      </c>
      <c r="B373" s="3" t="str">
        <v>Hooghly</v>
      </c>
      <c r="C373" s="3" t="str">
        <v>Reinforced Concrete</v>
      </c>
      <c r="D373" s="3">
        <v>4</v>
      </c>
      <c r="E373" s="4">
        <v>2622339</v>
      </c>
      <c r="F373" s="3">
        <f t="shared" si="22"/>
        <v>0</v>
      </c>
      <c r="G373" s="30">
        <f>IF(F373=0, 0, INDEX(tbl_Vulnerability[[0 ft]:[10 ft]], MATCH(Simulation!C373, tbl_Vulnerability[Construction_Class], 0), MATCH(Simulation!F373,{0,1,2,3,5,8,10}, 1)))</f>
        <v>0</v>
      </c>
      <c r="H373" s="4">
        <f t="shared" si="23"/>
        <v>0</v>
      </c>
      <c r="I373" s="33">
        <f t="shared" si="24"/>
        <v>131116.95000000001</v>
      </c>
      <c r="J373" s="33">
        <f t="shared" si="25"/>
        <v>0</v>
      </c>
    </row>
    <row r="374" spans="1:10">
      <c r="A374" s="3">
        <v>10000365</v>
      </c>
      <c r="B374" s="3" t="str">
        <v>Malda</v>
      </c>
      <c r="C374" s="3" t="str">
        <v>Unreinforced Masonry</v>
      </c>
      <c r="D374" s="3">
        <v>1</v>
      </c>
      <c r="E374" s="4">
        <v>7367681</v>
      </c>
      <c r="F374" s="3">
        <f t="shared" si="22"/>
        <v>9</v>
      </c>
      <c r="G374" s="30">
        <f>IF(F374=0, 0, INDEX(tbl_Vulnerability[[0 ft]:[10 ft]], MATCH(Simulation!C374, tbl_Vulnerability[Construction_Class], 0), MATCH(Simulation!F374,{0,1,2,3,5,8,10}, 1)))</f>
        <v>0.9</v>
      </c>
      <c r="H374" s="4">
        <f t="shared" si="23"/>
        <v>6630912.9000000004</v>
      </c>
      <c r="I374" s="33">
        <f t="shared" si="24"/>
        <v>368384.05000000005</v>
      </c>
      <c r="J374" s="33">
        <f t="shared" si="25"/>
        <v>6262528.8500000006</v>
      </c>
    </row>
    <row r="375" spans="1:10">
      <c r="A375" s="3">
        <v>10000366</v>
      </c>
      <c r="B375" s="3" t="str">
        <v>Kolkata</v>
      </c>
      <c r="C375" s="3" t="str">
        <v>Adobe / Light Timber</v>
      </c>
      <c r="D375" s="3">
        <v>1</v>
      </c>
      <c r="E375" s="4">
        <v>449455</v>
      </c>
      <c r="F375" s="3">
        <f t="shared" si="22"/>
        <v>0</v>
      </c>
      <c r="G375" s="30">
        <f>IF(F375=0, 0, INDEX(tbl_Vulnerability[[0 ft]:[10 ft]], MATCH(Simulation!C375, tbl_Vulnerability[Construction_Class], 0), MATCH(Simulation!F375,{0,1,2,3,5,8,10}, 1)))</f>
        <v>0</v>
      </c>
      <c r="H375" s="4">
        <f t="shared" si="23"/>
        <v>0</v>
      </c>
      <c r="I375" s="33">
        <f t="shared" si="24"/>
        <v>22472.75</v>
      </c>
      <c r="J375" s="33">
        <f t="shared" si="25"/>
        <v>0</v>
      </c>
    </row>
    <row r="376" spans="1:10">
      <c r="A376" s="3">
        <v>10000367</v>
      </c>
      <c r="B376" s="3" t="str">
        <v>Kolkata</v>
      </c>
      <c r="C376" s="3" t="str">
        <v>Reinforced Concrete</v>
      </c>
      <c r="D376" s="3">
        <v>5</v>
      </c>
      <c r="E376" s="4">
        <v>48770723</v>
      </c>
      <c r="F376" s="3">
        <f t="shared" si="22"/>
        <v>0</v>
      </c>
      <c r="G376" s="30">
        <f>IF(F376=0, 0, INDEX(tbl_Vulnerability[[0 ft]:[10 ft]], MATCH(Simulation!C376, tbl_Vulnerability[Construction_Class], 0), MATCH(Simulation!F376,{0,1,2,3,5,8,10}, 1)))</f>
        <v>0</v>
      </c>
      <c r="H376" s="4">
        <f t="shared" si="23"/>
        <v>0</v>
      </c>
      <c r="I376" s="33">
        <f t="shared" si="24"/>
        <v>2438536.15</v>
      </c>
      <c r="J376" s="33">
        <f t="shared" si="25"/>
        <v>0</v>
      </c>
    </row>
    <row r="377" spans="1:10">
      <c r="A377" s="3">
        <v>10000368</v>
      </c>
      <c r="B377" s="3" t="str">
        <v>Jalpaiguri</v>
      </c>
      <c r="C377" s="3" t="str">
        <v>Reinforced Concrete</v>
      </c>
      <c r="D377" s="3">
        <v>5</v>
      </c>
      <c r="E377" s="4">
        <v>11267665</v>
      </c>
      <c r="F377" s="3">
        <f t="shared" si="22"/>
        <v>0</v>
      </c>
      <c r="G377" s="30">
        <f>IF(F377=0, 0, INDEX(tbl_Vulnerability[[0 ft]:[10 ft]], MATCH(Simulation!C377, tbl_Vulnerability[Construction_Class], 0), MATCH(Simulation!F377,{0,1,2,3,5,8,10}, 1)))</f>
        <v>0</v>
      </c>
      <c r="H377" s="4">
        <f t="shared" si="23"/>
        <v>0</v>
      </c>
      <c r="I377" s="33">
        <f t="shared" si="24"/>
        <v>563383.25</v>
      </c>
      <c r="J377" s="33">
        <f t="shared" si="25"/>
        <v>0</v>
      </c>
    </row>
    <row r="378" spans="1:10">
      <c r="A378" s="3">
        <v>10000369</v>
      </c>
      <c r="B378" s="3" t="str">
        <v>Paschim Medinipur</v>
      </c>
      <c r="C378" s="3" t="str">
        <v>Reinforced Concrete</v>
      </c>
      <c r="D378" s="3">
        <v>3</v>
      </c>
      <c r="E378" s="4">
        <v>47958248</v>
      </c>
      <c r="F378" s="3">
        <f t="shared" si="22"/>
        <v>0</v>
      </c>
      <c r="G378" s="30">
        <f>IF(F378=0, 0, INDEX(tbl_Vulnerability[[0 ft]:[10 ft]], MATCH(Simulation!C378, tbl_Vulnerability[Construction_Class], 0), MATCH(Simulation!F378,{0,1,2,3,5,8,10}, 1)))</f>
        <v>0</v>
      </c>
      <c r="H378" s="4">
        <f t="shared" si="23"/>
        <v>0</v>
      </c>
      <c r="I378" s="33">
        <f t="shared" si="24"/>
        <v>2397912.4</v>
      </c>
      <c r="J378" s="33">
        <f t="shared" si="25"/>
        <v>0</v>
      </c>
    </row>
    <row r="379" spans="1:10">
      <c r="A379" s="3">
        <v>10000370</v>
      </c>
      <c r="B379" s="3" t="str">
        <v>Malda</v>
      </c>
      <c r="C379" s="3" t="str">
        <v>Unreinforced Masonry</v>
      </c>
      <c r="D379" s="3">
        <v>1</v>
      </c>
      <c r="E379" s="4">
        <v>2289418</v>
      </c>
      <c r="F379" s="3">
        <f t="shared" si="22"/>
        <v>9</v>
      </c>
      <c r="G379" s="30">
        <f>IF(F379=0, 0, INDEX(tbl_Vulnerability[[0 ft]:[10 ft]], MATCH(Simulation!C379, tbl_Vulnerability[Construction_Class], 0), MATCH(Simulation!F379,{0,1,2,3,5,8,10}, 1)))</f>
        <v>0.9</v>
      </c>
      <c r="H379" s="4">
        <f t="shared" si="23"/>
        <v>2060476.2</v>
      </c>
      <c r="I379" s="33">
        <f t="shared" si="24"/>
        <v>114470.90000000001</v>
      </c>
      <c r="J379" s="33">
        <f t="shared" si="25"/>
        <v>1946005.3</v>
      </c>
    </row>
    <row r="380" spans="1:10">
      <c r="A380" s="3">
        <v>10000371</v>
      </c>
      <c r="B380" s="3" t="str">
        <v>Paschim Medinipur</v>
      </c>
      <c r="C380" s="3" t="str">
        <v>Adobe / Light Timber</v>
      </c>
      <c r="D380" s="3">
        <v>1</v>
      </c>
      <c r="E380" s="4">
        <v>629497</v>
      </c>
      <c r="F380" s="3">
        <f t="shared" si="22"/>
        <v>0</v>
      </c>
      <c r="G380" s="30">
        <f>IF(F380=0, 0, INDEX(tbl_Vulnerability[[0 ft]:[10 ft]], MATCH(Simulation!C380, tbl_Vulnerability[Construction_Class], 0), MATCH(Simulation!F380,{0,1,2,3,5,8,10}, 1)))</f>
        <v>0</v>
      </c>
      <c r="H380" s="4">
        <f t="shared" si="23"/>
        <v>0</v>
      </c>
      <c r="I380" s="33">
        <f t="shared" si="24"/>
        <v>31474.850000000002</v>
      </c>
      <c r="J380" s="33">
        <f t="shared" si="25"/>
        <v>0</v>
      </c>
    </row>
    <row r="381" spans="1:10">
      <c r="A381" s="3">
        <v>10000372</v>
      </c>
      <c r="B381" s="3" t="str">
        <v>Kolkata</v>
      </c>
      <c r="C381" s="3" t="str">
        <v>Adobe / Light Timber</v>
      </c>
      <c r="D381" s="3">
        <v>1</v>
      </c>
      <c r="E381" s="4">
        <v>313733</v>
      </c>
      <c r="F381" s="3">
        <f t="shared" si="22"/>
        <v>0</v>
      </c>
      <c r="G381" s="30">
        <f>IF(F381=0, 0, INDEX(tbl_Vulnerability[[0 ft]:[10 ft]], MATCH(Simulation!C381, tbl_Vulnerability[Construction_Class], 0), MATCH(Simulation!F381,{0,1,2,3,5,8,10}, 1)))</f>
        <v>0</v>
      </c>
      <c r="H381" s="4">
        <f t="shared" si="23"/>
        <v>0</v>
      </c>
      <c r="I381" s="33">
        <f t="shared" si="24"/>
        <v>15686.650000000001</v>
      </c>
      <c r="J381" s="33">
        <f t="shared" si="25"/>
        <v>0</v>
      </c>
    </row>
    <row r="382" spans="1:10">
      <c r="A382" s="3">
        <v>10000373</v>
      </c>
      <c r="B382" s="3" t="str">
        <v>Kolkata</v>
      </c>
      <c r="C382" s="3" t="str">
        <v>Adobe / Light Timber</v>
      </c>
      <c r="D382" s="3">
        <v>0</v>
      </c>
      <c r="E382" s="4">
        <v>383145</v>
      </c>
      <c r="F382" s="3">
        <f t="shared" si="22"/>
        <v>0</v>
      </c>
      <c r="G382" s="30">
        <f>IF(F382=0, 0, INDEX(tbl_Vulnerability[[0 ft]:[10 ft]], MATCH(Simulation!C382, tbl_Vulnerability[Construction_Class], 0), MATCH(Simulation!F382,{0,1,2,3,5,8,10}, 1)))</f>
        <v>0</v>
      </c>
      <c r="H382" s="4">
        <f t="shared" si="23"/>
        <v>0</v>
      </c>
      <c r="I382" s="33">
        <f t="shared" si="24"/>
        <v>19157.25</v>
      </c>
      <c r="J382" s="33">
        <f t="shared" si="25"/>
        <v>0</v>
      </c>
    </row>
    <row r="383" spans="1:10">
      <c r="A383" s="3">
        <v>10000374</v>
      </c>
      <c r="B383" s="3" t="str">
        <v>Kolkata</v>
      </c>
      <c r="C383" s="3" t="str">
        <v>Unreinforced Masonry</v>
      </c>
      <c r="D383" s="3">
        <v>2</v>
      </c>
      <c r="E383" s="4">
        <v>11029396</v>
      </c>
      <c r="F383" s="3">
        <f t="shared" si="22"/>
        <v>0</v>
      </c>
      <c r="G383" s="30">
        <f>IF(F383=0, 0, INDEX(tbl_Vulnerability[[0 ft]:[10 ft]], MATCH(Simulation!C383, tbl_Vulnerability[Construction_Class], 0), MATCH(Simulation!F383,{0,1,2,3,5,8,10}, 1)))</f>
        <v>0</v>
      </c>
      <c r="H383" s="4">
        <f t="shared" si="23"/>
        <v>0</v>
      </c>
      <c r="I383" s="33">
        <f t="shared" si="24"/>
        <v>551469.80000000005</v>
      </c>
      <c r="J383" s="33">
        <f t="shared" si="25"/>
        <v>0</v>
      </c>
    </row>
    <row r="384" spans="1:10">
      <c r="A384" s="3">
        <v>10000375</v>
      </c>
      <c r="B384" s="3" t="str">
        <v>Kolkata</v>
      </c>
      <c r="C384" s="3" t="str">
        <v>Unreinforced Masonry</v>
      </c>
      <c r="D384" s="3">
        <v>2</v>
      </c>
      <c r="E384" s="4">
        <v>2649410</v>
      </c>
      <c r="F384" s="3">
        <f t="shared" si="22"/>
        <v>0</v>
      </c>
      <c r="G384" s="30">
        <f>IF(F384=0, 0, INDEX(tbl_Vulnerability[[0 ft]:[10 ft]], MATCH(Simulation!C384, tbl_Vulnerability[Construction_Class], 0), MATCH(Simulation!F384,{0,1,2,3,5,8,10}, 1)))</f>
        <v>0</v>
      </c>
      <c r="H384" s="4">
        <f t="shared" si="23"/>
        <v>0</v>
      </c>
      <c r="I384" s="33">
        <f t="shared" si="24"/>
        <v>132470.5</v>
      </c>
      <c r="J384" s="33">
        <f t="shared" si="25"/>
        <v>0</v>
      </c>
    </row>
    <row r="385" spans="1:10">
      <c r="A385" s="3">
        <v>10000376</v>
      </c>
      <c r="B385" s="3" t="str">
        <v>Paschim Medinipur</v>
      </c>
      <c r="C385" s="3" t="str">
        <v>Adobe / Light Timber</v>
      </c>
      <c r="D385" s="3">
        <v>0</v>
      </c>
      <c r="E385" s="4">
        <v>605789</v>
      </c>
      <c r="F385" s="3">
        <f t="shared" si="22"/>
        <v>0</v>
      </c>
      <c r="G385" s="30">
        <f>IF(F385=0, 0, INDEX(tbl_Vulnerability[[0 ft]:[10 ft]], MATCH(Simulation!C385, tbl_Vulnerability[Construction_Class], 0), MATCH(Simulation!F385,{0,1,2,3,5,8,10}, 1)))</f>
        <v>0</v>
      </c>
      <c r="H385" s="4">
        <f t="shared" si="23"/>
        <v>0</v>
      </c>
      <c r="I385" s="33">
        <f t="shared" si="24"/>
        <v>30289.45</v>
      </c>
      <c r="J385" s="33">
        <f t="shared" si="25"/>
        <v>0</v>
      </c>
    </row>
    <row r="386" spans="1:10">
      <c r="A386" s="3">
        <v>10000377</v>
      </c>
      <c r="B386" s="3" t="str">
        <v>South 24 Parganas</v>
      </c>
      <c r="C386" s="3" t="str">
        <v>Reinforced Concrete</v>
      </c>
      <c r="D386" s="3">
        <v>3</v>
      </c>
      <c r="E386" s="4">
        <v>35175592</v>
      </c>
      <c r="F386" s="3">
        <f t="shared" si="22"/>
        <v>0</v>
      </c>
      <c r="G386" s="30">
        <f>IF(F386=0, 0, INDEX(tbl_Vulnerability[[0 ft]:[10 ft]], MATCH(Simulation!C386, tbl_Vulnerability[Construction_Class], 0), MATCH(Simulation!F386,{0,1,2,3,5,8,10}, 1)))</f>
        <v>0</v>
      </c>
      <c r="H386" s="4">
        <f t="shared" si="23"/>
        <v>0</v>
      </c>
      <c r="I386" s="33">
        <f t="shared" si="24"/>
        <v>1758779.6</v>
      </c>
      <c r="J386" s="33">
        <f t="shared" si="25"/>
        <v>0</v>
      </c>
    </row>
    <row r="387" spans="1:10">
      <c r="A387" s="3">
        <v>10000378</v>
      </c>
      <c r="B387" s="3" t="str">
        <v>South 24 Parganas</v>
      </c>
      <c r="C387" s="3" t="str">
        <v>Reinforced Concrete</v>
      </c>
      <c r="D387" s="3">
        <v>3</v>
      </c>
      <c r="E387" s="4">
        <v>53392242</v>
      </c>
      <c r="F387" s="3">
        <f t="shared" si="22"/>
        <v>0</v>
      </c>
      <c r="G387" s="30">
        <f>IF(F387=0, 0, INDEX(tbl_Vulnerability[[0 ft]:[10 ft]], MATCH(Simulation!C387, tbl_Vulnerability[Construction_Class], 0), MATCH(Simulation!F387,{0,1,2,3,5,8,10}, 1)))</f>
        <v>0</v>
      </c>
      <c r="H387" s="4">
        <f t="shared" si="23"/>
        <v>0</v>
      </c>
      <c r="I387" s="33">
        <f t="shared" si="24"/>
        <v>2669612.1</v>
      </c>
      <c r="J387" s="33">
        <f t="shared" si="25"/>
        <v>0</v>
      </c>
    </row>
    <row r="388" spans="1:10">
      <c r="A388" s="3">
        <v>10000379</v>
      </c>
      <c r="B388" s="3" t="str">
        <v>Hooghly</v>
      </c>
      <c r="C388" s="3" t="str">
        <v>Reinforced Concrete</v>
      </c>
      <c r="D388" s="3">
        <v>5</v>
      </c>
      <c r="E388" s="4">
        <v>45551419</v>
      </c>
      <c r="F388" s="3">
        <f t="shared" si="22"/>
        <v>0</v>
      </c>
      <c r="G388" s="30">
        <f>IF(F388=0, 0, INDEX(tbl_Vulnerability[[0 ft]:[10 ft]], MATCH(Simulation!C388, tbl_Vulnerability[Construction_Class], 0), MATCH(Simulation!F388,{0,1,2,3,5,8,10}, 1)))</f>
        <v>0</v>
      </c>
      <c r="H388" s="4">
        <f t="shared" si="23"/>
        <v>0</v>
      </c>
      <c r="I388" s="33">
        <f t="shared" si="24"/>
        <v>2277570.9500000002</v>
      </c>
      <c r="J388" s="33">
        <f t="shared" si="25"/>
        <v>0</v>
      </c>
    </row>
    <row r="389" spans="1:10">
      <c r="A389" s="3">
        <v>10000380</v>
      </c>
      <c r="B389" s="3" t="str">
        <v>Jalpaiguri</v>
      </c>
      <c r="C389" s="3" t="str">
        <v>Reinforced Concrete</v>
      </c>
      <c r="D389" s="3">
        <v>4</v>
      </c>
      <c r="E389" s="4">
        <v>11104678</v>
      </c>
      <c r="F389" s="3">
        <f t="shared" si="22"/>
        <v>0</v>
      </c>
      <c r="G389" s="30">
        <f>IF(F389=0, 0, INDEX(tbl_Vulnerability[[0 ft]:[10 ft]], MATCH(Simulation!C389, tbl_Vulnerability[Construction_Class], 0), MATCH(Simulation!F389,{0,1,2,3,5,8,10}, 1)))</f>
        <v>0</v>
      </c>
      <c r="H389" s="4">
        <f t="shared" si="23"/>
        <v>0</v>
      </c>
      <c r="I389" s="33">
        <f t="shared" si="24"/>
        <v>555233.9</v>
      </c>
      <c r="J389" s="33">
        <f t="shared" si="25"/>
        <v>0</v>
      </c>
    </row>
    <row r="390" spans="1:10">
      <c r="A390" s="3">
        <v>10000381</v>
      </c>
      <c r="B390" s="3" t="str">
        <v>Hooghly</v>
      </c>
      <c r="C390" s="3" t="str">
        <v>Unreinforced Masonry</v>
      </c>
      <c r="D390" s="3">
        <v>1</v>
      </c>
      <c r="E390" s="4">
        <v>10655136</v>
      </c>
      <c r="F390" s="3">
        <f t="shared" si="22"/>
        <v>0</v>
      </c>
      <c r="G390" s="30">
        <f>IF(F390=0, 0, INDEX(tbl_Vulnerability[[0 ft]:[10 ft]], MATCH(Simulation!C390, tbl_Vulnerability[Construction_Class], 0), MATCH(Simulation!F390,{0,1,2,3,5,8,10}, 1)))</f>
        <v>0</v>
      </c>
      <c r="H390" s="4">
        <f t="shared" si="23"/>
        <v>0</v>
      </c>
      <c r="I390" s="33">
        <f t="shared" si="24"/>
        <v>532756.80000000005</v>
      </c>
      <c r="J390" s="33">
        <f t="shared" si="25"/>
        <v>0</v>
      </c>
    </row>
    <row r="391" spans="1:10">
      <c r="A391" s="3">
        <v>10000382</v>
      </c>
      <c r="B391" s="3" t="str">
        <v>Hooghly</v>
      </c>
      <c r="C391" s="3" t="str">
        <v>Unreinforced Masonry</v>
      </c>
      <c r="D391" s="3">
        <v>0</v>
      </c>
      <c r="E391" s="4">
        <v>7119033</v>
      </c>
      <c r="F391" s="3">
        <f t="shared" si="22"/>
        <v>0</v>
      </c>
      <c r="G391" s="30">
        <f>IF(F391=0, 0, INDEX(tbl_Vulnerability[[0 ft]:[10 ft]], MATCH(Simulation!C391, tbl_Vulnerability[Construction_Class], 0), MATCH(Simulation!F391,{0,1,2,3,5,8,10}, 1)))</f>
        <v>0</v>
      </c>
      <c r="H391" s="4">
        <f t="shared" si="23"/>
        <v>0</v>
      </c>
      <c r="I391" s="33">
        <f t="shared" si="24"/>
        <v>355951.65</v>
      </c>
      <c r="J391" s="33">
        <f t="shared" si="25"/>
        <v>0</v>
      </c>
    </row>
    <row r="392" spans="1:10">
      <c r="A392" s="3">
        <v>10000383</v>
      </c>
      <c r="B392" s="3" t="str">
        <v>Hooghly</v>
      </c>
      <c r="C392" s="3" t="str">
        <v>Unreinforced Masonry</v>
      </c>
      <c r="D392" s="3">
        <v>1</v>
      </c>
      <c r="E392" s="4">
        <v>16382829</v>
      </c>
      <c r="F392" s="3">
        <f t="shared" si="22"/>
        <v>0</v>
      </c>
      <c r="G392" s="30">
        <f>IF(F392=0, 0, INDEX(tbl_Vulnerability[[0 ft]:[10 ft]], MATCH(Simulation!C392, tbl_Vulnerability[Construction_Class], 0), MATCH(Simulation!F392,{0,1,2,3,5,8,10}, 1)))</f>
        <v>0</v>
      </c>
      <c r="H392" s="4">
        <f t="shared" si="23"/>
        <v>0</v>
      </c>
      <c r="I392" s="33">
        <f t="shared" si="24"/>
        <v>819141.45000000007</v>
      </c>
      <c r="J392" s="33">
        <f t="shared" si="25"/>
        <v>0</v>
      </c>
    </row>
    <row r="393" spans="1:10">
      <c r="A393" s="3">
        <v>10000384</v>
      </c>
      <c r="B393" s="3" t="str">
        <v>South 24 Parganas</v>
      </c>
      <c r="C393" s="3" t="str">
        <v>Reinforced Concrete</v>
      </c>
      <c r="D393" s="3">
        <v>4</v>
      </c>
      <c r="E393" s="4">
        <v>19147889</v>
      </c>
      <c r="F393" s="3">
        <f t="shared" si="22"/>
        <v>0</v>
      </c>
      <c r="G393" s="30">
        <f>IF(F393=0, 0, INDEX(tbl_Vulnerability[[0 ft]:[10 ft]], MATCH(Simulation!C393, tbl_Vulnerability[Construction_Class], 0), MATCH(Simulation!F393,{0,1,2,3,5,8,10}, 1)))</f>
        <v>0</v>
      </c>
      <c r="H393" s="4">
        <f t="shared" si="23"/>
        <v>0</v>
      </c>
      <c r="I393" s="33">
        <f t="shared" si="24"/>
        <v>957394.45000000007</v>
      </c>
      <c r="J393" s="33">
        <f t="shared" si="25"/>
        <v>0</v>
      </c>
    </row>
    <row r="394" spans="1:10">
      <c r="A394" s="3">
        <v>10000385</v>
      </c>
      <c r="B394" s="3" t="str">
        <v>South 24 Parganas</v>
      </c>
      <c r="C394" s="3" t="str">
        <v>Reinforced Concrete</v>
      </c>
      <c r="D394" s="3">
        <v>5</v>
      </c>
      <c r="E394" s="4">
        <v>40965324</v>
      </c>
      <c r="F394" s="3">
        <f t="shared" si="22"/>
        <v>0</v>
      </c>
      <c r="G394" s="30">
        <f>IF(F394=0, 0, INDEX(tbl_Vulnerability[[0 ft]:[10 ft]], MATCH(Simulation!C394, tbl_Vulnerability[Construction_Class], 0), MATCH(Simulation!F394,{0,1,2,3,5,8,10}, 1)))</f>
        <v>0</v>
      </c>
      <c r="H394" s="4">
        <f t="shared" si="23"/>
        <v>0</v>
      </c>
      <c r="I394" s="33">
        <f t="shared" si="24"/>
        <v>2048266.2000000002</v>
      </c>
      <c r="J394" s="33">
        <f t="shared" si="25"/>
        <v>0</v>
      </c>
    </row>
    <row r="395" spans="1:10">
      <c r="A395" s="3">
        <v>10000386</v>
      </c>
      <c r="B395" s="3" t="str">
        <v>Paschim Medinipur</v>
      </c>
      <c r="C395" s="3" t="str">
        <v>Unreinforced Masonry</v>
      </c>
      <c r="D395" s="3">
        <v>2</v>
      </c>
      <c r="E395" s="4">
        <v>4217941</v>
      </c>
      <c r="F395" s="3">
        <f t="shared" ref="F395:F458" si="26">IF(B395=$B$2, MAX(0, $B$3 - D395), 0)</f>
        <v>0</v>
      </c>
      <c r="G395" s="30">
        <f>IF(F395=0, 0, INDEX(tbl_Vulnerability[[0 ft]:[10 ft]], MATCH(Simulation!C395, tbl_Vulnerability[Construction_Class], 0), MATCH(Simulation!F395,{0,1,2,3,5,8,10}, 1)))</f>
        <v>0</v>
      </c>
      <c r="H395" s="4">
        <f t="shared" ref="H395:H458" si="27">E395*G395</f>
        <v>0</v>
      </c>
      <c r="I395" s="33">
        <f t="shared" ref="I395:I458" si="28">E395*$B$4</f>
        <v>210897.05000000002</v>
      </c>
      <c r="J395" s="33">
        <f t="shared" ref="J395:J458" si="29">MAX(0, H395 - I395)</f>
        <v>0</v>
      </c>
    </row>
    <row r="396" spans="1:10">
      <c r="A396" s="3">
        <v>10000387</v>
      </c>
      <c r="B396" s="3" t="str">
        <v>Paschim Medinipur</v>
      </c>
      <c r="C396" s="3" t="str">
        <v>Unreinforced Masonry</v>
      </c>
      <c r="D396" s="3">
        <v>2</v>
      </c>
      <c r="E396" s="4">
        <v>6264248</v>
      </c>
      <c r="F396" s="3">
        <f t="shared" si="26"/>
        <v>0</v>
      </c>
      <c r="G396" s="30">
        <f>IF(F396=0, 0, INDEX(tbl_Vulnerability[[0 ft]:[10 ft]], MATCH(Simulation!C396, tbl_Vulnerability[Construction_Class], 0), MATCH(Simulation!F396,{0,1,2,3,5,8,10}, 1)))</f>
        <v>0</v>
      </c>
      <c r="H396" s="4">
        <f t="shared" si="27"/>
        <v>0</v>
      </c>
      <c r="I396" s="33">
        <f t="shared" si="28"/>
        <v>313212.40000000002</v>
      </c>
      <c r="J396" s="33">
        <f t="shared" si="29"/>
        <v>0</v>
      </c>
    </row>
    <row r="397" spans="1:10">
      <c r="A397" s="3">
        <v>10000388</v>
      </c>
      <c r="B397" s="3" t="str">
        <v>Kolkata</v>
      </c>
      <c r="C397" s="3" t="str">
        <v>Reinforced Concrete</v>
      </c>
      <c r="D397" s="3">
        <v>4</v>
      </c>
      <c r="E397" s="4">
        <v>4815961</v>
      </c>
      <c r="F397" s="3">
        <f t="shared" si="26"/>
        <v>0</v>
      </c>
      <c r="G397" s="30">
        <f>IF(F397=0, 0, INDEX(tbl_Vulnerability[[0 ft]:[10 ft]], MATCH(Simulation!C397, tbl_Vulnerability[Construction_Class], 0), MATCH(Simulation!F397,{0,1,2,3,5,8,10}, 1)))</f>
        <v>0</v>
      </c>
      <c r="H397" s="4">
        <f t="shared" si="27"/>
        <v>0</v>
      </c>
      <c r="I397" s="33">
        <f t="shared" si="28"/>
        <v>240798.05000000002</v>
      </c>
      <c r="J397" s="33">
        <f t="shared" si="29"/>
        <v>0</v>
      </c>
    </row>
    <row r="398" spans="1:10">
      <c r="A398" s="3">
        <v>10000389</v>
      </c>
      <c r="B398" s="3" t="str">
        <v>Kolkata</v>
      </c>
      <c r="C398" s="3" t="str">
        <v>Adobe / Light Timber</v>
      </c>
      <c r="D398" s="3">
        <v>2</v>
      </c>
      <c r="E398" s="4">
        <v>387546</v>
      </c>
      <c r="F398" s="3">
        <f t="shared" si="26"/>
        <v>0</v>
      </c>
      <c r="G398" s="30">
        <f>IF(F398=0, 0, INDEX(tbl_Vulnerability[[0 ft]:[10 ft]], MATCH(Simulation!C398, tbl_Vulnerability[Construction_Class], 0), MATCH(Simulation!F398,{0,1,2,3,5,8,10}, 1)))</f>
        <v>0</v>
      </c>
      <c r="H398" s="4">
        <f t="shared" si="27"/>
        <v>0</v>
      </c>
      <c r="I398" s="33">
        <f t="shared" si="28"/>
        <v>19377.3</v>
      </c>
      <c r="J398" s="33">
        <f t="shared" si="29"/>
        <v>0</v>
      </c>
    </row>
    <row r="399" spans="1:10">
      <c r="A399" s="3">
        <v>10000390</v>
      </c>
      <c r="B399" s="3" t="str">
        <v>Hooghly</v>
      </c>
      <c r="C399" s="3" t="str">
        <v>Reinforced Concrete</v>
      </c>
      <c r="D399" s="3">
        <v>4</v>
      </c>
      <c r="E399" s="4">
        <v>58356177</v>
      </c>
      <c r="F399" s="3">
        <f t="shared" si="26"/>
        <v>0</v>
      </c>
      <c r="G399" s="30">
        <f>IF(F399=0, 0, INDEX(tbl_Vulnerability[[0 ft]:[10 ft]], MATCH(Simulation!C399, tbl_Vulnerability[Construction_Class], 0), MATCH(Simulation!F399,{0,1,2,3,5,8,10}, 1)))</f>
        <v>0</v>
      </c>
      <c r="H399" s="4">
        <f t="shared" si="27"/>
        <v>0</v>
      </c>
      <c r="I399" s="33">
        <f t="shared" si="28"/>
        <v>2917808.85</v>
      </c>
      <c r="J399" s="33">
        <f t="shared" si="29"/>
        <v>0</v>
      </c>
    </row>
    <row r="400" spans="1:10">
      <c r="A400" s="3">
        <v>10000391</v>
      </c>
      <c r="B400" s="3" t="str">
        <v>Kolkata</v>
      </c>
      <c r="C400" s="3" t="str">
        <v>Reinforced Concrete</v>
      </c>
      <c r="D400" s="3">
        <v>5</v>
      </c>
      <c r="E400" s="4">
        <v>46918133</v>
      </c>
      <c r="F400" s="3">
        <f t="shared" si="26"/>
        <v>0</v>
      </c>
      <c r="G400" s="30">
        <f>IF(F400=0, 0, INDEX(tbl_Vulnerability[[0 ft]:[10 ft]], MATCH(Simulation!C400, tbl_Vulnerability[Construction_Class], 0), MATCH(Simulation!F400,{0,1,2,3,5,8,10}, 1)))</f>
        <v>0</v>
      </c>
      <c r="H400" s="4">
        <f t="shared" si="27"/>
        <v>0</v>
      </c>
      <c r="I400" s="33">
        <f t="shared" si="28"/>
        <v>2345906.65</v>
      </c>
      <c r="J400" s="33">
        <f t="shared" si="29"/>
        <v>0</v>
      </c>
    </row>
    <row r="401" spans="1:10">
      <c r="A401" s="3">
        <v>10000392</v>
      </c>
      <c r="B401" s="3" t="str">
        <v>Malda</v>
      </c>
      <c r="C401" s="3" t="str">
        <v>Adobe / Light Timber</v>
      </c>
      <c r="D401" s="3">
        <v>1</v>
      </c>
      <c r="E401" s="4">
        <v>559471</v>
      </c>
      <c r="F401" s="3">
        <f t="shared" si="26"/>
        <v>9</v>
      </c>
      <c r="G401" s="30">
        <f>IF(F401=0, 0, INDEX(tbl_Vulnerability[[0 ft]:[10 ft]], MATCH(Simulation!C401, tbl_Vulnerability[Construction_Class], 0), MATCH(Simulation!F401,{0,1,2,3,5,8,10}, 1)))</f>
        <v>1</v>
      </c>
      <c r="H401" s="4">
        <f t="shared" si="27"/>
        <v>559471</v>
      </c>
      <c r="I401" s="33">
        <f t="shared" si="28"/>
        <v>27973.550000000003</v>
      </c>
      <c r="J401" s="33">
        <f t="shared" si="29"/>
        <v>531497.44999999995</v>
      </c>
    </row>
    <row r="402" spans="1:10">
      <c r="A402" s="3">
        <v>10000393</v>
      </c>
      <c r="B402" s="3" t="str">
        <v>Paschim Medinipur</v>
      </c>
      <c r="C402" s="3" t="str">
        <v>Adobe / Light Timber</v>
      </c>
      <c r="D402" s="3">
        <v>2</v>
      </c>
      <c r="E402" s="4">
        <v>581139</v>
      </c>
      <c r="F402" s="3">
        <f t="shared" si="26"/>
        <v>0</v>
      </c>
      <c r="G402" s="30">
        <f>IF(F402=0, 0, INDEX(tbl_Vulnerability[[0 ft]:[10 ft]], MATCH(Simulation!C402, tbl_Vulnerability[Construction_Class], 0), MATCH(Simulation!F402,{0,1,2,3,5,8,10}, 1)))</f>
        <v>0</v>
      </c>
      <c r="H402" s="4">
        <f t="shared" si="27"/>
        <v>0</v>
      </c>
      <c r="I402" s="33">
        <f t="shared" si="28"/>
        <v>29056.95</v>
      </c>
      <c r="J402" s="33">
        <f t="shared" si="29"/>
        <v>0</v>
      </c>
    </row>
    <row r="403" spans="1:10">
      <c r="A403" s="3">
        <v>10000394</v>
      </c>
      <c r="B403" s="3" t="str">
        <v>Kolkata</v>
      </c>
      <c r="C403" s="3" t="str">
        <v>Reinforced Concrete</v>
      </c>
      <c r="D403" s="3">
        <v>3</v>
      </c>
      <c r="E403" s="4">
        <v>18541838</v>
      </c>
      <c r="F403" s="3">
        <f t="shared" si="26"/>
        <v>0</v>
      </c>
      <c r="G403" s="30">
        <f>IF(F403=0, 0, INDEX(tbl_Vulnerability[[0 ft]:[10 ft]], MATCH(Simulation!C403, tbl_Vulnerability[Construction_Class], 0), MATCH(Simulation!F403,{0,1,2,3,5,8,10}, 1)))</f>
        <v>0</v>
      </c>
      <c r="H403" s="4">
        <f t="shared" si="27"/>
        <v>0</v>
      </c>
      <c r="I403" s="33">
        <f t="shared" si="28"/>
        <v>927091.9</v>
      </c>
      <c r="J403" s="33">
        <f t="shared" si="29"/>
        <v>0</v>
      </c>
    </row>
    <row r="404" spans="1:10">
      <c r="A404" s="3">
        <v>10000395</v>
      </c>
      <c r="B404" s="3" t="str">
        <v>Jalpaiguri</v>
      </c>
      <c r="C404" s="3" t="str">
        <v>Reinforced Concrete</v>
      </c>
      <c r="D404" s="3">
        <v>3</v>
      </c>
      <c r="E404" s="4">
        <v>4607023</v>
      </c>
      <c r="F404" s="3">
        <f t="shared" si="26"/>
        <v>0</v>
      </c>
      <c r="G404" s="30">
        <f>IF(F404=0, 0, INDEX(tbl_Vulnerability[[0 ft]:[10 ft]], MATCH(Simulation!C404, tbl_Vulnerability[Construction_Class], 0), MATCH(Simulation!F404,{0,1,2,3,5,8,10}, 1)))</f>
        <v>0</v>
      </c>
      <c r="H404" s="4">
        <f t="shared" si="27"/>
        <v>0</v>
      </c>
      <c r="I404" s="33">
        <f t="shared" si="28"/>
        <v>230351.15000000002</v>
      </c>
      <c r="J404" s="33">
        <f t="shared" si="29"/>
        <v>0</v>
      </c>
    </row>
    <row r="405" spans="1:10">
      <c r="A405" s="3">
        <v>10000396</v>
      </c>
      <c r="B405" s="3" t="str">
        <v>South 24 Parganas</v>
      </c>
      <c r="C405" s="3" t="str">
        <v>Reinforced Concrete</v>
      </c>
      <c r="D405" s="3">
        <v>4</v>
      </c>
      <c r="E405" s="4">
        <v>40708374</v>
      </c>
      <c r="F405" s="3">
        <f t="shared" si="26"/>
        <v>0</v>
      </c>
      <c r="G405" s="30">
        <f>IF(F405=0, 0, INDEX(tbl_Vulnerability[[0 ft]:[10 ft]], MATCH(Simulation!C405, tbl_Vulnerability[Construction_Class], 0), MATCH(Simulation!F405,{0,1,2,3,5,8,10}, 1)))</f>
        <v>0</v>
      </c>
      <c r="H405" s="4">
        <f t="shared" si="27"/>
        <v>0</v>
      </c>
      <c r="I405" s="33">
        <f t="shared" si="28"/>
        <v>2035418.7000000002</v>
      </c>
      <c r="J405" s="33">
        <f t="shared" si="29"/>
        <v>0</v>
      </c>
    </row>
    <row r="406" spans="1:10">
      <c r="A406" s="3">
        <v>10000397</v>
      </c>
      <c r="B406" s="3" t="str">
        <v>South 24 Parganas</v>
      </c>
      <c r="C406" s="3" t="str">
        <v>Reinforced Concrete</v>
      </c>
      <c r="D406" s="3">
        <v>5</v>
      </c>
      <c r="E406" s="4">
        <v>41118938</v>
      </c>
      <c r="F406" s="3">
        <f t="shared" si="26"/>
        <v>0</v>
      </c>
      <c r="G406" s="30">
        <f>IF(F406=0, 0, INDEX(tbl_Vulnerability[[0 ft]:[10 ft]], MATCH(Simulation!C406, tbl_Vulnerability[Construction_Class], 0), MATCH(Simulation!F406,{0,1,2,3,5,8,10}, 1)))</f>
        <v>0</v>
      </c>
      <c r="H406" s="4">
        <f t="shared" si="27"/>
        <v>0</v>
      </c>
      <c r="I406" s="33">
        <f t="shared" si="28"/>
        <v>2055946.9000000001</v>
      </c>
      <c r="J406" s="33">
        <f t="shared" si="29"/>
        <v>0</v>
      </c>
    </row>
    <row r="407" spans="1:10">
      <c r="A407" s="3">
        <v>10000398</v>
      </c>
      <c r="B407" s="3" t="str">
        <v>Kolkata</v>
      </c>
      <c r="C407" s="3" t="str">
        <v>Reinforced Concrete</v>
      </c>
      <c r="D407" s="3">
        <v>5</v>
      </c>
      <c r="E407" s="4">
        <v>3467123</v>
      </c>
      <c r="F407" s="3">
        <f t="shared" si="26"/>
        <v>0</v>
      </c>
      <c r="G407" s="30">
        <f>IF(F407=0, 0, INDEX(tbl_Vulnerability[[0 ft]:[10 ft]], MATCH(Simulation!C407, tbl_Vulnerability[Construction_Class], 0), MATCH(Simulation!F407,{0,1,2,3,5,8,10}, 1)))</f>
        <v>0</v>
      </c>
      <c r="H407" s="4">
        <f t="shared" si="27"/>
        <v>0</v>
      </c>
      <c r="I407" s="33">
        <f t="shared" si="28"/>
        <v>173356.15000000002</v>
      </c>
      <c r="J407" s="33">
        <f t="shared" si="29"/>
        <v>0</v>
      </c>
    </row>
    <row r="408" spans="1:10">
      <c r="A408" s="3">
        <v>10000399</v>
      </c>
      <c r="B408" s="3" t="str">
        <v>Malda</v>
      </c>
      <c r="C408" s="3" t="str">
        <v>Unreinforced Masonry</v>
      </c>
      <c r="D408" s="3">
        <v>1</v>
      </c>
      <c r="E408" s="4">
        <v>21708324</v>
      </c>
      <c r="F408" s="3">
        <f t="shared" si="26"/>
        <v>9</v>
      </c>
      <c r="G408" s="30">
        <f>IF(F408=0, 0, INDEX(tbl_Vulnerability[[0 ft]:[10 ft]], MATCH(Simulation!C408, tbl_Vulnerability[Construction_Class], 0), MATCH(Simulation!F408,{0,1,2,3,5,8,10}, 1)))</f>
        <v>0.9</v>
      </c>
      <c r="H408" s="4">
        <f t="shared" si="27"/>
        <v>19537491.600000001</v>
      </c>
      <c r="I408" s="33">
        <f t="shared" si="28"/>
        <v>1085416.2</v>
      </c>
      <c r="J408" s="33">
        <f t="shared" si="29"/>
        <v>18452075.400000002</v>
      </c>
    </row>
    <row r="409" spans="1:10">
      <c r="A409" s="3">
        <v>10000400</v>
      </c>
      <c r="B409" s="3" t="str">
        <v>Kolkata</v>
      </c>
      <c r="C409" s="3" t="str">
        <v>Adobe / Light Timber</v>
      </c>
      <c r="D409" s="3">
        <v>1</v>
      </c>
      <c r="E409" s="4">
        <v>580487</v>
      </c>
      <c r="F409" s="3">
        <f t="shared" si="26"/>
        <v>0</v>
      </c>
      <c r="G409" s="30">
        <f>IF(F409=0, 0, INDEX(tbl_Vulnerability[[0 ft]:[10 ft]], MATCH(Simulation!C409, tbl_Vulnerability[Construction_Class], 0), MATCH(Simulation!F409,{0,1,2,3,5,8,10}, 1)))</f>
        <v>0</v>
      </c>
      <c r="H409" s="4">
        <f t="shared" si="27"/>
        <v>0</v>
      </c>
      <c r="I409" s="33">
        <f t="shared" si="28"/>
        <v>29024.350000000002</v>
      </c>
      <c r="J409" s="33">
        <f t="shared" si="29"/>
        <v>0</v>
      </c>
    </row>
    <row r="410" spans="1:10">
      <c r="A410" s="3">
        <v>10000401</v>
      </c>
      <c r="B410" s="3" t="str">
        <v>Paschim Medinipur</v>
      </c>
      <c r="C410" s="3" t="str">
        <v>Reinforced Concrete</v>
      </c>
      <c r="D410" s="3">
        <v>4</v>
      </c>
      <c r="E410" s="4">
        <v>15074262</v>
      </c>
      <c r="F410" s="3">
        <f t="shared" si="26"/>
        <v>0</v>
      </c>
      <c r="G410" s="30">
        <f>IF(F410=0, 0, INDEX(tbl_Vulnerability[[0 ft]:[10 ft]], MATCH(Simulation!C410, tbl_Vulnerability[Construction_Class], 0), MATCH(Simulation!F410,{0,1,2,3,5,8,10}, 1)))</f>
        <v>0</v>
      </c>
      <c r="H410" s="4">
        <f t="shared" si="27"/>
        <v>0</v>
      </c>
      <c r="I410" s="33">
        <f t="shared" si="28"/>
        <v>753713.10000000009</v>
      </c>
      <c r="J410" s="33">
        <f t="shared" si="29"/>
        <v>0</v>
      </c>
    </row>
    <row r="411" spans="1:10">
      <c r="A411" s="3">
        <v>10000402</v>
      </c>
      <c r="B411" s="3" t="str">
        <v>Paschim Medinipur</v>
      </c>
      <c r="C411" s="3" t="str">
        <v>Reinforced Concrete</v>
      </c>
      <c r="D411" s="3">
        <v>3</v>
      </c>
      <c r="E411" s="4">
        <v>3698524</v>
      </c>
      <c r="F411" s="3">
        <f t="shared" si="26"/>
        <v>0</v>
      </c>
      <c r="G411" s="30">
        <f>IF(F411=0, 0, INDEX(tbl_Vulnerability[[0 ft]:[10 ft]], MATCH(Simulation!C411, tbl_Vulnerability[Construction_Class], 0), MATCH(Simulation!F411,{0,1,2,3,5,8,10}, 1)))</f>
        <v>0</v>
      </c>
      <c r="H411" s="4">
        <f t="shared" si="27"/>
        <v>0</v>
      </c>
      <c r="I411" s="33">
        <f t="shared" si="28"/>
        <v>184926.2</v>
      </c>
      <c r="J411" s="33">
        <f t="shared" si="29"/>
        <v>0</v>
      </c>
    </row>
    <row r="412" spans="1:10">
      <c r="A412" s="3">
        <v>10000403</v>
      </c>
      <c r="B412" s="3" t="str">
        <v>Kolkata</v>
      </c>
      <c r="C412" s="3" t="str">
        <v>Reinforced Concrete</v>
      </c>
      <c r="D412" s="3">
        <v>3</v>
      </c>
      <c r="E412" s="4">
        <v>35327926</v>
      </c>
      <c r="F412" s="3">
        <f t="shared" si="26"/>
        <v>0</v>
      </c>
      <c r="G412" s="30">
        <f>IF(F412=0, 0, INDEX(tbl_Vulnerability[[0 ft]:[10 ft]], MATCH(Simulation!C412, tbl_Vulnerability[Construction_Class], 0), MATCH(Simulation!F412,{0,1,2,3,5,8,10}, 1)))</f>
        <v>0</v>
      </c>
      <c r="H412" s="4">
        <f t="shared" si="27"/>
        <v>0</v>
      </c>
      <c r="I412" s="33">
        <f t="shared" si="28"/>
        <v>1766396.3</v>
      </c>
      <c r="J412" s="33">
        <f t="shared" si="29"/>
        <v>0</v>
      </c>
    </row>
    <row r="413" spans="1:10">
      <c r="A413" s="3">
        <v>10000404</v>
      </c>
      <c r="B413" s="3" t="str">
        <v>Paschim Medinipur</v>
      </c>
      <c r="C413" s="3" t="str">
        <v>Unreinforced Masonry</v>
      </c>
      <c r="D413" s="3">
        <v>0</v>
      </c>
      <c r="E413" s="4">
        <v>4410681</v>
      </c>
      <c r="F413" s="3">
        <f t="shared" si="26"/>
        <v>0</v>
      </c>
      <c r="G413" s="30">
        <f>IF(F413=0, 0, INDEX(tbl_Vulnerability[[0 ft]:[10 ft]], MATCH(Simulation!C413, tbl_Vulnerability[Construction_Class], 0), MATCH(Simulation!F413,{0,1,2,3,5,8,10}, 1)))</f>
        <v>0</v>
      </c>
      <c r="H413" s="4">
        <f t="shared" si="27"/>
        <v>0</v>
      </c>
      <c r="I413" s="33">
        <f t="shared" si="28"/>
        <v>220534.05000000002</v>
      </c>
      <c r="J413" s="33">
        <f t="shared" si="29"/>
        <v>0</v>
      </c>
    </row>
    <row r="414" spans="1:10">
      <c r="A414" s="3">
        <v>10000405</v>
      </c>
      <c r="B414" s="3" t="str">
        <v>South 24 Parganas</v>
      </c>
      <c r="C414" s="3" t="str">
        <v>Unreinforced Masonry</v>
      </c>
      <c r="D414" s="3">
        <v>0</v>
      </c>
      <c r="E414" s="4">
        <v>15468405</v>
      </c>
      <c r="F414" s="3">
        <f t="shared" si="26"/>
        <v>0</v>
      </c>
      <c r="G414" s="30">
        <f>IF(F414=0, 0, INDEX(tbl_Vulnerability[[0 ft]:[10 ft]], MATCH(Simulation!C414, tbl_Vulnerability[Construction_Class], 0), MATCH(Simulation!F414,{0,1,2,3,5,8,10}, 1)))</f>
        <v>0</v>
      </c>
      <c r="H414" s="4">
        <f t="shared" si="27"/>
        <v>0</v>
      </c>
      <c r="I414" s="33">
        <f t="shared" si="28"/>
        <v>773420.25</v>
      </c>
      <c r="J414" s="33">
        <f t="shared" si="29"/>
        <v>0</v>
      </c>
    </row>
    <row r="415" spans="1:10">
      <c r="A415" s="3">
        <v>10000406</v>
      </c>
      <c r="B415" s="3" t="str">
        <v>Kolkata</v>
      </c>
      <c r="C415" s="3" t="str">
        <v>Reinforced Concrete</v>
      </c>
      <c r="D415" s="3">
        <v>3</v>
      </c>
      <c r="E415" s="4">
        <v>45366610</v>
      </c>
      <c r="F415" s="3">
        <f t="shared" si="26"/>
        <v>0</v>
      </c>
      <c r="G415" s="30">
        <f>IF(F415=0, 0, INDEX(tbl_Vulnerability[[0 ft]:[10 ft]], MATCH(Simulation!C415, tbl_Vulnerability[Construction_Class], 0), MATCH(Simulation!F415,{0,1,2,3,5,8,10}, 1)))</f>
        <v>0</v>
      </c>
      <c r="H415" s="4">
        <f t="shared" si="27"/>
        <v>0</v>
      </c>
      <c r="I415" s="33">
        <f t="shared" si="28"/>
        <v>2268330.5</v>
      </c>
      <c r="J415" s="33">
        <f t="shared" si="29"/>
        <v>0</v>
      </c>
    </row>
    <row r="416" spans="1:10">
      <c r="A416" s="3">
        <v>10000407</v>
      </c>
      <c r="B416" s="3" t="str">
        <v>Malda</v>
      </c>
      <c r="C416" s="3" t="str">
        <v>Unreinforced Masonry</v>
      </c>
      <c r="D416" s="3">
        <v>0</v>
      </c>
      <c r="E416" s="4">
        <v>4576409</v>
      </c>
      <c r="F416" s="3">
        <f t="shared" si="26"/>
        <v>10</v>
      </c>
      <c r="G416" s="30">
        <f>IF(F416=0, 0, INDEX(tbl_Vulnerability[[0 ft]:[10 ft]], MATCH(Simulation!C416, tbl_Vulnerability[Construction_Class], 0), MATCH(Simulation!F416,{0,1,2,3,5,8,10}, 1)))</f>
        <v>1</v>
      </c>
      <c r="H416" s="4">
        <f t="shared" si="27"/>
        <v>4576409</v>
      </c>
      <c r="I416" s="33">
        <f t="shared" si="28"/>
        <v>228820.45</v>
      </c>
      <c r="J416" s="33">
        <f t="shared" si="29"/>
        <v>4347588.55</v>
      </c>
    </row>
    <row r="417" spans="1:10">
      <c r="A417" s="3">
        <v>10000408</v>
      </c>
      <c r="B417" s="3" t="str">
        <v>South 24 Parganas</v>
      </c>
      <c r="C417" s="3" t="str">
        <v>Unreinforced Masonry</v>
      </c>
      <c r="D417" s="3">
        <v>1</v>
      </c>
      <c r="E417" s="4">
        <v>22690466</v>
      </c>
      <c r="F417" s="3">
        <f t="shared" si="26"/>
        <v>0</v>
      </c>
      <c r="G417" s="30">
        <f>IF(F417=0, 0, INDEX(tbl_Vulnerability[[0 ft]:[10 ft]], MATCH(Simulation!C417, tbl_Vulnerability[Construction_Class], 0), MATCH(Simulation!F417,{0,1,2,3,5,8,10}, 1)))</f>
        <v>0</v>
      </c>
      <c r="H417" s="4">
        <f t="shared" si="27"/>
        <v>0</v>
      </c>
      <c r="I417" s="33">
        <f t="shared" si="28"/>
        <v>1134523.3</v>
      </c>
      <c r="J417" s="33">
        <f t="shared" si="29"/>
        <v>0</v>
      </c>
    </row>
    <row r="418" spans="1:10">
      <c r="A418" s="3">
        <v>10000409</v>
      </c>
      <c r="B418" s="3" t="str">
        <v>Kolkata</v>
      </c>
      <c r="C418" s="3" t="str">
        <v>Unreinforced Masonry</v>
      </c>
      <c r="D418" s="3">
        <v>1</v>
      </c>
      <c r="E418" s="4">
        <v>2263086</v>
      </c>
      <c r="F418" s="3">
        <f t="shared" si="26"/>
        <v>0</v>
      </c>
      <c r="G418" s="30">
        <f>IF(F418=0, 0, INDEX(tbl_Vulnerability[[0 ft]:[10 ft]], MATCH(Simulation!C418, tbl_Vulnerability[Construction_Class], 0), MATCH(Simulation!F418,{0,1,2,3,5,8,10}, 1)))</f>
        <v>0</v>
      </c>
      <c r="H418" s="4">
        <f t="shared" si="27"/>
        <v>0</v>
      </c>
      <c r="I418" s="33">
        <f t="shared" si="28"/>
        <v>113154.3</v>
      </c>
      <c r="J418" s="33">
        <f t="shared" si="29"/>
        <v>0</v>
      </c>
    </row>
    <row r="419" spans="1:10">
      <c r="A419" s="3">
        <v>10000410</v>
      </c>
      <c r="B419" s="3" t="str">
        <v>Hooghly</v>
      </c>
      <c r="C419" s="3" t="str">
        <v>Reinforced Concrete</v>
      </c>
      <c r="D419" s="3">
        <v>5</v>
      </c>
      <c r="E419" s="4">
        <v>6571264</v>
      </c>
      <c r="F419" s="3">
        <f t="shared" si="26"/>
        <v>0</v>
      </c>
      <c r="G419" s="30">
        <f>IF(F419=0, 0, INDEX(tbl_Vulnerability[[0 ft]:[10 ft]], MATCH(Simulation!C419, tbl_Vulnerability[Construction_Class], 0), MATCH(Simulation!F419,{0,1,2,3,5,8,10}, 1)))</f>
        <v>0</v>
      </c>
      <c r="H419" s="4">
        <f t="shared" si="27"/>
        <v>0</v>
      </c>
      <c r="I419" s="33">
        <f t="shared" si="28"/>
        <v>328563.20000000001</v>
      </c>
      <c r="J419" s="33">
        <f t="shared" si="29"/>
        <v>0</v>
      </c>
    </row>
    <row r="420" spans="1:10">
      <c r="A420" s="3">
        <v>10000411</v>
      </c>
      <c r="B420" s="3" t="str">
        <v>Paschim Medinipur</v>
      </c>
      <c r="C420" s="3" t="str">
        <v>Reinforced Concrete</v>
      </c>
      <c r="D420" s="3">
        <v>4</v>
      </c>
      <c r="E420" s="4">
        <v>41424922</v>
      </c>
      <c r="F420" s="3">
        <f t="shared" si="26"/>
        <v>0</v>
      </c>
      <c r="G420" s="30">
        <f>IF(F420=0, 0, INDEX(tbl_Vulnerability[[0 ft]:[10 ft]], MATCH(Simulation!C420, tbl_Vulnerability[Construction_Class], 0), MATCH(Simulation!F420,{0,1,2,3,5,8,10}, 1)))</f>
        <v>0</v>
      </c>
      <c r="H420" s="4">
        <f t="shared" si="27"/>
        <v>0</v>
      </c>
      <c r="I420" s="33">
        <f t="shared" si="28"/>
        <v>2071246.1</v>
      </c>
      <c r="J420" s="33">
        <f t="shared" si="29"/>
        <v>0</v>
      </c>
    </row>
    <row r="421" spans="1:10">
      <c r="A421" s="3">
        <v>10000412</v>
      </c>
      <c r="B421" s="3" t="str">
        <v>Hooghly</v>
      </c>
      <c r="C421" s="3" t="str">
        <v>Unreinforced Masonry</v>
      </c>
      <c r="D421" s="3">
        <v>0</v>
      </c>
      <c r="E421" s="4">
        <v>16355312</v>
      </c>
      <c r="F421" s="3">
        <f t="shared" si="26"/>
        <v>0</v>
      </c>
      <c r="G421" s="30">
        <f>IF(F421=0, 0, INDEX(tbl_Vulnerability[[0 ft]:[10 ft]], MATCH(Simulation!C421, tbl_Vulnerability[Construction_Class], 0), MATCH(Simulation!F421,{0,1,2,3,5,8,10}, 1)))</f>
        <v>0</v>
      </c>
      <c r="H421" s="4">
        <f t="shared" si="27"/>
        <v>0</v>
      </c>
      <c r="I421" s="33">
        <f t="shared" si="28"/>
        <v>817765.60000000009</v>
      </c>
      <c r="J421" s="33">
        <f t="shared" si="29"/>
        <v>0</v>
      </c>
    </row>
    <row r="422" spans="1:10">
      <c r="A422" s="3">
        <v>10000413</v>
      </c>
      <c r="B422" s="3" t="str">
        <v>Paschim Medinipur</v>
      </c>
      <c r="C422" s="3" t="str">
        <v>Reinforced Concrete</v>
      </c>
      <c r="D422" s="3">
        <v>5</v>
      </c>
      <c r="E422" s="4">
        <v>61830477</v>
      </c>
      <c r="F422" s="3">
        <f t="shared" si="26"/>
        <v>0</v>
      </c>
      <c r="G422" s="30">
        <f>IF(F422=0, 0, INDEX(tbl_Vulnerability[[0 ft]:[10 ft]], MATCH(Simulation!C422, tbl_Vulnerability[Construction_Class], 0), MATCH(Simulation!F422,{0,1,2,3,5,8,10}, 1)))</f>
        <v>0</v>
      </c>
      <c r="H422" s="4">
        <f t="shared" si="27"/>
        <v>0</v>
      </c>
      <c r="I422" s="33">
        <f t="shared" si="28"/>
        <v>3091523.85</v>
      </c>
      <c r="J422" s="33">
        <f t="shared" si="29"/>
        <v>0</v>
      </c>
    </row>
    <row r="423" spans="1:10">
      <c r="A423" s="3">
        <v>10000414</v>
      </c>
      <c r="B423" s="3" t="str">
        <v>Paschim Medinipur</v>
      </c>
      <c r="C423" s="3" t="str">
        <v>Reinforced Concrete</v>
      </c>
      <c r="D423" s="3">
        <v>3</v>
      </c>
      <c r="E423" s="4">
        <v>57008003</v>
      </c>
      <c r="F423" s="3">
        <f t="shared" si="26"/>
        <v>0</v>
      </c>
      <c r="G423" s="30">
        <f>IF(F423=0, 0, INDEX(tbl_Vulnerability[[0 ft]:[10 ft]], MATCH(Simulation!C423, tbl_Vulnerability[Construction_Class], 0), MATCH(Simulation!F423,{0,1,2,3,5,8,10}, 1)))</f>
        <v>0</v>
      </c>
      <c r="H423" s="4">
        <f t="shared" si="27"/>
        <v>0</v>
      </c>
      <c r="I423" s="33">
        <f t="shared" si="28"/>
        <v>2850400.1500000004</v>
      </c>
      <c r="J423" s="33">
        <f t="shared" si="29"/>
        <v>0</v>
      </c>
    </row>
    <row r="424" spans="1:10">
      <c r="A424" s="3">
        <v>10000415</v>
      </c>
      <c r="B424" s="3" t="str">
        <v>Jalpaiguri</v>
      </c>
      <c r="C424" s="3" t="str">
        <v>Unreinforced Masonry</v>
      </c>
      <c r="D424" s="3">
        <v>0</v>
      </c>
      <c r="E424" s="4">
        <v>4806205</v>
      </c>
      <c r="F424" s="3">
        <f t="shared" si="26"/>
        <v>0</v>
      </c>
      <c r="G424" s="30">
        <f>IF(F424=0, 0, INDEX(tbl_Vulnerability[[0 ft]:[10 ft]], MATCH(Simulation!C424, tbl_Vulnerability[Construction_Class], 0), MATCH(Simulation!F424,{0,1,2,3,5,8,10}, 1)))</f>
        <v>0</v>
      </c>
      <c r="H424" s="4">
        <f t="shared" si="27"/>
        <v>0</v>
      </c>
      <c r="I424" s="33">
        <f t="shared" si="28"/>
        <v>240310.25</v>
      </c>
      <c r="J424" s="33">
        <f t="shared" si="29"/>
        <v>0</v>
      </c>
    </row>
    <row r="425" spans="1:10">
      <c r="A425" s="3">
        <v>10000416</v>
      </c>
      <c r="B425" s="3" t="str">
        <v>Kolkata</v>
      </c>
      <c r="C425" s="3" t="str">
        <v>Reinforced Concrete</v>
      </c>
      <c r="D425" s="3">
        <v>5</v>
      </c>
      <c r="E425" s="4">
        <v>15902483</v>
      </c>
      <c r="F425" s="3">
        <f t="shared" si="26"/>
        <v>0</v>
      </c>
      <c r="G425" s="30">
        <f>IF(F425=0, 0, INDEX(tbl_Vulnerability[[0 ft]:[10 ft]], MATCH(Simulation!C425, tbl_Vulnerability[Construction_Class], 0), MATCH(Simulation!F425,{0,1,2,3,5,8,10}, 1)))</f>
        <v>0</v>
      </c>
      <c r="H425" s="4">
        <f t="shared" si="27"/>
        <v>0</v>
      </c>
      <c r="I425" s="33">
        <f t="shared" si="28"/>
        <v>795124.15</v>
      </c>
      <c r="J425" s="33">
        <f t="shared" si="29"/>
        <v>0</v>
      </c>
    </row>
    <row r="426" spans="1:10">
      <c r="A426" s="3">
        <v>10000417</v>
      </c>
      <c r="B426" s="3" t="str">
        <v>Hooghly</v>
      </c>
      <c r="C426" s="3" t="str">
        <v>Unreinforced Masonry</v>
      </c>
      <c r="D426" s="3">
        <v>2</v>
      </c>
      <c r="E426" s="4">
        <v>17584335</v>
      </c>
      <c r="F426" s="3">
        <f t="shared" si="26"/>
        <v>0</v>
      </c>
      <c r="G426" s="30">
        <f>IF(F426=0, 0, INDEX(tbl_Vulnerability[[0 ft]:[10 ft]], MATCH(Simulation!C426, tbl_Vulnerability[Construction_Class], 0), MATCH(Simulation!F426,{0,1,2,3,5,8,10}, 1)))</f>
        <v>0</v>
      </c>
      <c r="H426" s="4">
        <f t="shared" si="27"/>
        <v>0</v>
      </c>
      <c r="I426" s="33">
        <f t="shared" si="28"/>
        <v>879216.75</v>
      </c>
      <c r="J426" s="33">
        <f t="shared" si="29"/>
        <v>0</v>
      </c>
    </row>
    <row r="427" spans="1:10">
      <c r="A427" s="3">
        <v>10000418</v>
      </c>
      <c r="B427" s="3" t="str">
        <v>Malda</v>
      </c>
      <c r="C427" s="3" t="str">
        <v>Adobe / Light Timber</v>
      </c>
      <c r="D427" s="3">
        <v>0</v>
      </c>
      <c r="E427" s="4">
        <v>527658</v>
      </c>
      <c r="F427" s="3">
        <f t="shared" si="26"/>
        <v>10</v>
      </c>
      <c r="G427" s="30">
        <f>IF(F427=0, 0, INDEX(tbl_Vulnerability[[0 ft]:[10 ft]], MATCH(Simulation!C427, tbl_Vulnerability[Construction_Class], 0), MATCH(Simulation!F427,{0,1,2,3,5,8,10}, 1)))</f>
        <v>1</v>
      </c>
      <c r="H427" s="4">
        <f t="shared" si="27"/>
        <v>527658</v>
      </c>
      <c r="I427" s="33">
        <f t="shared" si="28"/>
        <v>26382.9</v>
      </c>
      <c r="J427" s="33">
        <f t="shared" si="29"/>
        <v>501275.1</v>
      </c>
    </row>
    <row r="428" spans="1:10">
      <c r="A428" s="3">
        <v>10000419</v>
      </c>
      <c r="B428" s="3" t="str">
        <v>Jalpaiguri</v>
      </c>
      <c r="C428" s="3" t="str">
        <v>Unreinforced Masonry</v>
      </c>
      <c r="D428" s="3">
        <v>2</v>
      </c>
      <c r="E428" s="4">
        <v>3892744</v>
      </c>
      <c r="F428" s="3">
        <f t="shared" si="26"/>
        <v>0</v>
      </c>
      <c r="G428" s="30">
        <f>IF(F428=0, 0, INDEX(tbl_Vulnerability[[0 ft]:[10 ft]], MATCH(Simulation!C428, tbl_Vulnerability[Construction_Class], 0), MATCH(Simulation!F428,{0,1,2,3,5,8,10}, 1)))</f>
        <v>0</v>
      </c>
      <c r="H428" s="4">
        <f t="shared" si="27"/>
        <v>0</v>
      </c>
      <c r="I428" s="33">
        <f t="shared" si="28"/>
        <v>194637.2</v>
      </c>
      <c r="J428" s="33">
        <f t="shared" si="29"/>
        <v>0</v>
      </c>
    </row>
    <row r="429" spans="1:10">
      <c r="A429" s="3">
        <v>10000420</v>
      </c>
      <c r="B429" s="3" t="str">
        <v>Hooghly</v>
      </c>
      <c r="C429" s="3" t="str">
        <v>Reinforced Concrete</v>
      </c>
      <c r="D429" s="3">
        <v>3</v>
      </c>
      <c r="E429" s="4">
        <v>45360638</v>
      </c>
      <c r="F429" s="3">
        <f t="shared" si="26"/>
        <v>0</v>
      </c>
      <c r="G429" s="30">
        <f>IF(F429=0, 0, INDEX(tbl_Vulnerability[[0 ft]:[10 ft]], MATCH(Simulation!C429, tbl_Vulnerability[Construction_Class], 0), MATCH(Simulation!F429,{0,1,2,3,5,8,10}, 1)))</f>
        <v>0</v>
      </c>
      <c r="H429" s="4">
        <f t="shared" si="27"/>
        <v>0</v>
      </c>
      <c r="I429" s="33">
        <f t="shared" si="28"/>
        <v>2268031.9</v>
      </c>
      <c r="J429" s="33">
        <f t="shared" si="29"/>
        <v>0</v>
      </c>
    </row>
    <row r="430" spans="1:10">
      <c r="A430" s="3">
        <v>10000421</v>
      </c>
      <c r="B430" s="3" t="str">
        <v>Hooghly</v>
      </c>
      <c r="C430" s="3" t="str">
        <v>Reinforced Concrete</v>
      </c>
      <c r="D430" s="3">
        <v>3</v>
      </c>
      <c r="E430" s="4">
        <v>1874079</v>
      </c>
      <c r="F430" s="3">
        <f t="shared" si="26"/>
        <v>0</v>
      </c>
      <c r="G430" s="30">
        <f>IF(F430=0, 0, INDEX(tbl_Vulnerability[[0 ft]:[10 ft]], MATCH(Simulation!C430, tbl_Vulnerability[Construction_Class], 0), MATCH(Simulation!F430,{0,1,2,3,5,8,10}, 1)))</f>
        <v>0</v>
      </c>
      <c r="H430" s="4">
        <f t="shared" si="27"/>
        <v>0</v>
      </c>
      <c r="I430" s="33">
        <f t="shared" si="28"/>
        <v>93703.950000000012</v>
      </c>
      <c r="J430" s="33">
        <f t="shared" si="29"/>
        <v>0</v>
      </c>
    </row>
    <row r="431" spans="1:10">
      <c r="A431" s="3">
        <v>10000422</v>
      </c>
      <c r="B431" s="3" t="str">
        <v>Paschim Medinipur</v>
      </c>
      <c r="C431" s="3" t="str">
        <v>Adobe / Light Timber</v>
      </c>
      <c r="D431" s="3">
        <v>2</v>
      </c>
      <c r="E431" s="4">
        <v>556760</v>
      </c>
      <c r="F431" s="3">
        <f t="shared" si="26"/>
        <v>0</v>
      </c>
      <c r="G431" s="30">
        <f>IF(F431=0, 0, INDEX(tbl_Vulnerability[[0 ft]:[10 ft]], MATCH(Simulation!C431, tbl_Vulnerability[Construction_Class], 0), MATCH(Simulation!F431,{0,1,2,3,5,8,10}, 1)))</f>
        <v>0</v>
      </c>
      <c r="H431" s="4">
        <f t="shared" si="27"/>
        <v>0</v>
      </c>
      <c r="I431" s="33">
        <f t="shared" si="28"/>
        <v>27838</v>
      </c>
      <c r="J431" s="33">
        <f t="shared" si="29"/>
        <v>0</v>
      </c>
    </row>
    <row r="432" spans="1:10">
      <c r="A432" s="3">
        <v>10000423</v>
      </c>
      <c r="B432" s="3" t="str">
        <v>Paschim Medinipur</v>
      </c>
      <c r="C432" s="3" t="str">
        <v>Unreinforced Masonry</v>
      </c>
      <c r="D432" s="3">
        <v>1</v>
      </c>
      <c r="E432" s="4">
        <v>14207501</v>
      </c>
      <c r="F432" s="3">
        <f t="shared" si="26"/>
        <v>0</v>
      </c>
      <c r="G432" s="30">
        <f>IF(F432=0, 0, INDEX(tbl_Vulnerability[[0 ft]:[10 ft]], MATCH(Simulation!C432, tbl_Vulnerability[Construction_Class], 0), MATCH(Simulation!F432,{0,1,2,3,5,8,10}, 1)))</f>
        <v>0</v>
      </c>
      <c r="H432" s="4">
        <f t="shared" si="27"/>
        <v>0</v>
      </c>
      <c r="I432" s="33">
        <f t="shared" si="28"/>
        <v>710375.05</v>
      </c>
      <c r="J432" s="33">
        <f t="shared" si="29"/>
        <v>0</v>
      </c>
    </row>
    <row r="433" spans="1:10">
      <c r="A433" s="3">
        <v>10000424</v>
      </c>
      <c r="B433" s="3" t="str">
        <v>Paschim Medinipur</v>
      </c>
      <c r="C433" s="3" t="str">
        <v>Reinforced Concrete</v>
      </c>
      <c r="D433" s="3">
        <v>5</v>
      </c>
      <c r="E433" s="4">
        <v>3831930</v>
      </c>
      <c r="F433" s="3">
        <f t="shared" si="26"/>
        <v>0</v>
      </c>
      <c r="G433" s="30">
        <f>IF(F433=0, 0, INDEX(tbl_Vulnerability[[0 ft]:[10 ft]], MATCH(Simulation!C433, tbl_Vulnerability[Construction_Class], 0), MATCH(Simulation!F433,{0,1,2,3,5,8,10}, 1)))</f>
        <v>0</v>
      </c>
      <c r="H433" s="4">
        <f t="shared" si="27"/>
        <v>0</v>
      </c>
      <c r="I433" s="33">
        <f t="shared" si="28"/>
        <v>191596.5</v>
      </c>
      <c r="J433" s="33">
        <f t="shared" si="29"/>
        <v>0</v>
      </c>
    </row>
    <row r="434" spans="1:10">
      <c r="A434" s="3">
        <v>10000425</v>
      </c>
      <c r="B434" s="3" t="str">
        <v>Kolkata</v>
      </c>
      <c r="C434" s="3" t="str">
        <v>Reinforced Concrete</v>
      </c>
      <c r="D434" s="3">
        <v>4</v>
      </c>
      <c r="E434" s="4">
        <v>15948089</v>
      </c>
      <c r="F434" s="3">
        <f t="shared" si="26"/>
        <v>0</v>
      </c>
      <c r="G434" s="30">
        <f>IF(F434=0, 0, INDEX(tbl_Vulnerability[[0 ft]:[10 ft]], MATCH(Simulation!C434, tbl_Vulnerability[Construction_Class], 0), MATCH(Simulation!F434,{0,1,2,3,5,8,10}, 1)))</f>
        <v>0</v>
      </c>
      <c r="H434" s="4">
        <f t="shared" si="27"/>
        <v>0</v>
      </c>
      <c r="I434" s="33">
        <f t="shared" si="28"/>
        <v>797404.45000000007</v>
      </c>
      <c r="J434" s="33">
        <f t="shared" si="29"/>
        <v>0</v>
      </c>
    </row>
    <row r="435" spans="1:10">
      <c r="A435" s="3">
        <v>10000426</v>
      </c>
      <c r="B435" s="3" t="str">
        <v>Malda</v>
      </c>
      <c r="C435" s="3" t="str">
        <v>Reinforced Concrete</v>
      </c>
      <c r="D435" s="3">
        <v>3</v>
      </c>
      <c r="E435" s="4">
        <v>58443700</v>
      </c>
      <c r="F435" s="3">
        <f t="shared" si="26"/>
        <v>7</v>
      </c>
      <c r="G435" s="30">
        <f>IF(F435=0, 0, INDEX(tbl_Vulnerability[[0 ft]:[10 ft]], MATCH(Simulation!C435, tbl_Vulnerability[Construction_Class], 0), MATCH(Simulation!F435,{0,1,2,3,5,8,10}, 1)))</f>
        <v>0.2</v>
      </c>
      <c r="H435" s="4">
        <f t="shared" si="27"/>
        <v>11688740</v>
      </c>
      <c r="I435" s="33">
        <f t="shared" si="28"/>
        <v>2922185</v>
      </c>
      <c r="J435" s="33">
        <f t="shared" si="29"/>
        <v>8766555</v>
      </c>
    </row>
    <row r="436" spans="1:10">
      <c r="A436" s="3">
        <v>10000427</v>
      </c>
      <c r="B436" s="3" t="str">
        <v>Kolkata</v>
      </c>
      <c r="C436" s="3" t="str">
        <v>Reinforced Concrete</v>
      </c>
      <c r="D436" s="3">
        <v>3</v>
      </c>
      <c r="E436" s="4">
        <v>5700609</v>
      </c>
      <c r="F436" s="3">
        <f t="shared" si="26"/>
        <v>0</v>
      </c>
      <c r="G436" s="30">
        <f>IF(F436=0, 0, INDEX(tbl_Vulnerability[[0 ft]:[10 ft]], MATCH(Simulation!C436, tbl_Vulnerability[Construction_Class], 0), MATCH(Simulation!F436,{0,1,2,3,5,8,10}, 1)))</f>
        <v>0</v>
      </c>
      <c r="H436" s="4">
        <f t="shared" si="27"/>
        <v>0</v>
      </c>
      <c r="I436" s="33">
        <f t="shared" si="28"/>
        <v>285030.45</v>
      </c>
      <c r="J436" s="33">
        <f t="shared" si="29"/>
        <v>0</v>
      </c>
    </row>
    <row r="437" spans="1:10">
      <c r="A437" s="3">
        <v>10000428</v>
      </c>
      <c r="B437" s="3" t="str">
        <v>Malda</v>
      </c>
      <c r="C437" s="3" t="str">
        <v>Adobe / Light Timber</v>
      </c>
      <c r="D437" s="3">
        <v>0</v>
      </c>
      <c r="E437" s="4">
        <v>527953</v>
      </c>
      <c r="F437" s="3">
        <f t="shared" si="26"/>
        <v>10</v>
      </c>
      <c r="G437" s="30">
        <f>IF(F437=0, 0, INDEX(tbl_Vulnerability[[0 ft]:[10 ft]], MATCH(Simulation!C437, tbl_Vulnerability[Construction_Class], 0), MATCH(Simulation!F437,{0,1,2,3,5,8,10}, 1)))</f>
        <v>1</v>
      </c>
      <c r="H437" s="4">
        <f t="shared" si="27"/>
        <v>527953</v>
      </c>
      <c r="I437" s="33">
        <f t="shared" si="28"/>
        <v>26397.65</v>
      </c>
      <c r="J437" s="33">
        <f t="shared" si="29"/>
        <v>501555.35</v>
      </c>
    </row>
    <row r="438" spans="1:10">
      <c r="A438" s="3">
        <v>10000429</v>
      </c>
      <c r="B438" s="3" t="str">
        <v>Jalpaiguri</v>
      </c>
      <c r="C438" s="3" t="str">
        <v>Unreinforced Masonry</v>
      </c>
      <c r="D438" s="3">
        <v>1</v>
      </c>
      <c r="E438" s="4">
        <v>18416917</v>
      </c>
      <c r="F438" s="3">
        <f t="shared" si="26"/>
        <v>0</v>
      </c>
      <c r="G438" s="30">
        <f>IF(F438=0, 0, INDEX(tbl_Vulnerability[[0 ft]:[10 ft]], MATCH(Simulation!C438, tbl_Vulnerability[Construction_Class], 0), MATCH(Simulation!F438,{0,1,2,3,5,8,10}, 1)))</f>
        <v>0</v>
      </c>
      <c r="H438" s="4">
        <f t="shared" si="27"/>
        <v>0</v>
      </c>
      <c r="I438" s="33">
        <f t="shared" si="28"/>
        <v>920845.85000000009</v>
      </c>
      <c r="J438" s="33">
        <f t="shared" si="29"/>
        <v>0</v>
      </c>
    </row>
    <row r="439" spans="1:10">
      <c r="A439" s="3">
        <v>10000430</v>
      </c>
      <c r="B439" s="3" t="str">
        <v>Hooghly</v>
      </c>
      <c r="C439" s="3" t="str">
        <v>Reinforced Concrete</v>
      </c>
      <c r="D439" s="3">
        <v>3</v>
      </c>
      <c r="E439" s="4">
        <v>2091061</v>
      </c>
      <c r="F439" s="3">
        <f t="shared" si="26"/>
        <v>0</v>
      </c>
      <c r="G439" s="30">
        <f>IF(F439=0, 0, INDEX(tbl_Vulnerability[[0 ft]:[10 ft]], MATCH(Simulation!C439, tbl_Vulnerability[Construction_Class], 0), MATCH(Simulation!F439,{0,1,2,3,5,8,10}, 1)))</f>
        <v>0</v>
      </c>
      <c r="H439" s="4">
        <f t="shared" si="27"/>
        <v>0</v>
      </c>
      <c r="I439" s="33">
        <f t="shared" si="28"/>
        <v>104553.05</v>
      </c>
      <c r="J439" s="33">
        <f t="shared" si="29"/>
        <v>0</v>
      </c>
    </row>
    <row r="440" spans="1:10">
      <c r="A440" s="3">
        <v>10000431</v>
      </c>
      <c r="B440" s="3" t="str">
        <v>Kolkata</v>
      </c>
      <c r="C440" s="3" t="str">
        <v>Reinforced Concrete</v>
      </c>
      <c r="D440" s="3">
        <v>4</v>
      </c>
      <c r="E440" s="4">
        <v>22040688</v>
      </c>
      <c r="F440" s="3">
        <f t="shared" si="26"/>
        <v>0</v>
      </c>
      <c r="G440" s="30">
        <f>IF(F440=0, 0, INDEX(tbl_Vulnerability[[0 ft]:[10 ft]], MATCH(Simulation!C440, tbl_Vulnerability[Construction_Class], 0), MATCH(Simulation!F440,{0,1,2,3,5,8,10}, 1)))</f>
        <v>0</v>
      </c>
      <c r="H440" s="4">
        <f t="shared" si="27"/>
        <v>0</v>
      </c>
      <c r="I440" s="33">
        <f t="shared" si="28"/>
        <v>1102034.4000000001</v>
      </c>
      <c r="J440" s="33">
        <f t="shared" si="29"/>
        <v>0</v>
      </c>
    </row>
    <row r="441" spans="1:10">
      <c r="A441" s="3">
        <v>10000432</v>
      </c>
      <c r="B441" s="3" t="str">
        <v>Paschim Medinipur</v>
      </c>
      <c r="C441" s="3" t="str">
        <v>Reinforced Concrete</v>
      </c>
      <c r="D441" s="3">
        <v>5</v>
      </c>
      <c r="E441" s="4">
        <v>49755436</v>
      </c>
      <c r="F441" s="3">
        <f t="shared" si="26"/>
        <v>0</v>
      </c>
      <c r="G441" s="30">
        <f>IF(F441=0, 0, INDEX(tbl_Vulnerability[[0 ft]:[10 ft]], MATCH(Simulation!C441, tbl_Vulnerability[Construction_Class], 0), MATCH(Simulation!F441,{0,1,2,3,5,8,10}, 1)))</f>
        <v>0</v>
      </c>
      <c r="H441" s="4">
        <f t="shared" si="27"/>
        <v>0</v>
      </c>
      <c r="I441" s="33">
        <f t="shared" si="28"/>
        <v>2487771.8000000003</v>
      </c>
      <c r="J441" s="33">
        <f t="shared" si="29"/>
        <v>0</v>
      </c>
    </row>
    <row r="442" spans="1:10">
      <c r="A442" s="3">
        <v>10000433</v>
      </c>
      <c r="B442" s="3" t="str">
        <v>South 24 Parganas</v>
      </c>
      <c r="C442" s="3" t="str">
        <v>Adobe / Light Timber</v>
      </c>
      <c r="D442" s="3">
        <v>1</v>
      </c>
      <c r="E442" s="4">
        <v>546485</v>
      </c>
      <c r="F442" s="3">
        <f t="shared" si="26"/>
        <v>0</v>
      </c>
      <c r="G442" s="30">
        <f>IF(F442=0, 0, INDEX(tbl_Vulnerability[[0 ft]:[10 ft]], MATCH(Simulation!C442, tbl_Vulnerability[Construction_Class], 0), MATCH(Simulation!F442,{0,1,2,3,5,8,10}, 1)))</f>
        <v>0</v>
      </c>
      <c r="H442" s="4">
        <f t="shared" si="27"/>
        <v>0</v>
      </c>
      <c r="I442" s="33">
        <f t="shared" si="28"/>
        <v>27324.25</v>
      </c>
      <c r="J442" s="33">
        <f t="shared" si="29"/>
        <v>0</v>
      </c>
    </row>
    <row r="443" spans="1:10">
      <c r="A443" s="3">
        <v>10000434</v>
      </c>
      <c r="B443" s="3" t="str">
        <v>Malda</v>
      </c>
      <c r="C443" s="3" t="str">
        <v>Unreinforced Masonry</v>
      </c>
      <c r="D443" s="3">
        <v>2</v>
      </c>
      <c r="E443" s="4">
        <v>14747940</v>
      </c>
      <c r="F443" s="3">
        <f t="shared" si="26"/>
        <v>8</v>
      </c>
      <c r="G443" s="30">
        <f>IF(F443=0, 0, INDEX(tbl_Vulnerability[[0 ft]:[10 ft]], MATCH(Simulation!C443, tbl_Vulnerability[Construction_Class], 0), MATCH(Simulation!F443,{0,1,2,3,5,8,10}, 1)))</f>
        <v>0.9</v>
      </c>
      <c r="H443" s="4">
        <f t="shared" si="27"/>
        <v>13273146</v>
      </c>
      <c r="I443" s="33">
        <f t="shared" si="28"/>
        <v>737397</v>
      </c>
      <c r="J443" s="33">
        <f t="shared" si="29"/>
        <v>12535749</v>
      </c>
    </row>
    <row r="444" spans="1:10">
      <c r="A444" s="3">
        <v>10000435</v>
      </c>
      <c r="B444" s="3" t="str">
        <v>Kolkata</v>
      </c>
      <c r="C444" s="3" t="str">
        <v>Unreinforced Masonry</v>
      </c>
      <c r="D444" s="3">
        <v>1</v>
      </c>
      <c r="E444" s="4">
        <v>23132542</v>
      </c>
      <c r="F444" s="3">
        <f t="shared" si="26"/>
        <v>0</v>
      </c>
      <c r="G444" s="30">
        <f>IF(F444=0, 0, INDEX(tbl_Vulnerability[[0 ft]:[10 ft]], MATCH(Simulation!C444, tbl_Vulnerability[Construction_Class], 0), MATCH(Simulation!F444,{0,1,2,3,5,8,10}, 1)))</f>
        <v>0</v>
      </c>
      <c r="H444" s="4">
        <f t="shared" si="27"/>
        <v>0</v>
      </c>
      <c r="I444" s="33">
        <f t="shared" si="28"/>
        <v>1156627.1000000001</v>
      </c>
      <c r="J444" s="33">
        <f t="shared" si="29"/>
        <v>0</v>
      </c>
    </row>
    <row r="445" spans="1:10">
      <c r="A445" s="3">
        <v>10000436</v>
      </c>
      <c r="B445" s="3" t="str">
        <v>Malda</v>
      </c>
      <c r="C445" s="3" t="str">
        <v>Unreinforced Masonry</v>
      </c>
      <c r="D445" s="3">
        <v>1</v>
      </c>
      <c r="E445" s="4">
        <v>6577832</v>
      </c>
      <c r="F445" s="3">
        <f t="shared" si="26"/>
        <v>9</v>
      </c>
      <c r="G445" s="30">
        <f>IF(F445=0, 0, INDEX(tbl_Vulnerability[[0 ft]:[10 ft]], MATCH(Simulation!C445, tbl_Vulnerability[Construction_Class], 0), MATCH(Simulation!F445,{0,1,2,3,5,8,10}, 1)))</f>
        <v>0.9</v>
      </c>
      <c r="H445" s="4">
        <f t="shared" si="27"/>
        <v>5920048.7999999998</v>
      </c>
      <c r="I445" s="33">
        <f t="shared" si="28"/>
        <v>328891.60000000003</v>
      </c>
      <c r="J445" s="33">
        <f t="shared" si="29"/>
        <v>5591157.2000000002</v>
      </c>
    </row>
    <row r="446" spans="1:10">
      <c r="A446" s="3">
        <v>10000437</v>
      </c>
      <c r="B446" s="3" t="str">
        <v>Kolkata</v>
      </c>
      <c r="C446" s="3" t="str">
        <v>Reinforced Concrete</v>
      </c>
      <c r="D446" s="3">
        <v>3</v>
      </c>
      <c r="E446" s="4">
        <v>46735229</v>
      </c>
      <c r="F446" s="3">
        <f t="shared" si="26"/>
        <v>0</v>
      </c>
      <c r="G446" s="30">
        <f>IF(F446=0, 0, INDEX(tbl_Vulnerability[[0 ft]:[10 ft]], MATCH(Simulation!C446, tbl_Vulnerability[Construction_Class], 0), MATCH(Simulation!F446,{0,1,2,3,5,8,10}, 1)))</f>
        <v>0</v>
      </c>
      <c r="H446" s="4">
        <f t="shared" si="27"/>
        <v>0</v>
      </c>
      <c r="I446" s="33">
        <f t="shared" si="28"/>
        <v>2336761.4500000002</v>
      </c>
      <c r="J446" s="33">
        <f t="shared" si="29"/>
        <v>0</v>
      </c>
    </row>
    <row r="447" spans="1:10">
      <c r="A447" s="3">
        <v>10000438</v>
      </c>
      <c r="B447" s="3" t="str">
        <v>Jalpaiguri</v>
      </c>
      <c r="C447" s="3" t="str">
        <v>Unreinforced Masonry</v>
      </c>
      <c r="D447" s="3">
        <v>2</v>
      </c>
      <c r="E447" s="4">
        <v>3808887</v>
      </c>
      <c r="F447" s="3">
        <f t="shared" si="26"/>
        <v>0</v>
      </c>
      <c r="G447" s="30">
        <f>IF(F447=0, 0, INDEX(tbl_Vulnerability[[0 ft]:[10 ft]], MATCH(Simulation!C447, tbl_Vulnerability[Construction_Class], 0), MATCH(Simulation!F447,{0,1,2,3,5,8,10}, 1)))</f>
        <v>0</v>
      </c>
      <c r="H447" s="4">
        <f t="shared" si="27"/>
        <v>0</v>
      </c>
      <c r="I447" s="33">
        <f t="shared" si="28"/>
        <v>190444.35</v>
      </c>
      <c r="J447" s="33">
        <f t="shared" si="29"/>
        <v>0</v>
      </c>
    </row>
    <row r="448" spans="1:10">
      <c r="A448" s="3">
        <v>10000439</v>
      </c>
      <c r="B448" s="3" t="str">
        <v>Hooghly</v>
      </c>
      <c r="C448" s="3" t="str">
        <v>Reinforced Concrete</v>
      </c>
      <c r="D448" s="3">
        <v>3</v>
      </c>
      <c r="E448" s="4">
        <v>16211522</v>
      </c>
      <c r="F448" s="3">
        <f t="shared" si="26"/>
        <v>0</v>
      </c>
      <c r="G448" s="30">
        <f>IF(F448=0, 0, INDEX(tbl_Vulnerability[[0 ft]:[10 ft]], MATCH(Simulation!C448, tbl_Vulnerability[Construction_Class], 0), MATCH(Simulation!F448,{0,1,2,3,5,8,10}, 1)))</f>
        <v>0</v>
      </c>
      <c r="H448" s="4">
        <f t="shared" si="27"/>
        <v>0</v>
      </c>
      <c r="I448" s="33">
        <f t="shared" si="28"/>
        <v>810576.10000000009</v>
      </c>
      <c r="J448" s="33">
        <f t="shared" si="29"/>
        <v>0</v>
      </c>
    </row>
    <row r="449" spans="1:10">
      <c r="A449" s="3">
        <v>10000440</v>
      </c>
      <c r="B449" s="3" t="str">
        <v>South 24 Parganas</v>
      </c>
      <c r="C449" s="3" t="str">
        <v>Adobe / Light Timber</v>
      </c>
      <c r="D449" s="3">
        <v>0</v>
      </c>
      <c r="E449" s="4">
        <v>377487</v>
      </c>
      <c r="F449" s="3">
        <f t="shared" si="26"/>
        <v>0</v>
      </c>
      <c r="G449" s="30">
        <f>IF(F449=0, 0, INDEX(tbl_Vulnerability[[0 ft]:[10 ft]], MATCH(Simulation!C449, tbl_Vulnerability[Construction_Class], 0), MATCH(Simulation!F449,{0,1,2,3,5,8,10}, 1)))</f>
        <v>0</v>
      </c>
      <c r="H449" s="4">
        <f t="shared" si="27"/>
        <v>0</v>
      </c>
      <c r="I449" s="33">
        <f t="shared" si="28"/>
        <v>18874.350000000002</v>
      </c>
      <c r="J449" s="33">
        <f t="shared" si="29"/>
        <v>0</v>
      </c>
    </row>
    <row r="450" spans="1:10">
      <c r="A450" s="3">
        <v>10000441</v>
      </c>
      <c r="B450" s="3" t="str">
        <v>Kolkata</v>
      </c>
      <c r="C450" s="3" t="str">
        <v>Adobe / Light Timber</v>
      </c>
      <c r="D450" s="3">
        <v>1</v>
      </c>
      <c r="E450" s="4">
        <v>526768</v>
      </c>
      <c r="F450" s="3">
        <f t="shared" si="26"/>
        <v>0</v>
      </c>
      <c r="G450" s="30">
        <f>IF(F450=0, 0, INDEX(tbl_Vulnerability[[0 ft]:[10 ft]], MATCH(Simulation!C450, tbl_Vulnerability[Construction_Class], 0), MATCH(Simulation!F450,{0,1,2,3,5,8,10}, 1)))</f>
        <v>0</v>
      </c>
      <c r="H450" s="4">
        <f t="shared" si="27"/>
        <v>0</v>
      </c>
      <c r="I450" s="33">
        <f t="shared" si="28"/>
        <v>26338.400000000001</v>
      </c>
      <c r="J450" s="33">
        <f t="shared" si="29"/>
        <v>0</v>
      </c>
    </row>
    <row r="451" spans="1:10">
      <c r="A451" s="3">
        <v>10000442</v>
      </c>
      <c r="B451" s="3" t="str">
        <v>Kolkata</v>
      </c>
      <c r="C451" s="3" t="str">
        <v>Reinforced Concrete</v>
      </c>
      <c r="D451" s="3">
        <v>4</v>
      </c>
      <c r="E451" s="4">
        <v>2744189</v>
      </c>
      <c r="F451" s="3">
        <f t="shared" si="26"/>
        <v>0</v>
      </c>
      <c r="G451" s="30">
        <f>IF(F451=0, 0, INDEX(tbl_Vulnerability[[0 ft]:[10 ft]], MATCH(Simulation!C451, tbl_Vulnerability[Construction_Class], 0), MATCH(Simulation!F451,{0,1,2,3,5,8,10}, 1)))</f>
        <v>0</v>
      </c>
      <c r="H451" s="4">
        <f t="shared" si="27"/>
        <v>0</v>
      </c>
      <c r="I451" s="33">
        <f t="shared" si="28"/>
        <v>137209.45000000001</v>
      </c>
      <c r="J451" s="33">
        <f t="shared" si="29"/>
        <v>0</v>
      </c>
    </row>
    <row r="452" spans="1:10">
      <c r="A452" s="3">
        <v>10000443</v>
      </c>
      <c r="B452" s="3" t="str">
        <v>Kolkata</v>
      </c>
      <c r="C452" s="3" t="str">
        <v>Unreinforced Masonry</v>
      </c>
      <c r="D452" s="3">
        <v>1</v>
      </c>
      <c r="E452" s="4">
        <v>14218748</v>
      </c>
      <c r="F452" s="3">
        <f t="shared" si="26"/>
        <v>0</v>
      </c>
      <c r="G452" s="30">
        <f>IF(F452=0, 0, INDEX(tbl_Vulnerability[[0 ft]:[10 ft]], MATCH(Simulation!C452, tbl_Vulnerability[Construction_Class], 0), MATCH(Simulation!F452,{0,1,2,3,5,8,10}, 1)))</f>
        <v>0</v>
      </c>
      <c r="H452" s="4">
        <f t="shared" si="27"/>
        <v>0</v>
      </c>
      <c r="I452" s="33">
        <f t="shared" si="28"/>
        <v>710937.4</v>
      </c>
      <c r="J452" s="33">
        <f t="shared" si="29"/>
        <v>0</v>
      </c>
    </row>
    <row r="453" spans="1:10">
      <c r="A453" s="3">
        <v>10000444</v>
      </c>
      <c r="B453" s="3" t="str">
        <v>Paschim Medinipur</v>
      </c>
      <c r="C453" s="3" t="str">
        <v>Reinforced Concrete</v>
      </c>
      <c r="D453" s="3">
        <v>4</v>
      </c>
      <c r="E453" s="4">
        <v>57306267</v>
      </c>
      <c r="F453" s="3">
        <f t="shared" si="26"/>
        <v>0</v>
      </c>
      <c r="G453" s="30">
        <f>IF(F453=0, 0, INDEX(tbl_Vulnerability[[0 ft]:[10 ft]], MATCH(Simulation!C453, tbl_Vulnerability[Construction_Class], 0), MATCH(Simulation!F453,{0,1,2,3,5,8,10}, 1)))</f>
        <v>0</v>
      </c>
      <c r="H453" s="4">
        <f t="shared" si="27"/>
        <v>0</v>
      </c>
      <c r="I453" s="33">
        <f t="shared" si="28"/>
        <v>2865313.35</v>
      </c>
      <c r="J453" s="33">
        <f t="shared" si="29"/>
        <v>0</v>
      </c>
    </row>
    <row r="454" spans="1:10">
      <c r="A454" s="3">
        <v>10000445</v>
      </c>
      <c r="B454" s="3" t="str">
        <v>Kolkata</v>
      </c>
      <c r="C454" s="3" t="str">
        <v>Reinforced Concrete</v>
      </c>
      <c r="D454" s="3">
        <v>4</v>
      </c>
      <c r="E454" s="4">
        <v>6297217</v>
      </c>
      <c r="F454" s="3">
        <f t="shared" si="26"/>
        <v>0</v>
      </c>
      <c r="G454" s="30">
        <f>IF(F454=0, 0, INDEX(tbl_Vulnerability[[0 ft]:[10 ft]], MATCH(Simulation!C454, tbl_Vulnerability[Construction_Class], 0), MATCH(Simulation!F454,{0,1,2,3,5,8,10}, 1)))</f>
        <v>0</v>
      </c>
      <c r="H454" s="4">
        <f t="shared" si="27"/>
        <v>0</v>
      </c>
      <c r="I454" s="33">
        <f t="shared" si="28"/>
        <v>314860.85000000003</v>
      </c>
      <c r="J454" s="33">
        <f t="shared" si="29"/>
        <v>0</v>
      </c>
    </row>
    <row r="455" spans="1:10">
      <c r="A455" s="3">
        <v>10000446</v>
      </c>
      <c r="B455" s="3" t="str">
        <v>Paschim Medinipur</v>
      </c>
      <c r="C455" s="3" t="str">
        <v>Unreinforced Masonry</v>
      </c>
      <c r="D455" s="3">
        <v>2</v>
      </c>
      <c r="E455" s="4">
        <v>5892856</v>
      </c>
      <c r="F455" s="3">
        <f t="shared" si="26"/>
        <v>0</v>
      </c>
      <c r="G455" s="30">
        <f>IF(F455=0, 0, INDEX(tbl_Vulnerability[[0 ft]:[10 ft]], MATCH(Simulation!C455, tbl_Vulnerability[Construction_Class], 0), MATCH(Simulation!F455,{0,1,2,3,5,8,10}, 1)))</f>
        <v>0</v>
      </c>
      <c r="H455" s="4">
        <f t="shared" si="27"/>
        <v>0</v>
      </c>
      <c r="I455" s="33">
        <f t="shared" si="28"/>
        <v>294642.8</v>
      </c>
      <c r="J455" s="33">
        <f t="shared" si="29"/>
        <v>0</v>
      </c>
    </row>
    <row r="456" spans="1:10">
      <c r="A456" s="3">
        <v>10000447</v>
      </c>
      <c r="B456" s="3" t="str">
        <v>Hooghly</v>
      </c>
      <c r="C456" s="3" t="str">
        <v>Reinforced Concrete</v>
      </c>
      <c r="D456" s="3">
        <v>5</v>
      </c>
      <c r="E456" s="4">
        <v>14306104</v>
      </c>
      <c r="F456" s="3">
        <f t="shared" si="26"/>
        <v>0</v>
      </c>
      <c r="G456" s="30">
        <f>IF(F456=0, 0, INDEX(tbl_Vulnerability[[0 ft]:[10 ft]], MATCH(Simulation!C456, tbl_Vulnerability[Construction_Class], 0), MATCH(Simulation!F456,{0,1,2,3,5,8,10}, 1)))</f>
        <v>0</v>
      </c>
      <c r="H456" s="4">
        <f t="shared" si="27"/>
        <v>0</v>
      </c>
      <c r="I456" s="33">
        <f t="shared" si="28"/>
        <v>715305.20000000007</v>
      </c>
      <c r="J456" s="33">
        <f t="shared" si="29"/>
        <v>0</v>
      </c>
    </row>
    <row r="457" spans="1:10">
      <c r="A457" s="3">
        <v>10000448</v>
      </c>
      <c r="B457" s="3" t="str">
        <v>Jalpaiguri</v>
      </c>
      <c r="C457" s="3" t="str">
        <v>Unreinforced Masonry</v>
      </c>
      <c r="D457" s="3">
        <v>1</v>
      </c>
      <c r="E457" s="4">
        <v>6630248</v>
      </c>
      <c r="F457" s="3">
        <f t="shared" si="26"/>
        <v>0</v>
      </c>
      <c r="G457" s="30">
        <f>IF(F457=0, 0, INDEX(tbl_Vulnerability[[0 ft]:[10 ft]], MATCH(Simulation!C457, tbl_Vulnerability[Construction_Class], 0), MATCH(Simulation!F457,{0,1,2,3,5,8,10}, 1)))</f>
        <v>0</v>
      </c>
      <c r="H457" s="4">
        <f t="shared" si="27"/>
        <v>0</v>
      </c>
      <c r="I457" s="33">
        <f t="shared" si="28"/>
        <v>331512.40000000002</v>
      </c>
      <c r="J457" s="33">
        <f t="shared" si="29"/>
        <v>0</v>
      </c>
    </row>
    <row r="458" spans="1:10">
      <c r="A458" s="3">
        <v>10000449</v>
      </c>
      <c r="B458" s="3" t="str">
        <v>Kolkata</v>
      </c>
      <c r="C458" s="3" t="str">
        <v>Reinforced Concrete</v>
      </c>
      <c r="D458" s="3">
        <v>3</v>
      </c>
      <c r="E458" s="4">
        <v>20988668</v>
      </c>
      <c r="F458" s="3">
        <f t="shared" si="26"/>
        <v>0</v>
      </c>
      <c r="G458" s="30">
        <f>IF(F458=0, 0, INDEX(tbl_Vulnerability[[0 ft]:[10 ft]], MATCH(Simulation!C458, tbl_Vulnerability[Construction_Class], 0), MATCH(Simulation!F458,{0,1,2,3,5,8,10}, 1)))</f>
        <v>0</v>
      </c>
      <c r="H458" s="4">
        <f t="shared" si="27"/>
        <v>0</v>
      </c>
      <c r="I458" s="33">
        <f t="shared" si="28"/>
        <v>1049433.4000000001</v>
      </c>
      <c r="J458" s="33">
        <f t="shared" si="29"/>
        <v>0</v>
      </c>
    </row>
    <row r="459" spans="1:10">
      <c r="A459" s="3">
        <v>10000450</v>
      </c>
      <c r="B459" s="3" t="str">
        <v>South 24 Parganas</v>
      </c>
      <c r="C459" s="3" t="str">
        <v>Unreinforced Masonry</v>
      </c>
      <c r="D459" s="3">
        <v>1</v>
      </c>
      <c r="E459" s="4">
        <v>4055938</v>
      </c>
      <c r="F459" s="3">
        <f t="shared" ref="F459:F522" si="30">IF(B459=$B$2, MAX(0, $B$3 - D459), 0)</f>
        <v>0</v>
      </c>
      <c r="G459" s="30">
        <f>IF(F459=0, 0, INDEX(tbl_Vulnerability[[0 ft]:[10 ft]], MATCH(Simulation!C459, tbl_Vulnerability[Construction_Class], 0), MATCH(Simulation!F459,{0,1,2,3,5,8,10}, 1)))</f>
        <v>0</v>
      </c>
      <c r="H459" s="4">
        <f t="shared" ref="H459:H522" si="31">E459*G459</f>
        <v>0</v>
      </c>
      <c r="I459" s="33">
        <f t="shared" ref="I459:I522" si="32">E459*$B$4</f>
        <v>202796.90000000002</v>
      </c>
      <c r="J459" s="33">
        <f t="shared" ref="J459:J522" si="33">MAX(0, H459 - I459)</f>
        <v>0</v>
      </c>
    </row>
    <row r="460" spans="1:10">
      <c r="A460" s="3">
        <v>10000451</v>
      </c>
      <c r="B460" s="3" t="str">
        <v>Jalpaiguri</v>
      </c>
      <c r="C460" s="3" t="str">
        <v>Reinforced Concrete</v>
      </c>
      <c r="D460" s="3">
        <v>4</v>
      </c>
      <c r="E460" s="4">
        <v>41972682</v>
      </c>
      <c r="F460" s="3">
        <f t="shared" si="30"/>
        <v>0</v>
      </c>
      <c r="G460" s="30">
        <f>IF(F460=0, 0, INDEX(tbl_Vulnerability[[0 ft]:[10 ft]], MATCH(Simulation!C460, tbl_Vulnerability[Construction_Class], 0), MATCH(Simulation!F460,{0,1,2,3,5,8,10}, 1)))</f>
        <v>0</v>
      </c>
      <c r="H460" s="4">
        <f t="shared" si="31"/>
        <v>0</v>
      </c>
      <c r="I460" s="33">
        <f t="shared" si="32"/>
        <v>2098634.1</v>
      </c>
      <c r="J460" s="33">
        <f t="shared" si="33"/>
        <v>0</v>
      </c>
    </row>
    <row r="461" spans="1:10">
      <c r="A461" s="3">
        <v>10000452</v>
      </c>
      <c r="B461" s="3" t="str">
        <v>Malda</v>
      </c>
      <c r="C461" s="3" t="str">
        <v>Reinforced Concrete</v>
      </c>
      <c r="D461" s="3">
        <v>3</v>
      </c>
      <c r="E461" s="4">
        <v>54006172</v>
      </c>
      <c r="F461" s="3">
        <f t="shared" si="30"/>
        <v>7</v>
      </c>
      <c r="G461" s="30">
        <f>IF(F461=0, 0, INDEX(tbl_Vulnerability[[0 ft]:[10 ft]], MATCH(Simulation!C461, tbl_Vulnerability[Construction_Class], 0), MATCH(Simulation!F461,{0,1,2,3,5,8,10}, 1)))</f>
        <v>0.2</v>
      </c>
      <c r="H461" s="4">
        <f t="shared" si="31"/>
        <v>10801234.4</v>
      </c>
      <c r="I461" s="33">
        <f t="shared" si="32"/>
        <v>2700308.6</v>
      </c>
      <c r="J461" s="33">
        <f t="shared" si="33"/>
        <v>8100925.8000000007</v>
      </c>
    </row>
    <row r="462" spans="1:10">
      <c r="A462" s="3">
        <v>10000453</v>
      </c>
      <c r="B462" s="3" t="str">
        <v>Malda</v>
      </c>
      <c r="C462" s="3" t="str">
        <v>Reinforced Concrete</v>
      </c>
      <c r="D462" s="3">
        <v>5</v>
      </c>
      <c r="E462" s="4">
        <v>37864183</v>
      </c>
      <c r="F462" s="3">
        <f t="shared" si="30"/>
        <v>5</v>
      </c>
      <c r="G462" s="30">
        <f>IF(F462=0, 0, INDEX(tbl_Vulnerability[[0 ft]:[10 ft]], MATCH(Simulation!C462, tbl_Vulnerability[Construction_Class], 0), MATCH(Simulation!F462,{0,1,2,3,5,8,10}, 1)))</f>
        <v>0.2</v>
      </c>
      <c r="H462" s="4">
        <f t="shared" si="31"/>
        <v>7572836.6000000006</v>
      </c>
      <c r="I462" s="33">
        <f t="shared" si="32"/>
        <v>1893209.1500000001</v>
      </c>
      <c r="J462" s="33">
        <f t="shared" si="33"/>
        <v>5679627.4500000002</v>
      </c>
    </row>
    <row r="463" spans="1:10">
      <c r="A463" s="3">
        <v>10000454</v>
      </c>
      <c r="B463" s="3" t="str">
        <v>Kolkata</v>
      </c>
      <c r="C463" s="3" t="str">
        <v>Reinforced Concrete</v>
      </c>
      <c r="D463" s="3">
        <v>4</v>
      </c>
      <c r="E463" s="4">
        <v>2817568</v>
      </c>
      <c r="F463" s="3">
        <f t="shared" si="30"/>
        <v>0</v>
      </c>
      <c r="G463" s="30">
        <f>IF(F463=0, 0, INDEX(tbl_Vulnerability[[0 ft]:[10 ft]], MATCH(Simulation!C463, tbl_Vulnerability[Construction_Class], 0), MATCH(Simulation!F463,{0,1,2,3,5,8,10}, 1)))</f>
        <v>0</v>
      </c>
      <c r="H463" s="4">
        <f t="shared" si="31"/>
        <v>0</v>
      </c>
      <c r="I463" s="33">
        <f t="shared" si="32"/>
        <v>140878.39999999999</v>
      </c>
      <c r="J463" s="33">
        <f t="shared" si="33"/>
        <v>0</v>
      </c>
    </row>
    <row r="464" spans="1:10">
      <c r="A464" s="3">
        <v>10000455</v>
      </c>
      <c r="B464" s="3" t="str">
        <v>Paschim Medinipur</v>
      </c>
      <c r="C464" s="3" t="str">
        <v>Unreinforced Masonry</v>
      </c>
      <c r="D464" s="3">
        <v>1</v>
      </c>
      <c r="E464" s="4">
        <v>11356129</v>
      </c>
      <c r="F464" s="3">
        <f t="shared" si="30"/>
        <v>0</v>
      </c>
      <c r="G464" s="30">
        <f>IF(F464=0, 0, INDEX(tbl_Vulnerability[[0 ft]:[10 ft]], MATCH(Simulation!C464, tbl_Vulnerability[Construction_Class], 0), MATCH(Simulation!F464,{0,1,2,3,5,8,10}, 1)))</f>
        <v>0</v>
      </c>
      <c r="H464" s="4">
        <f t="shared" si="31"/>
        <v>0</v>
      </c>
      <c r="I464" s="33">
        <f t="shared" si="32"/>
        <v>567806.45000000007</v>
      </c>
      <c r="J464" s="33">
        <f t="shared" si="33"/>
        <v>0</v>
      </c>
    </row>
    <row r="465" spans="1:10">
      <c r="A465" s="3">
        <v>10000456</v>
      </c>
      <c r="B465" s="3" t="str">
        <v>Paschim Medinipur</v>
      </c>
      <c r="C465" s="3" t="str">
        <v>Reinforced Concrete</v>
      </c>
      <c r="D465" s="3">
        <v>5</v>
      </c>
      <c r="E465" s="4">
        <v>44980347</v>
      </c>
      <c r="F465" s="3">
        <f t="shared" si="30"/>
        <v>0</v>
      </c>
      <c r="G465" s="30">
        <f>IF(F465=0, 0, INDEX(tbl_Vulnerability[[0 ft]:[10 ft]], MATCH(Simulation!C465, tbl_Vulnerability[Construction_Class], 0), MATCH(Simulation!F465,{0,1,2,3,5,8,10}, 1)))</f>
        <v>0</v>
      </c>
      <c r="H465" s="4">
        <f t="shared" si="31"/>
        <v>0</v>
      </c>
      <c r="I465" s="33">
        <f t="shared" si="32"/>
        <v>2249017.35</v>
      </c>
      <c r="J465" s="33">
        <f t="shared" si="33"/>
        <v>0</v>
      </c>
    </row>
    <row r="466" spans="1:10">
      <c r="A466" s="3">
        <v>10000457</v>
      </c>
      <c r="B466" s="3" t="str">
        <v>Jalpaiguri</v>
      </c>
      <c r="C466" s="3" t="str">
        <v>Reinforced Concrete</v>
      </c>
      <c r="D466" s="3">
        <v>4</v>
      </c>
      <c r="E466" s="4">
        <v>38391252</v>
      </c>
      <c r="F466" s="3">
        <f t="shared" si="30"/>
        <v>0</v>
      </c>
      <c r="G466" s="30">
        <f>IF(F466=0, 0, INDEX(tbl_Vulnerability[[0 ft]:[10 ft]], MATCH(Simulation!C466, tbl_Vulnerability[Construction_Class], 0), MATCH(Simulation!F466,{0,1,2,3,5,8,10}, 1)))</f>
        <v>0</v>
      </c>
      <c r="H466" s="4">
        <f t="shared" si="31"/>
        <v>0</v>
      </c>
      <c r="I466" s="33">
        <f t="shared" si="32"/>
        <v>1919562.6</v>
      </c>
      <c r="J466" s="33">
        <f t="shared" si="33"/>
        <v>0</v>
      </c>
    </row>
    <row r="467" spans="1:10">
      <c r="A467" s="3">
        <v>10000458</v>
      </c>
      <c r="B467" s="3" t="str">
        <v>Paschim Medinipur</v>
      </c>
      <c r="C467" s="3" t="str">
        <v>Reinforced Concrete</v>
      </c>
      <c r="D467" s="3">
        <v>4</v>
      </c>
      <c r="E467" s="4">
        <v>24101171</v>
      </c>
      <c r="F467" s="3">
        <f t="shared" si="30"/>
        <v>0</v>
      </c>
      <c r="G467" s="30">
        <f>IF(F467=0, 0, INDEX(tbl_Vulnerability[[0 ft]:[10 ft]], MATCH(Simulation!C467, tbl_Vulnerability[Construction_Class], 0), MATCH(Simulation!F467,{0,1,2,3,5,8,10}, 1)))</f>
        <v>0</v>
      </c>
      <c r="H467" s="4">
        <f t="shared" si="31"/>
        <v>0</v>
      </c>
      <c r="I467" s="33">
        <f t="shared" si="32"/>
        <v>1205058.55</v>
      </c>
      <c r="J467" s="33">
        <f t="shared" si="33"/>
        <v>0</v>
      </c>
    </row>
    <row r="468" spans="1:10">
      <c r="A468" s="3">
        <v>10000459</v>
      </c>
      <c r="B468" s="3" t="str">
        <v>Kolkata</v>
      </c>
      <c r="C468" s="3" t="str">
        <v>Unreinforced Masonry</v>
      </c>
      <c r="D468" s="3">
        <v>2</v>
      </c>
      <c r="E468" s="4">
        <v>15883260</v>
      </c>
      <c r="F468" s="3">
        <f t="shared" si="30"/>
        <v>0</v>
      </c>
      <c r="G468" s="30">
        <f>IF(F468=0, 0, INDEX(tbl_Vulnerability[[0 ft]:[10 ft]], MATCH(Simulation!C468, tbl_Vulnerability[Construction_Class], 0), MATCH(Simulation!F468,{0,1,2,3,5,8,10}, 1)))</f>
        <v>0</v>
      </c>
      <c r="H468" s="4">
        <f t="shared" si="31"/>
        <v>0</v>
      </c>
      <c r="I468" s="33">
        <f t="shared" si="32"/>
        <v>794163</v>
      </c>
      <c r="J468" s="33">
        <f t="shared" si="33"/>
        <v>0</v>
      </c>
    </row>
    <row r="469" spans="1:10">
      <c r="A469" s="3">
        <v>10000460</v>
      </c>
      <c r="B469" s="3" t="str">
        <v>Hooghly</v>
      </c>
      <c r="C469" s="3" t="str">
        <v>Reinforced Concrete</v>
      </c>
      <c r="D469" s="3">
        <v>3</v>
      </c>
      <c r="E469" s="4">
        <v>14993087</v>
      </c>
      <c r="F469" s="3">
        <f t="shared" si="30"/>
        <v>0</v>
      </c>
      <c r="G469" s="30">
        <f>IF(F469=0, 0, INDEX(tbl_Vulnerability[[0 ft]:[10 ft]], MATCH(Simulation!C469, tbl_Vulnerability[Construction_Class], 0), MATCH(Simulation!F469,{0,1,2,3,5,8,10}, 1)))</f>
        <v>0</v>
      </c>
      <c r="H469" s="4">
        <f t="shared" si="31"/>
        <v>0</v>
      </c>
      <c r="I469" s="33">
        <f t="shared" si="32"/>
        <v>749654.35000000009</v>
      </c>
      <c r="J469" s="33">
        <f t="shared" si="33"/>
        <v>0</v>
      </c>
    </row>
    <row r="470" spans="1:10">
      <c r="A470" s="3">
        <v>10000461</v>
      </c>
      <c r="B470" s="3" t="str">
        <v>Kolkata</v>
      </c>
      <c r="C470" s="3" t="str">
        <v>Reinforced Concrete</v>
      </c>
      <c r="D470" s="3">
        <v>5</v>
      </c>
      <c r="E470" s="4">
        <v>52686448</v>
      </c>
      <c r="F470" s="3">
        <f t="shared" si="30"/>
        <v>0</v>
      </c>
      <c r="G470" s="30">
        <f>IF(F470=0, 0, INDEX(tbl_Vulnerability[[0 ft]:[10 ft]], MATCH(Simulation!C470, tbl_Vulnerability[Construction_Class], 0), MATCH(Simulation!F470,{0,1,2,3,5,8,10}, 1)))</f>
        <v>0</v>
      </c>
      <c r="H470" s="4">
        <f t="shared" si="31"/>
        <v>0</v>
      </c>
      <c r="I470" s="33">
        <f t="shared" si="32"/>
        <v>2634322.4000000004</v>
      </c>
      <c r="J470" s="33">
        <f t="shared" si="33"/>
        <v>0</v>
      </c>
    </row>
    <row r="471" spans="1:10">
      <c r="A471" s="3">
        <v>10000462</v>
      </c>
      <c r="B471" s="3" t="str">
        <v>Jalpaiguri</v>
      </c>
      <c r="C471" s="3" t="str">
        <v>Reinforced Concrete</v>
      </c>
      <c r="D471" s="3">
        <v>5</v>
      </c>
      <c r="E471" s="4">
        <v>42711223</v>
      </c>
      <c r="F471" s="3">
        <f t="shared" si="30"/>
        <v>0</v>
      </c>
      <c r="G471" s="30">
        <f>IF(F471=0, 0, INDEX(tbl_Vulnerability[[0 ft]:[10 ft]], MATCH(Simulation!C471, tbl_Vulnerability[Construction_Class], 0), MATCH(Simulation!F471,{0,1,2,3,5,8,10}, 1)))</f>
        <v>0</v>
      </c>
      <c r="H471" s="4">
        <f t="shared" si="31"/>
        <v>0</v>
      </c>
      <c r="I471" s="33">
        <f t="shared" si="32"/>
        <v>2135561.15</v>
      </c>
      <c r="J471" s="33">
        <f t="shared" si="33"/>
        <v>0</v>
      </c>
    </row>
    <row r="472" spans="1:10">
      <c r="A472" s="3">
        <v>10000463</v>
      </c>
      <c r="B472" s="3" t="str">
        <v>Jalpaiguri</v>
      </c>
      <c r="C472" s="3" t="str">
        <v>Reinforced Concrete</v>
      </c>
      <c r="D472" s="3">
        <v>3</v>
      </c>
      <c r="E472" s="4">
        <v>20050332</v>
      </c>
      <c r="F472" s="3">
        <f t="shared" si="30"/>
        <v>0</v>
      </c>
      <c r="G472" s="30">
        <f>IF(F472=0, 0, INDEX(tbl_Vulnerability[[0 ft]:[10 ft]], MATCH(Simulation!C472, tbl_Vulnerability[Construction_Class], 0), MATCH(Simulation!F472,{0,1,2,3,5,8,10}, 1)))</f>
        <v>0</v>
      </c>
      <c r="H472" s="4">
        <f t="shared" si="31"/>
        <v>0</v>
      </c>
      <c r="I472" s="33">
        <f t="shared" si="32"/>
        <v>1002516.6000000001</v>
      </c>
      <c r="J472" s="33">
        <f t="shared" si="33"/>
        <v>0</v>
      </c>
    </row>
    <row r="473" spans="1:10">
      <c r="A473" s="3">
        <v>10000464</v>
      </c>
      <c r="B473" s="3" t="str">
        <v>Jalpaiguri</v>
      </c>
      <c r="C473" s="3" t="str">
        <v>Reinforced Concrete</v>
      </c>
      <c r="D473" s="3">
        <v>3</v>
      </c>
      <c r="E473" s="4">
        <v>46337239</v>
      </c>
      <c r="F473" s="3">
        <f t="shared" si="30"/>
        <v>0</v>
      </c>
      <c r="G473" s="30">
        <f>IF(F473=0, 0, INDEX(tbl_Vulnerability[[0 ft]:[10 ft]], MATCH(Simulation!C473, tbl_Vulnerability[Construction_Class], 0), MATCH(Simulation!F473,{0,1,2,3,5,8,10}, 1)))</f>
        <v>0</v>
      </c>
      <c r="H473" s="4">
        <f t="shared" si="31"/>
        <v>0</v>
      </c>
      <c r="I473" s="33">
        <f t="shared" si="32"/>
        <v>2316861.9500000002</v>
      </c>
      <c r="J473" s="33">
        <f t="shared" si="33"/>
        <v>0</v>
      </c>
    </row>
    <row r="474" spans="1:10">
      <c r="A474" s="3">
        <v>10000465</v>
      </c>
      <c r="B474" s="3" t="str">
        <v>Kolkata</v>
      </c>
      <c r="C474" s="3" t="str">
        <v>Reinforced Concrete</v>
      </c>
      <c r="D474" s="3">
        <v>5</v>
      </c>
      <c r="E474" s="4">
        <v>1417289</v>
      </c>
      <c r="F474" s="3">
        <f t="shared" si="30"/>
        <v>0</v>
      </c>
      <c r="G474" s="30">
        <f>IF(F474=0, 0, INDEX(tbl_Vulnerability[[0 ft]:[10 ft]], MATCH(Simulation!C474, tbl_Vulnerability[Construction_Class], 0), MATCH(Simulation!F474,{0,1,2,3,5,8,10}, 1)))</f>
        <v>0</v>
      </c>
      <c r="H474" s="4">
        <f t="shared" si="31"/>
        <v>0</v>
      </c>
      <c r="I474" s="33">
        <f t="shared" si="32"/>
        <v>70864.45</v>
      </c>
      <c r="J474" s="33">
        <f t="shared" si="33"/>
        <v>0</v>
      </c>
    </row>
    <row r="475" spans="1:10">
      <c r="A475" s="3">
        <v>10000466</v>
      </c>
      <c r="B475" s="3" t="str">
        <v>Jalpaiguri</v>
      </c>
      <c r="C475" s="3" t="str">
        <v>Reinforced Concrete</v>
      </c>
      <c r="D475" s="3">
        <v>4</v>
      </c>
      <c r="E475" s="4">
        <v>54013621</v>
      </c>
      <c r="F475" s="3">
        <f t="shared" si="30"/>
        <v>0</v>
      </c>
      <c r="G475" s="30">
        <f>IF(F475=0, 0, INDEX(tbl_Vulnerability[[0 ft]:[10 ft]], MATCH(Simulation!C475, tbl_Vulnerability[Construction_Class], 0), MATCH(Simulation!F475,{0,1,2,3,5,8,10}, 1)))</f>
        <v>0</v>
      </c>
      <c r="H475" s="4">
        <f t="shared" si="31"/>
        <v>0</v>
      </c>
      <c r="I475" s="33">
        <f t="shared" si="32"/>
        <v>2700681.0500000003</v>
      </c>
      <c r="J475" s="33">
        <f t="shared" si="33"/>
        <v>0</v>
      </c>
    </row>
    <row r="476" spans="1:10">
      <c r="A476" s="3">
        <v>10000467</v>
      </c>
      <c r="B476" s="3" t="str">
        <v>Malda</v>
      </c>
      <c r="C476" s="3" t="str">
        <v>Adobe / Light Timber</v>
      </c>
      <c r="D476" s="3">
        <v>0</v>
      </c>
      <c r="E476" s="4">
        <v>508666</v>
      </c>
      <c r="F476" s="3">
        <f t="shared" si="30"/>
        <v>10</v>
      </c>
      <c r="G476" s="30">
        <f>IF(F476=0, 0, INDEX(tbl_Vulnerability[[0 ft]:[10 ft]], MATCH(Simulation!C476, tbl_Vulnerability[Construction_Class], 0), MATCH(Simulation!F476,{0,1,2,3,5,8,10}, 1)))</f>
        <v>1</v>
      </c>
      <c r="H476" s="4">
        <f t="shared" si="31"/>
        <v>508666</v>
      </c>
      <c r="I476" s="33">
        <f t="shared" si="32"/>
        <v>25433.300000000003</v>
      </c>
      <c r="J476" s="33">
        <f t="shared" si="33"/>
        <v>483232.7</v>
      </c>
    </row>
    <row r="477" spans="1:10">
      <c r="A477" s="3">
        <v>10000468</v>
      </c>
      <c r="B477" s="3" t="str">
        <v>South 24 Parganas</v>
      </c>
      <c r="C477" s="3" t="str">
        <v>Reinforced Concrete</v>
      </c>
      <c r="D477" s="3">
        <v>3</v>
      </c>
      <c r="E477" s="4">
        <v>21597003</v>
      </c>
      <c r="F477" s="3">
        <f t="shared" si="30"/>
        <v>0</v>
      </c>
      <c r="G477" s="30">
        <f>IF(F477=0, 0, INDEX(tbl_Vulnerability[[0 ft]:[10 ft]], MATCH(Simulation!C477, tbl_Vulnerability[Construction_Class], 0), MATCH(Simulation!F477,{0,1,2,3,5,8,10}, 1)))</f>
        <v>0</v>
      </c>
      <c r="H477" s="4">
        <f t="shared" si="31"/>
        <v>0</v>
      </c>
      <c r="I477" s="33">
        <f t="shared" si="32"/>
        <v>1079850.1500000001</v>
      </c>
      <c r="J477" s="33">
        <f t="shared" si="33"/>
        <v>0</v>
      </c>
    </row>
    <row r="478" spans="1:10">
      <c r="A478" s="3">
        <v>10000469</v>
      </c>
      <c r="B478" s="3" t="str">
        <v>Hooghly</v>
      </c>
      <c r="C478" s="3" t="str">
        <v>Reinforced Concrete</v>
      </c>
      <c r="D478" s="3">
        <v>3</v>
      </c>
      <c r="E478" s="4">
        <v>62236768</v>
      </c>
      <c r="F478" s="3">
        <f t="shared" si="30"/>
        <v>0</v>
      </c>
      <c r="G478" s="30">
        <f>IF(F478=0, 0, INDEX(tbl_Vulnerability[[0 ft]:[10 ft]], MATCH(Simulation!C478, tbl_Vulnerability[Construction_Class], 0), MATCH(Simulation!F478,{0,1,2,3,5,8,10}, 1)))</f>
        <v>0</v>
      </c>
      <c r="H478" s="4">
        <f t="shared" si="31"/>
        <v>0</v>
      </c>
      <c r="I478" s="33">
        <f t="shared" si="32"/>
        <v>3111838.4000000004</v>
      </c>
      <c r="J478" s="33">
        <f t="shared" si="33"/>
        <v>0</v>
      </c>
    </row>
    <row r="479" spans="1:10">
      <c r="A479" s="3">
        <v>10000470</v>
      </c>
      <c r="B479" s="3" t="str">
        <v>Paschim Medinipur</v>
      </c>
      <c r="C479" s="3" t="str">
        <v>Unreinforced Masonry</v>
      </c>
      <c r="D479" s="3">
        <v>2</v>
      </c>
      <c r="E479" s="4">
        <v>15299345</v>
      </c>
      <c r="F479" s="3">
        <f t="shared" si="30"/>
        <v>0</v>
      </c>
      <c r="G479" s="30">
        <f>IF(F479=0, 0, INDEX(tbl_Vulnerability[[0 ft]:[10 ft]], MATCH(Simulation!C479, tbl_Vulnerability[Construction_Class], 0), MATCH(Simulation!F479,{0,1,2,3,5,8,10}, 1)))</f>
        <v>0</v>
      </c>
      <c r="H479" s="4">
        <f t="shared" si="31"/>
        <v>0</v>
      </c>
      <c r="I479" s="33">
        <f t="shared" si="32"/>
        <v>764967.25</v>
      </c>
      <c r="J479" s="33">
        <f t="shared" si="33"/>
        <v>0</v>
      </c>
    </row>
    <row r="480" spans="1:10">
      <c r="A480" s="3">
        <v>10000471</v>
      </c>
      <c r="B480" s="3" t="str">
        <v>Malda</v>
      </c>
      <c r="C480" s="3" t="str">
        <v>Reinforced Concrete</v>
      </c>
      <c r="D480" s="3">
        <v>3</v>
      </c>
      <c r="E480" s="4">
        <v>41962277</v>
      </c>
      <c r="F480" s="3">
        <f t="shared" si="30"/>
        <v>7</v>
      </c>
      <c r="G480" s="30">
        <f>IF(F480=0, 0, INDEX(tbl_Vulnerability[[0 ft]:[10 ft]], MATCH(Simulation!C480, tbl_Vulnerability[Construction_Class], 0), MATCH(Simulation!F480,{0,1,2,3,5,8,10}, 1)))</f>
        <v>0.2</v>
      </c>
      <c r="H480" s="4">
        <f t="shared" si="31"/>
        <v>8392455.4000000004</v>
      </c>
      <c r="I480" s="33">
        <f t="shared" si="32"/>
        <v>2098113.85</v>
      </c>
      <c r="J480" s="33">
        <f t="shared" si="33"/>
        <v>6294341.5500000007</v>
      </c>
    </row>
    <row r="481" spans="1:10">
      <c r="A481" s="3">
        <v>10000472</v>
      </c>
      <c r="B481" s="3" t="str">
        <v>South 24 Parganas</v>
      </c>
      <c r="C481" s="3" t="str">
        <v>Reinforced Concrete</v>
      </c>
      <c r="D481" s="3">
        <v>3</v>
      </c>
      <c r="E481" s="4">
        <v>3694166</v>
      </c>
      <c r="F481" s="3">
        <f t="shared" si="30"/>
        <v>0</v>
      </c>
      <c r="G481" s="30">
        <f>IF(F481=0, 0, INDEX(tbl_Vulnerability[[0 ft]:[10 ft]], MATCH(Simulation!C481, tbl_Vulnerability[Construction_Class], 0), MATCH(Simulation!F481,{0,1,2,3,5,8,10}, 1)))</f>
        <v>0</v>
      </c>
      <c r="H481" s="4">
        <f t="shared" si="31"/>
        <v>0</v>
      </c>
      <c r="I481" s="33">
        <f t="shared" si="32"/>
        <v>184708.30000000002</v>
      </c>
      <c r="J481" s="33">
        <f t="shared" si="33"/>
        <v>0</v>
      </c>
    </row>
    <row r="482" spans="1:10">
      <c r="A482" s="3">
        <v>10000473</v>
      </c>
      <c r="B482" s="3" t="str">
        <v>Hooghly</v>
      </c>
      <c r="C482" s="3" t="str">
        <v>Unreinforced Masonry</v>
      </c>
      <c r="D482" s="3">
        <v>0</v>
      </c>
      <c r="E482" s="4">
        <v>20444985</v>
      </c>
      <c r="F482" s="3">
        <f t="shared" si="30"/>
        <v>0</v>
      </c>
      <c r="G482" s="30">
        <f>IF(F482=0, 0, INDEX(tbl_Vulnerability[[0 ft]:[10 ft]], MATCH(Simulation!C482, tbl_Vulnerability[Construction_Class], 0), MATCH(Simulation!F482,{0,1,2,3,5,8,10}, 1)))</f>
        <v>0</v>
      </c>
      <c r="H482" s="4">
        <f t="shared" si="31"/>
        <v>0</v>
      </c>
      <c r="I482" s="33">
        <f t="shared" si="32"/>
        <v>1022249.25</v>
      </c>
      <c r="J482" s="33">
        <f t="shared" si="33"/>
        <v>0</v>
      </c>
    </row>
    <row r="483" spans="1:10">
      <c r="A483" s="3">
        <v>10000474</v>
      </c>
      <c r="B483" s="3" t="str">
        <v>Hooghly</v>
      </c>
      <c r="C483" s="3" t="str">
        <v>Reinforced Concrete</v>
      </c>
      <c r="D483" s="3">
        <v>5</v>
      </c>
      <c r="E483" s="4">
        <v>36261760</v>
      </c>
      <c r="F483" s="3">
        <f t="shared" si="30"/>
        <v>0</v>
      </c>
      <c r="G483" s="30">
        <f>IF(F483=0, 0, INDEX(tbl_Vulnerability[[0 ft]:[10 ft]], MATCH(Simulation!C483, tbl_Vulnerability[Construction_Class], 0), MATCH(Simulation!F483,{0,1,2,3,5,8,10}, 1)))</f>
        <v>0</v>
      </c>
      <c r="H483" s="4">
        <f t="shared" si="31"/>
        <v>0</v>
      </c>
      <c r="I483" s="33">
        <f t="shared" si="32"/>
        <v>1813088</v>
      </c>
      <c r="J483" s="33">
        <f t="shared" si="33"/>
        <v>0</v>
      </c>
    </row>
    <row r="484" spans="1:10">
      <c r="A484" s="3">
        <v>10000475</v>
      </c>
      <c r="B484" s="3" t="str">
        <v>Paschim Medinipur</v>
      </c>
      <c r="C484" s="3" t="str">
        <v>Unreinforced Masonry</v>
      </c>
      <c r="D484" s="3">
        <v>0</v>
      </c>
      <c r="E484" s="4">
        <v>4213906</v>
      </c>
      <c r="F484" s="3">
        <f t="shared" si="30"/>
        <v>0</v>
      </c>
      <c r="G484" s="30">
        <f>IF(F484=0, 0, INDEX(tbl_Vulnerability[[0 ft]:[10 ft]], MATCH(Simulation!C484, tbl_Vulnerability[Construction_Class], 0), MATCH(Simulation!F484,{0,1,2,3,5,8,10}, 1)))</f>
        <v>0</v>
      </c>
      <c r="H484" s="4">
        <f t="shared" si="31"/>
        <v>0</v>
      </c>
      <c r="I484" s="33">
        <f t="shared" si="32"/>
        <v>210695.30000000002</v>
      </c>
      <c r="J484" s="33">
        <f t="shared" si="33"/>
        <v>0</v>
      </c>
    </row>
    <row r="485" spans="1:10">
      <c r="A485" s="3">
        <v>10000476</v>
      </c>
      <c r="B485" s="3" t="str">
        <v>Jalpaiguri</v>
      </c>
      <c r="C485" s="3" t="str">
        <v>Reinforced Concrete</v>
      </c>
      <c r="D485" s="3">
        <v>3</v>
      </c>
      <c r="E485" s="4">
        <v>69387029</v>
      </c>
      <c r="F485" s="3">
        <f t="shared" si="30"/>
        <v>0</v>
      </c>
      <c r="G485" s="30">
        <f>IF(F485=0, 0, INDEX(tbl_Vulnerability[[0 ft]:[10 ft]], MATCH(Simulation!C485, tbl_Vulnerability[Construction_Class], 0), MATCH(Simulation!F485,{0,1,2,3,5,8,10}, 1)))</f>
        <v>0</v>
      </c>
      <c r="H485" s="4">
        <f t="shared" si="31"/>
        <v>0</v>
      </c>
      <c r="I485" s="33">
        <f t="shared" si="32"/>
        <v>3469351.45</v>
      </c>
      <c r="J485" s="33">
        <f t="shared" si="33"/>
        <v>0</v>
      </c>
    </row>
    <row r="486" spans="1:10">
      <c r="A486" s="3">
        <v>10000477</v>
      </c>
      <c r="B486" s="3" t="str">
        <v>Paschim Medinipur</v>
      </c>
      <c r="C486" s="3" t="str">
        <v>Unreinforced Masonry</v>
      </c>
      <c r="D486" s="3">
        <v>2</v>
      </c>
      <c r="E486" s="4">
        <v>5293105</v>
      </c>
      <c r="F486" s="3">
        <f t="shared" si="30"/>
        <v>0</v>
      </c>
      <c r="G486" s="30">
        <f>IF(F486=0, 0, INDEX(tbl_Vulnerability[[0 ft]:[10 ft]], MATCH(Simulation!C486, tbl_Vulnerability[Construction_Class], 0), MATCH(Simulation!F486,{0,1,2,3,5,8,10}, 1)))</f>
        <v>0</v>
      </c>
      <c r="H486" s="4">
        <f t="shared" si="31"/>
        <v>0</v>
      </c>
      <c r="I486" s="33">
        <f t="shared" si="32"/>
        <v>264655.25</v>
      </c>
      <c r="J486" s="33">
        <f t="shared" si="33"/>
        <v>0</v>
      </c>
    </row>
    <row r="487" spans="1:10">
      <c r="A487" s="3">
        <v>10000478</v>
      </c>
      <c r="B487" s="3" t="str">
        <v>Kolkata</v>
      </c>
      <c r="C487" s="3" t="str">
        <v>Adobe / Light Timber</v>
      </c>
      <c r="D487" s="3">
        <v>1</v>
      </c>
      <c r="E487" s="4">
        <v>601972</v>
      </c>
      <c r="F487" s="3">
        <f t="shared" si="30"/>
        <v>0</v>
      </c>
      <c r="G487" s="30">
        <f>IF(F487=0, 0, INDEX(tbl_Vulnerability[[0 ft]:[10 ft]], MATCH(Simulation!C487, tbl_Vulnerability[Construction_Class], 0), MATCH(Simulation!F487,{0,1,2,3,5,8,10}, 1)))</f>
        <v>0</v>
      </c>
      <c r="H487" s="4">
        <f t="shared" si="31"/>
        <v>0</v>
      </c>
      <c r="I487" s="33">
        <f t="shared" si="32"/>
        <v>30098.600000000002</v>
      </c>
      <c r="J487" s="33">
        <f t="shared" si="33"/>
        <v>0</v>
      </c>
    </row>
    <row r="488" spans="1:10">
      <c r="A488" s="3">
        <v>10000479</v>
      </c>
      <c r="B488" s="3" t="str">
        <v>Paschim Medinipur</v>
      </c>
      <c r="C488" s="3" t="str">
        <v>Reinforced Concrete</v>
      </c>
      <c r="D488" s="3">
        <v>3</v>
      </c>
      <c r="E488" s="4">
        <v>59799697</v>
      </c>
      <c r="F488" s="3">
        <f t="shared" si="30"/>
        <v>0</v>
      </c>
      <c r="G488" s="30">
        <f>IF(F488=0, 0, INDEX(tbl_Vulnerability[[0 ft]:[10 ft]], MATCH(Simulation!C488, tbl_Vulnerability[Construction_Class], 0), MATCH(Simulation!F488,{0,1,2,3,5,8,10}, 1)))</f>
        <v>0</v>
      </c>
      <c r="H488" s="4">
        <f t="shared" si="31"/>
        <v>0</v>
      </c>
      <c r="I488" s="33">
        <f t="shared" si="32"/>
        <v>2989984.85</v>
      </c>
      <c r="J488" s="33">
        <f t="shared" si="33"/>
        <v>0</v>
      </c>
    </row>
    <row r="489" spans="1:10">
      <c r="A489" s="3">
        <v>10000480</v>
      </c>
      <c r="B489" s="3" t="str">
        <v>Malda</v>
      </c>
      <c r="C489" s="3" t="str">
        <v>Reinforced Concrete</v>
      </c>
      <c r="D489" s="3">
        <v>5</v>
      </c>
      <c r="E489" s="4">
        <v>45110635</v>
      </c>
      <c r="F489" s="3">
        <f t="shared" si="30"/>
        <v>5</v>
      </c>
      <c r="G489" s="30">
        <f>IF(F489=0, 0, INDEX(tbl_Vulnerability[[0 ft]:[10 ft]], MATCH(Simulation!C489, tbl_Vulnerability[Construction_Class], 0), MATCH(Simulation!F489,{0,1,2,3,5,8,10}, 1)))</f>
        <v>0.2</v>
      </c>
      <c r="H489" s="4">
        <f t="shared" si="31"/>
        <v>9022127</v>
      </c>
      <c r="I489" s="33">
        <f t="shared" si="32"/>
        <v>2255531.75</v>
      </c>
      <c r="J489" s="33">
        <f t="shared" si="33"/>
        <v>6766595.25</v>
      </c>
    </row>
    <row r="490" spans="1:10">
      <c r="A490" s="3">
        <v>10000481</v>
      </c>
      <c r="B490" s="3" t="str">
        <v>Malda</v>
      </c>
      <c r="C490" s="3" t="str">
        <v>Reinforced Concrete</v>
      </c>
      <c r="D490" s="3">
        <v>5</v>
      </c>
      <c r="E490" s="4">
        <v>10513060</v>
      </c>
      <c r="F490" s="3">
        <f t="shared" si="30"/>
        <v>5</v>
      </c>
      <c r="G490" s="30">
        <f>IF(F490=0, 0, INDEX(tbl_Vulnerability[[0 ft]:[10 ft]], MATCH(Simulation!C490, tbl_Vulnerability[Construction_Class], 0), MATCH(Simulation!F490,{0,1,2,3,5,8,10}, 1)))</f>
        <v>0.2</v>
      </c>
      <c r="H490" s="4">
        <f t="shared" si="31"/>
        <v>2102612</v>
      </c>
      <c r="I490" s="33">
        <f t="shared" si="32"/>
        <v>525653</v>
      </c>
      <c r="J490" s="33">
        <f t="shared" si="33"/>
        <v>1576959</v>
      </c>
    </row>
    <row r="491" spans="1:10">
      <c r="A491" s="3">
        <v>10000482</v>
      </c>
      <c r="B491" s="3" t="str">
        <v>Hooghly</v>
      </c>
      <c r="C491" s="3" t="str">
        <v>Unreinforced Masonry</v>
      </c>
      <c r="D491" s="3">
        <v>0</v>
      </c>
      <c r="E491" s="4">
        <v>15148003</v>
      </c>
      <c r="F491" s="3">
        <f t="shared" si="30"/>
        <v>0</v>
      </c>
      <c r="G491" s="30">
        <f>IF(F491=0, 0, INDEX(tbl_Vulnerability[[0 ft]:[10 ft]], MATCH(Simulation!C491, tbl_Vulnerability[Construction_Class], 0), MATCH(Simulation!F491,{0,1,2,3,5,8,10}, 1)))</f>
        <v>0</v>
      </c>
      <c r="H491" s="4">
        <f t="shared" si="31"/>
        <v>0</v>
      </c>
      <c r="I491" s="33">
        <f t="shared" si="32"/>
        <v>757400.15</v>
      </c>
      <c r="J491" s="33">
        <f t="shared" si="33"/>
        <v>0</v>
      </c>
    </row>
    <row r="492" spans="1:10">
      <c r="A492" s="3">
        <v>10000483</v>
      </c>
      <c r="B492" s="3" t="str">
        <v>Kolkata</v>
      </c>
      <c r="C492" s="3" t="str">
        <v>Adobe / Light Timber</v>
      </c>
      <c r="D492" s="3">
        <v>0</v>
      </c>
      <c r="E492" s="4">
        <v>607573</v>
      </c>
      <c r="F492" s="3">
        <f t="shared" si="30"/>
        <v>0</v>
      </c>
      <c r="G492" s="30">
        <f>IF(F492=0, 0, INDEX(tbl_Vulnerability[[0 ft]:[10 ft]], MATCH(Simulation!C492, tbl_Vulnerability[Construction_Class], 0), MATCH(Simulation!F492,{0,1,2,3,5,8,10}, 1)))</f>
        <v>0</v>
      </c>
      <c r="H492" s="4">
        <f t="shared" si="31"/>
        <v>0</v>
      </c>
      <c r="I492" s="33">
        <f t="shared" si="32"/>
        <v>30378.65</v>
      </c>
      <c r="J492" s="33">
        <f t="shared" si="33"/>
        <v>0</v>
      </c>
    </row>
    <row r="493" spans="1:10">
      <c r="A493" s="3">
        <v>10000484</v>
      </c>
      <c r="B493" s="3" t="str">
        <v>Malda</v>
      </c>
      <c r="C493" s="3" t="str">
        <v>Reinforced Concrete</v>
      </c>
      <c r="D493" s="3">
        <v>5</v>
      </c>
      <c r="E493" s="4">
        <v>11128301</v>
      </c>
      <c r="F493" s="3">
        <f t="shared" si="30"/>
        <v>5</v>
      </c>
      <c r="G493" s="30">
        <f>IF(F493=0, 0, INDEX(tbl_Vulnerability[[0 ft]:[10 ft]], MATCH(Simulation!C493, tbl_Vulnerability[Construction_Class], 0), MATCH(Simulation!F493,{0,1,2,3,5,8,10}, 1)))</f>
        <v>0.2</v>
      </c>
      <c r="H493" s="4">
        <f t="shared" si="31"/>
        <v>2225660.2000000002</v>
      </c>
      <c r="I493" s="33">
        <f t="shared" si="32"/>
        <v>556415.05000000005</v>
      </c>
      <c r="J493" s="33">
        <f t="shared" si="33"/>
        <v>1669245.1500000001</v>
      </c>
    </row>
    <row r="494" spans="1:10">
      <c r="A494" s="3">
        <v>10000485</v>
      </c>
      <c r="B494" s="3" t="str">
        <v>Kolkata</v>
      </c>
      <c r="C494" s="3" t="str">
        <v>Reinforced Concrete</v>
      </c>
      <c r="D494" s="3">
        <v>4</v>
      </c>
      <c r="E494" s="4">
        <v>54630213</v>
      </c>
      <c r="F494" s="3">
        <f t="shared" si="30"/>
        <v>0</v>
      </c>
      <c r="G494" s="30">
        <f>IF(F494=0, 0, INDEX(tbl_Vulnerability[[0 ft]:[10 ft]], MATCH(Simulation!C494, tbl_Vulnerability[Construction_Class], 0), MATCH(Simulation!F494,{0,1,2,3,5,8,10}, 1)))</f>
        <v>0</v>
      </c>
      <c r="H494" s="4">
        <f t="shared" si="31"/>
        <v>0</v>
      </c>
      <c r="I494" s="33">
        <f t="shared" si="32"/>
        <v>2731510.6500000004</v>
      </c>
      <c r="J494" s="33">
        <f t="shared" si="33"/>
        <v>0</v>
      </c>
    </row>
    <row r="495" spans="1:10">
      <c r="A495" s="3">
        <v>10000486</v>
      </c>
      <c r="B495" s="3" t="str">
        <v>Kolkata</v>
      </c>
      <c r="C495" s="3" t="str">
        <v>Reinforced Concrete</v>
      </c>
      <c r="D495" s="3">
        <v>4</v>
      </c>
      <c r="E495" s="4">
        <v>26835350</v>
      </c>
      <c r="F495" s="3">
        <f t="shared" si="30"/>
        <v>0</v>
      </c>
      <c r="G495" s="30">
        <f>IF(F495=0, 0, INDEX(tbl_Vulnerability[[0 ft]:[10 ft]], MATCH(Simulation!C495, tbl_Vulnerability[Construction_Class], 0), MATCH(Simulation!F495,{0,1,2,3,5,8,10}, 1)))</f>
        <v>0</v>
      </c>
      <c r="H495" s="4">
        <f t="shared" si="31"/>
        <v>0</v>
      </c>
      <c r="I495" s="33">
        <f t="shared" si="32"/>
        <v>1341767.5</v>
      </c>
      <c r="J495" s="33">
        <f t="shared" si="33"/>
        <v>0</v>
      </c>
    </row>
    <row r="496" spans="1:10">
      <c r="A496" s="3">
        <v>10000487</v>
      </c>
      <c r="B496" s="3" t="str">
        <v>Paschim Medinipur</v>
      </c>
      <c r="C496" s="3" t="str">
        <v>Reinforced Concrete</v>
      </c>
      <c r="D496" s="3">
        <v>3</v>
      </c>
      <c r="E496" s="4">
        <v>57208252</v>
      </c>
      <c r="F496" s="3">
        <f t="shared" si="30"/>
        <v>0</v>
      </c>
      <c r="G496" s="30">
        <f>IF(F496=0, 0, INDEX(tbl_Vulnerability[[0 ft]:[10 ft]], MATCH(Simulation!C496, tbl_Vulnerability[Construction_Class], 0), MATCH(Simulation!F496,{0,1,2,3,5,8,10}, 1)))</f>
        <v>0</v>
      </c>
      <c r="H496" s="4">
        <f t="shared" si="31"/>
        <v>0</v>
      </c>
      <c r="I496" s="33">
        <f t="shared" si="32"/>
        <v>2860412.6</v>
      </c>
      <c r="J496" s="33">
        <f t="shared" si="33"/>
        <v>0</v>
      </c>
    </row>
    <row r="497" spans="1:10">
      <c r="A497" s="3">
        <v>10000488</v>
      </c>
      <c r="B497" s="3" t="str">
        <v>Malda</v>
      </c>
      <c r="C497" s="3" t="str">
        <v>Reinforced Concrete</v>
      </c>
      <c r="D497" s="3">
        <v>3</v>
      </c>
      <c r="E497" s="4">
        <v>57781868</v>
      </c>
      <c r="F497" s="3">
        <f t="shared" si="30"/>
        <v>7</v>
      </c>
      <c r="G497" s="30">
        <f>IF(F497=0, 0, INDEX(tbl_Vulnerability[[0 ft]:[10 ft]], MATCH(Simulation!C497, tbl_Vulnerability[Construction_Class], 0), MATCH(Simulation!F497,{0,1,2,3,5,8,10}, 1)))</f>
        <v>0.2</v>
      </c>
      <c r="H497" s="4">
        <f t="shared" si="31"/>
        <v>11556373.600000001</v>
      </c>
      <c r="I497" s="33">
        <f t="shared" si="32"/>
        <v>2889093.4000000004</v>
      </c>
      <c r="J497" s="33">
        <f t="shared" si="33"/>
        <v>8667280.2000000011</v>
      </c>
    </row>
    <row r="498" spans="1:10">
      <c r="A498" s="3">
        <v>10000489</v>
      </c>
      <c r="B498" s="3" t="str">
        <v>Paschim Medinipur</v>
      </c>
      <c r="C498" s="3" t="str">
        <v>Adobe / Light Timber</v>
      </c>
      <c r="D498" s="3">
        <v>1</v>
      </c>
      <c r="E498" s="4">
        <v>573387</v>
      </c>
      <c r="F498" s="3">
        <f t="shared" si="30"/>
        <v>0</v>
      </c>
      <c r="G498" s="30">
        <f>IF(F498=0, 0, INDEX(tbl_Vulnerability[[0 ft]:[10 ft]], MATCH(Simulation!C498, tbl_Vulnerability[Construction_Class], 0), MATCH(Simulation!F498,{0,1,2,3,5,8,10}, 1)))</f>
        <v>0</v>
      </c>
      <c r="H498" s="4">
        <f t="shared" si="31"/>
        <v>0</v>
      </c>
      <c r="I498" s="33">
        <f t="shared" si="32"/>
        <v>28669.350000000002</v>
      </c>
      <c r="J498" s="33">
        <f t="shared" si="33"/>
        <v>0</v>
      </c>
    </row>
    <row r="499" spans="1:10">
      <c r="A499" s="3">
        <v>10000490</v>
      </c>
      <c r="B499" s="3" t="str">
        <v>Paschim Medinipur</v>
      </c>
      <c r="C499" s="3" t="str">
        <v>Reinforced Concrete</v>
      </c>
      <c r="D499" s="3">
        <v>5</v>
      </c>
      <c r="E499" s="4">
        <v>10450352</v>
      </c>
      <c r="F499" s="3">
        <f t="shared" si="30"/>
        <v>0</v>
      </c>
      <c r="G499" s="30">
        <f>IF(F499=0, 0, INDEX(tbl_Vulnerability[[0 ft]:[10 ft]], MATCH(Simulation!C499, tbl_Vulnerability[Construction_Class], 0), MATCH(Simulation!F499,{0,1,2,3,5,8,10}, 1)))</f>
        <v>0</v>
      </c>
      <c r="H499" s="4">
        <f t="shared" si="31"/>
        <v>0</v>
      </c>
      <c r="I499" s="33">
        <f t="shared" si="32"/>
        <v>522517.60000000003</v>
      </c>
      <c r="J499" s="33">
        <f t="shared" si="33"/>
        <v>0</v>
      </c>
    </row>
    <row r="500" spans="1:10">
      <c r="A500" s="3">
        <v>10000491</v>
      </c>
      <c r="B500" s="3" t="str">
        <v>Paschim Medinipur</v>
      </c>
      <c r="C500" s="3" t="str">
        <v>Reinforced Concrete</v>
      </c>
      <c r="D500" s="3">
        <v>3</v>
      </c>
      <c r="E500" s="4">
        <v>58643448</v>
      </c>
      <c r="F500" s="3">
        <f t="shared" si="30"/>
        <v>0</v>
      </c>
      <c r="G500" s="30">
        <f>IF(F500=0, 0, INDEX(tbl_Vulnerability[[0 ft]:[10 ft]], MATCH(Simulation!C500, tbl_Vulnerability[Construction_Class], 0), MATCH(Simulation!F500,{0,1,2,3,5,8,10}, 1)))</f>
        <v>0</v>
      </c>
      <c r="H500" s="4">
        <f t="shared" si="31"/>
        <v>0</v>
      </c>
      <c r="I500" s="33">
        <f t="shared" si="32"/>
        <v>2932172.4000000004</v>
      </c>
      <c r="J500" s="33">
        <f t="shared" si="33"/>
        <v>0</v>
      </c>
    </row>
    <row r="501" spans="1:10">
      <c r="A501" s="3">
        <v>10000492</v>
      </c>
      <c r="B501" s="3" t="str">
        <v>Paschim Medinipur</v>
      </c>
      <c r="C501" s="3" t="str">
        <v>Reinforced Concrete</v>
      </c>
      <c r="D501" s="3">
        <v>3</v>
      </c>
      <c r="E501" s="4">
        <v>1583685</v>
      </c>
      <c r="F501" s="3">
        <f t="shared" si="30"/>
        <v>0</v>
      </c>
      <c r="G501" s="30">
        <f>IF(F501=0, 0, INDEX(tbl_Vulnerability[[0 ft]:[10 ft]], MATCH(Simulation!C501, tbl_Vulnerability[Construction_Class], 0), MATCH(Simulation!F501,{0,1,2,3,5,8,10}, 1)))</f>
        <v>0</v>
      </c>
      <c r="H501" s="4">
        <f t="shared" si="31"/>
        <v>0</v>
      </c>
      <c r="I501" s="33">
        <f t="shared" si="32"/>
        <v>79184.25</v>
      </c>
      <c r="J501" s="33">
        <f t="shared" si="33"/>
        <v>0</v>
      </c>
    </row>
    <row r="502" spans="1:10">
      <c r="A502" s="3">
        <v>10000493</v>
      </c>
      <c r="B502" s="3" t="str">
        <v>Kolkata</v>
      </c>
      <c r="C502" s="3" t="str">
        <v>Reinforced Concrete</v>
      </c>
      <c r="D502" s="3">
        <v>3</v>
      </c>
      <c r="E502" s="4">
        <v>13496101</v>
      </c>
      <c r="F502" s="3">
        <f t="shared" si="30"/>
        <v>0</v>
      </c>
      <c r="G502" s="30">
        <f>IF(F502=0, 0, INDEX(tbl_Vulnerability[[0 ft]:[10 ft]], MATCH(Simulation!C502, tbl_Vulnerability[Construction_Class], 0), MATCH(Simulation!F502,{0,1,2,3,5,8,10}, 1)))</f>
        <v>0</v>
      </c>
      <c r="H502" s="4">
        <f t="shared" si="31"/>
        <v>0</v>
      </c>
      <c r="I502" s="33">
        <f t="shared" si="32"/>
        <v>674805.05</v>
      </c>
      <c r="J502" s="33">
        <f t="shared" si="33"/>
        <v>0</v>
      </c>
    </row>
    <row r="503" spans="1:10">
      <c r="A503" s="3">
        <v>10000494</v>
      </c>
      <c r="B503" s="3" t="str">
        <v>South 24 Parganas</v>
      </c>
      <c r="C503" s="3" t="str">
        <v>Adobe / Light Timber</v>
      </c>
      <c r="D503" s="3">
        <v>0</v>
      </c>
      <c r="E503" s="4">
        <v>391800</v>
      </c>
      <c r="F503" s="3">
        <f t="shared" si="30"/>
        <v>0</v>
      </c>
      <c r="G503" s="30">
        <f>IF(F503=0, 0, INDEX(tbl_Vulnerability[[0 ft]:[10 ft]], MATCH(Simulation!C503, tbl_Vulnerability[Construction_Class], 0), MATCH(Simulation!F503,{0,1,2,3,5,8,10}, 1)))</f>
        <v>0</v>
      </c>
      <c r="H503" s="4">
        <f t="shared" si="31"/>
        <v>0</v>
      </c>
      <c r="I503" s="33">
        <f t="shared" si="32"/>
        <v>19590</v>
      </c>
      <c r="J503" s="33">
        <f t="shared" si="33"/>
        <v>0</v>
      </c>
    </row>
    <row r="504" spans="1:10">
      <c r="A504" s="3">
        <v>10000495</v>
      </c>
      <c r="B504" s="3" t="str">
        <v>Hooghly</v>
      </c>
      <c r="C504" s="3" t="str">
        <v>Reinforced Concrete</v>
      </c>
      <c r="D504" s="3">
        <v>4</v>
      </c>
      <c r="E504" s="4">
        <v>47489783</v>
      </c>
      <c r="F504" s="3">
        <f t="shared" si="30"/>
        <v>0</v>
      </c>
      <c r="G504" s="30">
        <f>IF(F504=0, 0, INDEX(tbl_Vulnerability[[0 ft]:[10 ft]], MATCH(Simulation!C504, tbl_Vulnerability[Construction_Class], 0), MATCH(Simulation!F504,{0,1,2,3,5,8,10}, 1)))</f>
        <v>0</v>
      </c>
      <c r="H504" s="4">
        <f t="shared" si="31"/>
        <v>0</v>
      </c>
      <c r="I504" s="33">
        <f t="shared" si="32"/>
        <v>2374489.15</v>
      </c>
      <c r="J504" s="33">
        <f t="shared" si="33"/>
        <v>0</v>
      </c>
    </row>
    <row r="505" spans="1:10">
      <c r="A505" s="3">
        <v>10000496</v>
      </c>
      <c r="B505" s="3" t="str">
        <v>South 24 Parganas</v>
      </c>
      <c r="C505" s="3" t="str">
        <v>Reinforced Concrete</v>
      </c>
      <c r="D505" s="3">
        <v>4</v>
      </c>
      <c r="E505" s="4">
        <v>42713355</v>
      </c>
      <c r="F505" s="3">
        <f t="shared" si="30"/>
        <v>0</v>
      </c>
      <c r="G505" s="30">
        <f>IF(F505=0, 0, INDEX(tbl_Vulnerability[[0 ft]:[10 ft]], MATCH(Simulation!C505, tbl_Vulnerability[Construction_Class], 0), MATCH(Simulation!F505,{0,1,2,3,5,8,10}, 1)))</f>
        <v>0</v>
      </c>
      <c r="H505" s="4">
        <f t="shared" si="31"/>
        <v>0</v>
      </c>
      <c r="I505" s="33">
        <f t="shared" si="32"/>
        <v>2135667.75</v>
      </c>
      <c r="J505" s="33">
        <f t="shared" si="33"/>
        <v>0</v>
      </c>
    </row>
    <row r="506" spans="1:10">
      <c r="A506" s="3">
        <v>10000497</v>
      </c>
      <c r="B506" s="3" t="str">
        <v>Paschim Medinipur</v>
      </c>
      <c r="C506" s="3" t="str">
        <v>Unreinforced Masonry</v>
      </c>
      <c r="D506" s="3">
        <v>0</v>
      </c>
      <c r="E506" s="4">
        <v>11042210</v>
      </c>
      <c r="F506" s="3">
        <f t="shared" si="30"/>
        <v>0</v>
      </c>
      <c r="G506" s="30">
        <f>IF(F506=0, 0, INDEX(tbl_Vulnerability[[0 ft]:[10 ft]], MATCH(Simulation!C506, tbl_Vulnerability[Construction_Class], 0), MATCH(Simulation!F506,{0,1,2,3,5,8,10}, 1)))</f>
        <v>0</v>
      </c>
      <c r="H506" s="4">
        <f t="shared" si="31"/>
        <v>0</v>
      </c>
      <c r="I506" s="33">
        <f t="shared" si="32"/>
        <v>552110.5</v>
      </c>
      <c r="J506" s="33">
        <f t="shared" si="33"/>
        <v>0</v>
      </c>
    </row>
    <row r="507" spans="1:10">
      <c r="A507" s="3">
        <v>10000498</v>
      </c>
      <c r="B507" s="3" t="str">
        <v>Hooghly</v>
      </c>
      <c r="C507" s="3" t="str">
        <v>Reinforced Concrete</v>
      </c>
      <c r="D507" s="3">
        <v>5</v>
      </c>
      <c r="E507" s="4">
        <v>11382335</v>
      </c>
      <c r="F507" s="3">
        <f t="shared" si="30"/>
        <v>0</v>
      </c>
      <c r="G507" s="30">
        <f>IF(F507=0, 0, INDEX(tbl_Vulnerability[[0 ft]:[10 ft]], MATCH(Simulation!C507, tbl_Vulnerability[Construction_Class], 0), MATCH(Simulation!F507,{0,1,2,3,5,8,10}, 1)))</f>
        <v>0</v>
      </c>
      <c r="H507" s="4">
        <f t="shared" si="31"/>
        <v>0</v>
      </c>
      <c r="I507" s="33">
        <f t="shared" si="32"/>
        <v>569116.75</v>
      </c>
      <c r="J507" s="33">
        <f t="shared" si="33"/>
        <v>0</v>
      </c>
    </row>
    <row r="508" spans="1:10">
      <c r="A508" s="3">
        <v>10000499</v>
      </c>
      <c r="B508" s="3" t="str">
        <v>Kolkata</v>
      </c>
      <c r="C508" s="3" t="str">
        <v>Reinforced Concrete</v>
      </c>
      <c r="D508" s="3">
        <v>4</v>
      </c>
      <c r="E508" s="4">
        <v>42582486</v>
      </c>
      <c r="F508" s="3">
        <f t="shared" si="30"/>
        <v>0</v>
      </c>
      <c r="G508" s="30">
        <f>IF(F508=0, 0, INDEX(tbl_Vulnerability[[0 ft]:[10 ft]], MATCH(Simulation!C508, tbl_Vulnerability[Construction_Class], 0), MATCH(Simulation!F508,{0,1,2,3,5,8,10}, 1)))</f>
        <v>0</v>
      </c>
      <c r="H508" s="4">
        <f t="shared" si="31"/>
        <v>0</v>
      </c>
      <c r="I508" s="33">
        <f t="shared" si="32"/>
        <v>2129124.3000000003</v>
      </c>
      <c r="J508" s="33">
        <f t="shared" si="33"/>
        <v>0</v>
      </c>
    </row>
    <row r="509" spans="1:10">
      <c r="A509" s="3">
        <v>10000500</v>
      </c>
      <c r="B509" s="3" t="str">
        <v>Malda</v>
      </c>
      <c r="C509" s="3" t="str">
        <v>Reinforced Concrete</v>
      </c>
      <c r="D509" s="3">
        <v>5</v>
      </c>
      <c r="E509" s="4">
        <v>19310428</v>
      </c>
      <c r="F509" s="3">
        <f t="shared" si="30"/>
        <v>5</v>
      </c>
      <c r="G509" s="30">
        <f>IF(F509=0, 0, INDEX(tbl_Vulnerability[[0 ft]:[10 ft]], MATCH(Simulation!C509, tbl_Vulnerability[Construction_Class], 0), MATCH(Simulation!F509,{0,1,2,3,5,8,10}, 1)))</f>
        <v>0.2</v>
      </c>
      <c r="H509" s="4">
        <f t="shared" si="31"/>
        <v>3862085.6</v>
      </c>
      <c r="I509" s="33">
        <f t="shared" si="32"/>
        <v>965521.4</v>
      </c>
      <c r="J509" s="33">
        <f t="shared" si="33"/>
        <v>2896564.2</v>
      </c>
    </row>
    <row r="510" spans="1:10">
      <c r="A510" s="3">
        <v>10000501</v>
      </c>
      <c r="B510" s="3" t="str">
        <v>Malda</v>
      </c>
      <c r="C510" s="3" t="str">
        <v>Reinforced Concrete</v>
      </c>
      <c r="D510" s="3">
        <v>4</v>
      </c>
      <c r="E510" s="4">
        <v>16334385</v>
      </c>
      <c r="F510" s="3">
        <f t="shared" si="30"/>
        <v>6</v>
      </c>
      <c r="G510" s="30">
        <f>IF(F510=0, 0, INDEX(tbl_Vulnerability[[0 ft]:[10 ft]], MATCH(Simulation!C510, tbl_Vulnerability[Construction_Class], 0), MATCH(Simulation!F510,{0,1,2,3,5,8,10}, 1)))</f>
        <v>0.2</v>
      </c>
      <c r="H510" s="4">
        <f t="shared" si="31"/>
        <v>3266877</v>
      </c>
      <c r="I510" s="33">
        <f t="shared" si="32"/>
        <v>816719.25</v>
      </c>
      <c r="J510" s="33">
        <f t="shared" si="33"/>
        <v>2450157.75</v>
      </c>
    </row>
    <row r="511" spans="1:10">
      <c r="A511" s="3">
        <v>10000502</v>
      </c>
      <c r="B511" s="3" t="str">
        <v>Jalpaiguri</v>
      </c>
      <c r="C511" s="3" t="str">
        <v>Unreinforced Masonry</v>
      </c>
      <c r="D511" s="3">
        <v>2</v>
      </c>
      <c r="E511" s="4">
        <v>11172515</v>
      </c>
      <c r="F511" s="3">
        <f t="shared" si="30"/>
        <v>0</v>
      </c>
      <c r="G511" s="30">
        <f>IF(F511=0, 0, INDEX(tbl_Vulnerability[[0 ft]:[10 ft]], MATCH(Simulation!C511, tbl_Vulnerability[Construction_Class], 0), MATCH(Simulation!F511,{0,1,2,3,5,8,10}, 1)))</f>
        <v>0</v>
      </c>
      <c r="H511" s="4">
        <f t="shared" si="31"/>
        <v>0</v>
      </c>
      <c r="I511" s="33">
        <f t="shared" si="32"/>
        <v>558625.75</v>
      </c>
      <c r="J511" s="33">
        <f t="shared" si="33"/>
        <v>0</v>
      </c>
    </row>
    <row r="512" spans="1:10">
      <c r="A512" s="3">
        <v>10000503</v>
      </c>
      <c r="B512" s="3" t="str">
        <v>Jalpaiguri</v>
      </c>
      <c r="C512" s="3" t="str">
        <v>Reinforced Concrete</v>
      </c>
      <c r="D512" s="3">
        <v>4</v>
      </c>
      <c r="E512" s="4">
        <v>47309923</v>
      </c>
      <c r="F512" s="3">
        <f t="shared" si="30"/>
        <v>0</v>
      </c>
      <c r="G512" s="30">
        <f>IF(F512=0, 0, INDEX(tbl_Vulnerability[[0 ft]:[10 ft]], MATCH(Simulation!C512, tbl_Vulnerability[Construction_Class], 0), MATCH(Simulation!F512,{0,1,2,3,5,8,10}, 1)))</f>
        <v>0</v>
      </c>
      <c r="H512" s="4">
        <f t="shared" si="31"/>
        <v>0</v>
      </c>
      <c r="I512" s="33">
        <f t="shared" si="32"/>
        <v>2365496.15</v>
      </c>
      <c r="J512" s="33">
        <f t="shared" si="33"/>
        <v>0</v>
      </c>
    </row>
    <row r="513" spans="1:10">
      <c r="A513" s="3">
        <v>10000504</v>
      </c>
      <c r="B513" s="3" t="str">
        <v>Kolkata</v>
      </c>
      <c r="C513" s="3" t="str">
        <v>Reinforced Concrete</v>
      </c>
      <c r="D513" s="3">
        <v>3</v>
      </c>
      <c r="E513" s="4">
        <v>50158576</v>
      </c>
      <c r="F513" s="3">
        <f t="shared" si="30"/>
        <v>0</v>
      </c>
      <c r="G513" s="30">
        <f>IF(F513=0, 0, INDEX(tbl_Vulnerability[[0 ft]:[10 ft]], MATCH(Simulation!C513, tbl_Vulnerability[Construction_Class], 0), MATCH(Simulation!F513,{0,1,2,3,5,8,10}, 1)))</f>
        <v>0</v>
      </c>
      <c r="H513" s="4">
        <f t="shared" si="31"/>
        <v>0</v>
      </c>
      <c r="I513" s="33">
        <f t="shared" si="32"/>
        <v>2507928.8000000003</v>
      </c>
      <c r="J513" s="33">
        <f t="shared" si="33"/>
        <v>0</v>
      </c>
    </row>
    <row r="514" spans="1:10">
      <c r="A514" s="3">
        <v>10000505</v>
      </c>
      <c r="B514" s="3" t="str">
        <v>South 24 Parganas</v>
      </c>
      <c r="C514" s="3" t="str">
        <v>Adobe / Light Timber</v>
      </c>
      <c r="D514" s="3">
        <v>2</v>
      </c>
      <c r="E514" s="4">
        <v>491342</v>
      </c>
      <c r="F514" s="3">
        <f t="shared" si="30"/>
        <v>0</v>
      </c>
      <c r="G514" s="30">
        <f>IF(F514=0, 0, INDEX(tbl_Vulnerability[[0 ft]:[10 ft]], MATCH(Simulation!C514, tbl_Vulnerability[Construction_Class], 0), MATCH(Simulation!F514,{0,1,2,3,5,8,10}, 1)))</f>
        <v>0</v>
      </c>
      <c r="H514" s="4">
        <f t="shared" si="31"/>
        <v>0</v>
      </c>
      <c r="I514" s="33">
        <f t="shared" si="32"/>
        <v>24567.100000000002</v>
      </c>
      <c r="J514" s="33">
        <f t="shared" si="33"/>
        <v>0</v>
      </c>
    </row>
    <row r="515" spans="1:10">
      <c r="A515" s="3">
        <v>10000506</v>
      </c>
      <c r="B515" s="3" t="str">
        <v>Kolkata</v>
      </c>
      <c r="C515" s="3" t="str">
        <v>Reinforced Concrete</v>
      </c>
      <c r="D515" s="3">
        <v>3</v>
      </c>
      <c r="E515" s="4">
        <v>19273645</v>
      </c>
      <c r="F515" s="3">
        <f t="shared" si="30"/>
        <v>0</v>
      </c>
      <c r="G515" s="30">
        <f>IF(F515=0, 0, INDEX(tbl_Vulnerability[[0 ft]:[10 ft]], MATCH(Simulation!C515, tbl_Vulnerability[Construction_Class], 0), MATCH(Simulation!F515,{0,1,2,3,5,8,10}, 1)))</f>
        <v>0</v>
      </c>
      <c r="H515" s="4">
        <f t="shared" si="31"/>
        <v>0</v>
      </c>
      <c r="I515" s="33">
        <f t="shared" si="32"/>
        <v>963682.25</v>
      </c>
      <c r="J515" s="33">
        <f t="shared" si="33"/>
        <v>0</v>
      </c>
    </row>
    <row r="516" spans="1:10">
      <c r="A516" s="3">
        <v>10000507</v>
      </c>
      <c r="B516" s="3" t="str">
        <v>South 24 Parganas</v>
      </c>
      <c r="C516" s="3" t="str">
        <v>Unreinforced Masonry</v>
      </c>
      <c r="D516" s="3">
        <v>1</v>
      </c>
      <c r="E516" s="4">
        <v>17475120</v>
      </c>
      <c r="F516" s="3">
        <f t="shared" si="30"/>
        <v>0</v>
      </c>
      <c r="G516" s="30">
        <f>IF(F516=0, 0, INDEX(tbl_Vulnerability[[0 ft]:[10 ft]], MATCH(Simulation!C516, tbl_Vulnerability[Construction_Class], 0), MATCH(Simulation!F516,{0,1,2,3,5,8,10}, 1)))</f>
        <v>0</v>
      </c>
      <c r="H516" s="4">
        <f t="shared" si="31"/>
        <v>0</v>
      </c>
      <c r="I516" s="33">
        <f t="shared" si="32"/>
        <v>873756</v>
      </c>
      <c r="J516" s="33">
        <f t="shared" si="33"/>
        <v>0</v>
      </c>
    </row>
    <row r="517" spans="1:10">
      <c r="A517" s="3">
        <v>10000508</v>
      </c>
      <c r="B517" s="3" t="str">
        <v>South 24 Parganas</v>
      </c>
      <c r="C517" s="3" t="str">
        <v>Unreinforced Masonry</v>
      </c>
      <c r="D517" s="3">
        <v>1</v>
      </c>
      <c r="E517" s="4">
        <v>15042000</v>
      </c>
      <c r="F517" s="3">
        <f t="shared" si="30"/>
        <v>0</v>
      </c>
      <c r="G517" s="30">
        <f>IF(F517=0, 0, INDEX(tbl_Vulnerability[[0 ft]:[10 ft]], MATCH(Simulation!C517, tbl_Vulnerability[Construction_Class], 0), MATCH(Simulation!F517,{0,1,2,3,5,8,10}, 1)))</f>
        <v>0</v>
      </c>
      <c r="H517" s="4">
        <f t="shared" si="31"/>
        <v>0</v>
      </c>
      <c r="I517" s="33">
        <f t="shared" si="32"/>
        <v>752100</v>
      </c>
      <c r="J517" s="33">
        <f t="shared" si="33"/>
        <v>0</v>
      </c>
    </row>
    <row r="518" spans="1:10">
      <c r="A518" s="3">
        <v>10000509</v>
      </c>
      <c r="B518" s="3" t="str">
        <v>Kolkata</v>
      </c>
      <c r="C518" s="3" t="str">
        <v>Reinforced Concrete</v>
      </c>
      <c r="D518" s="3">
        <v>3</v>
      </c>
      <c r="E518" s="4">
        <v>61112808</v>
      </c>
      <c r="F518" s="3">
        <f t="shared" si="30"/>
        <v>0</v>
      </c>
      <c r="G518" s="30">
        <f>IF(F518=0, 0, INDEX(tbl_Vulnerability[[0 ft]:[10 ft]], MATCH(Simulation!C518, tbl_Vulnerability[Construction_Class], 0), MATCH(Simulation!F518,{0,1,2,3,5,8,10}, 1)))</f>
        <v>0</v>
      </c>
      <c r="H518" s="4">
        <f t="shared" si="31"/>
        <v>0</v>
      </c>
      <c r="I518" s="33">
        <f t="shared" si="32"/>
        <v>3055640.4000000004</v>
      </c>
      <c r="J518" s="33">
        <f t="shared" si="33"/>
        <v>0</v>
      </c>
    </row>
    <row r="519" spans="1:10">
      <c r="A519" s="3">
        <v>10000510</v>
      </c>
      <c r="B519" s="3" t="str">
        <v>Hooghly</v>
      </c>
      <c r="C519" s="3" t="str">
        <v>Unreinforced Masonry</v>
      </c>
      <c r="D519" s="3">
        <v>0</v>
      </c>
      <c r="E519" s="4">
        <v>3750460</v>
      </c>
      <c r="F519" s="3">
        <f t="shared" si="30"/>
        <v>0</v>
      </c>
      <c r="G519" s="30">
        <f>IF(F519=0, 0, INDEX(tbl_Vulnerability[[0 ft]:[10 ft]], MATCH(Simulation!C519, tbl_Vulnerability[Construction_Class], 0), MATCH(Simulation!F519,{0,1,2,3,5,8,10}, 1)))</f>
        <v>0</v>
      </c>
      <c r="H519" s="4">
        <f t="shared" si="31"/>
        <v>0</v>
      </c>
      <c r="I519" s="33">
        <f t="shared" si="32"/>
        <v>187523</v>
      </c>
      <c r="J519" s="33">
        <f t="shared" si="33"/>
        <v>0</v>
      </c>
    </row>
    <row r="520" spans="1:10">
      <c r="A520" s="3">
        <v>10000511</v>
      </c>
      <c r="B520" s="3" t="str">
        <v>Jalpaiguri</v>
      </c>
      <c r="C520" s="3" t="str">
        <v>Unreinforced Masonry</v>
      </c>
      <c r="D520" s="3">
        <v>0</v>
      </c>
      <c r="E520" s="4">
        <v>5667051</v>
      </c>
      <c r="F520" s="3">
        <f t="shared" si="30"/>
        <v>0</v>
      </c>
      <c r="G520" s="30">
        <f>IF(F520=0, 0, INDEX(tbl_Vulnerability[[0 ft]:[10 ft]], MATCH(Simulation!C520, tbl_Vulnerability[Construction_Class], 0), MATCH(Simulation!F520,{0,1,2,3,5,8,10}, 1)))</f>
        <v>0</v>
      </c>
      <c r="H520" s="4">
        <f t="shared" si="31"/>
        <v>0</v>
      </c>
      <c r="I520" s="33">
        <f t="shared" si="32"/>
        <v>283352.55</v>
      </c>
      <c r="J520" s="33">
        <f t="shared" si="33"/>
        <v>0</v>
      </c>
    </row>
    <row r="521" spans="1:10">
      <c r="A521" s="3">
        <v>10000512</v>
      </c>
      <c r="B521" s="3" t="str">
        <v>Hooghly</v>
      </c>
      <c r="C521" s="3" t="str">
        <v>Reinforced Concrete</v>
      </c>
      <c r="D521" s="3">
        <v>3</v>
      </c>
      <c r="E521" s="4">
        <v>50479394</v>
      </c>
      <c r="F521" s="3">
        <f t="shared" si="30"/>
        <v>0</v>
      </c>
      <c r="G521" s="30">
        <f>IF(F521=0, 0, INDEX(tbl_Vulnerability[[0 ft]:[10 ft]], MATCH(Simulation!C521, tbl_Vulnerability[Construction_Class], 0), MATCH(Simulation!F521,{0,1,2,3,5,8,10}, 1)))</f>
        <v>0</v>
      </c>
      <c r="H521" s="4">
        <f t="shared" si="31"/>
        <v>0</v>
      </c>
      <c r="I521" s="33">
        <f t="shared" si="32"/>
        <v>2523969.7000000002</v>
      </c>
      <c r="J521" s="33">
        <f t="shared" si="33"/>
        <v>0</v>
      </c>
    </row>
    <row r="522" spans="1:10">
      <c r="A522" s="3">
        <v>10000513</v>
      </c>
      <c r="B522" s="3" t="str">
        <v>Jalpaiguri</v>
      </c>
      <c r="C522" s="3" t="str">
        <v>Reinforced Concrete</v>
      </c>
      <c r="D522" s="3">
        <v>3</v>
      </c>
      <c r="E522" s="4">
        <v>48407786</v>
      </c>
      <c r="F522" s="3">
        <f t="shared" si="30"/>
        <v>0</v>
      </c>
      <c r="G522" s="30">
        <f>IF(F522=0, 0, INDEX(tbl_Vulnerability[[0 ft]:[10 ft]], MATCH(Simulation!C522, tbl_Vulnerability[Construction_Class], 0), MATCH(Simulation!F522,{0,1,2,3,5,8,10}, 1)))</f>
        <v>0</v>
      </c>
      <c r="H522" s="4">
        <f t="shared" si="31"/>
        <v>0</v>
      </c>
      <c r="I522" s="33">
        <f t="shared" si="32"/>
        <v>2420389.3000000003</v>
      </c>
      <c r="J522" s="33">
        <f t="shared" si="33"/>
        <v>0</v>
      </c>
    </row>
    <row r="523" spans="1:10">
      <c r="A523" s="3">
        <v>10000514</v>
      </c>
      <c r="B523" s="3" t="str">
        <v>South 24 Parganas</v>
      </c>
      <c r="C523" s="3" t="str">
        <v>Reinforced Concrete</v>
      </c>
      <c r="D523" s="3">
        <v>5</v>
      </c>
      <c r="E523" s="4">
        <v>48777813</v>
      </c>
      <c r="F523" s="3">
        <f t="shared" ref="F523:F586" si="34">IF(B523=$B$2, MAX(0, $B$3 - D523), 0)</f>
        <v>0</v>
      </c>
      <c r="G523" s="30">
        <f>IF(F523=0, 0, INDEX(tbl_Vulnerability[[0 ft]:[10 ft]], MATCH(Simulation!C523, tbl_Vulnerability[Construction_Class], 0), MATCH(Simulation!F523,{0,1,2,3,5,8,10}, 1)))</f>
        <v>0</v>
      </c>
      <c r="H523" s="4">
        <f t="shared" ref="H523:H586" si="35">E523*G523</f>
        <v>0</v>
      </c>
      <c r="I523" s="33">
        <f t="shared" ref="I523:I586" si="36">E523*$B$4</f>
        <v>2438890.65</v>
      </c>
      <c r="J523" s="33">
        <f t="shared" ref="J523:J586" si="37">MAX(0, H523 - I523)</f>
        <v>0</v>
      </c>
    </row>
    <row r="524" spans="1:10">
      <c r="A524" s="3">
        <v>10000515</v>
      </c>
      <c r="B524" s="3" t="str">
        <v>Paschim Medinipur</v>
      </c>
      <c r="C524" s="3" t="str">
        <v>Unreinforced Masonry</v>
      </c>
      <c r="D524" s="3">
        <v>2</v>
      </c>
      <c r="E524" s="4">
        <v>9382501</v>
      </c>
      <c r="F524" s="3">
        <f t="shared" si="34"/>
        <v>0</v>
      </c>
      <c r="G524" s="30">
        <f>IF(F524=0, 0, INDEX(tbl_Vulnerability[[0 ft]:[10 ft]], MATCH(Simulation!C524, tbl_Vulnerability[Construction_Class], 0), MATCH(Simulation!F524,{0,1,2,3,5,8,10}, 1)))</f>
        <v>0</v>
      </c>
      <c r="H524" s="4">
        <f t="shared" si="35"/>
        <v>0</v>
      </c>
      <c r="I524" s="33">
        <f t="shared" si="36"/>
        <v>469125.05000000005</v>
      </c>
      <c r="J524" s="33">
        <f t="shared" si="37"/>
        <v>0</v>
      </c>
    </row>
    <row r="525" spans="1:10">
      <c r="A525" s="3">
        <v>10000516</v>
      </c>
      <c r="B525" s="3" t="str">
        <v>Jalpaiguri</v>
      </c>
      <c r="C525" s="3" t="str">
        <v>Unreinforced Masonry</v>
      </c>
      <c r="D525" s="3">
        <v>0</v>
      </c>
      <c r="E525" s="4">
        <v>18191027</v>
      </c>
      <c r="F525" s="3">
        <f t="shared" si="34"/>
        <v>0</v>
      </c>
      <c r="G525" s="30">
        <f>IF(F525=0, 0, INDEX(tbl_Vulnerability[[0 ft]:[10 ft]], MATCH(Simulation!C525, tbl_Vulnerability[Construction_Class], 0), MATCH(Simulation!F525,{0,1,2,3,5,8,10}, 1)))</f>
        <v>0</v>
      </c>
      <c r="H525" s="4">
        <f t="shared" si="35"/>
        <v>0</v>
      </c>
      <c r="I525" s="33">
        <f t="shared" si="36"/>
        <v>909551.35000000009</v>
      </c>
      <c r="J525" s="33">
        <f t="shared" si="37"/>
        <v>0</v>
      </c>
    </row>
    <row r="526" spans="1:10">
      <c r="A526" s="3">
        <v>10000517</v>
      </c>
      <c r="B526" s="3" t="str">
        <v>Jalpaiguri</v>
      </c>
      <c r="C526" s="3" t="str">
        <v>Unreinforced Masonry</v>
      </c>
      <c r="D526" s="3">
        <v>1</v>
      </c>
      <c r="E526" s="4">
        <v>7247232</v>
      </c>
      <c r="F526" s="3">
        <f t="shared" si="34"/>
        <v>0</v>
      </c>
      <c r="G526" s="30">
        <f>IF(F526=0, 0, INDEX(tbl_Vulnerability[[0 ft]:[10 ft]], MATCH(Simulation!C526, tbl_Vulnerability[Construction_Class], 0), MATCH(Simulation!F526,{0,1,2,3,5,8,10}, 1)))</f>
        <v>0</v>
      </c>
      <c r="H526" s="4">
        <f t="shared" si="35"/>
        <v>0</v>
      </c>
      <c r="I526" s="33">
        <f t="shared" si="36"/>
        <v>362361.60000000003</v>
      </c>
      <c r="J526" s="33">
        <f t="shared" si="37"/>
        <v>0</v>
      </c>
    </row>
    <row r="527" spans="1:10">
      <c r="A527" s="3">
        <v>10000518</v>
      </c>
      <c r="B527" s="3" t="str">
        <v>South 24 Parganas</v>
      </c>
      <c r="C527" s="3" t="str">
        <v>Unreinforced Masonry</v>
      </c>
      <c r="D527" s="3">
        <v>2</v>
      </c>
      <c r="E527" s="4">
        <v>26939207</v>
      </c>
      <c r="F527" s="3">
        <f t="shared" si="34"/>
        <v>0</v>
      </c>
      <c r="G527" s="30">
        <f>IF(F527=0, 0, INDEX(tbl_Vulnerability[[0 ft]:[10 ft]], MATCH(Simulation!C527, tbl_Vulnerability[Construction_Class], 0), MATCH(Simulation!F527,{0,1,2,3,5,8,10}, 1)))</f>
        <v>0</v>
      </c>
      <c r="H527" s="4">
        <f t="shared" si="35"/>
        <v>0</v>
      </c>
      <c r="I527" s="33">
        <f t="shared" si="36"/>
        <v>1346960.35</v>
      </c>
      <c r="J527" s="33">
        <f t="shared" si="37"/>
        <v>0</v>
      </c>
    </row>
    <row r="528" spans="1:10">
      <c r="A528" s="3">
        <v>10000519</v>
      </c>
      <c r="B528" s="3" t="str">
        <v>Kolkata</v>
      </c>
      <c r="C528" s="3" t="str">
        <v>Reinforced Concrete</v>
      </c>
      <c r="D528" s="3">
        <v>5</v>
      </c>
      <c r="E528" s="4">
        <v>71286842</v>
      </c>
      <c r="F528" s="3">
        <f t="shared" si="34"/>
        <v>0</v>
      </c>
      <c r="G528" s="30">
        <f>IF(F528=0, 0, INDEX(tbl_Vulnerability[[0 ft]:[10 ft]], MATCH(Simulation!C528, tbl_Vulnerability[Construction_Class], 0), MATCH(Simulation!F528,{0,1,2,3,5,8,10}, 1)))</f>
        <v>0</v>
      </c>
      <c r="H528" s="4">
        <f t="shared" si="35"/>
        <v>0</v>
      </c>
      <c r="I528" s="33">
        <f t="shared" si="36"/>
        <v>3564342.1</v>
      </c>
      <c r="J528" s="33">
        <f t="shared" si="37"/>
        <v>0</v>
      </c>
    </row>
    <row r="529" spans="1:10">
      <c r="A529" s="3">
        <v>10000520</v>
      </c>
      <c r="B529" s="3" t="str">
        <v>South 24 Parganas</v>
      </c>
      <c r="C529" s="3" t="str">
        <v>Reinforced Concrete</v>
      </c>
      <c r="D529" s="3">
        <v>3</v>
      </c>
      <c r="E529" s="4">
        <v>26035488</v>
      </c>
      <c r="F529" s="3">
        <f t="shared" si="34"/>
        <v>0</v>
      </c>
      <c r="G529" s="30">
        <f>IF(F529=0, 0, INDEX(tbl_Vulnerability[[0 ft]:[10 ft]], MATCH(Simulation!C529, tbl_Vulnerability[Construction_Class], 0), MATCH(Simulation!F529,{0,1,2,3,5,8,10}, 1)))</f>
        <v>0</v>
      </c>
      <c r="H529" s="4">
        <f t="shared" si="35"/>
        <v>0</v>
      </c>
      <c r="I529" s="33">
        <f t="shared" si="36"/>
        <v>1301774.4000000001</v>
      </c>
      <c r="J529" s="33">
        <f t="shared" si="37"/>
        <v>0</v>
      </c>
    </row>
    <row r="530" spans="1:10">
      <c r="A530" s="3">
        <v>10000521</v>
      </c>
      <c r="B530" s="3" t="str">
        <v>Paschim Medinipur</v>
      </c>
      <c r="C530" s="3" t="str">
        <v>Reinforced Concrete</v>
      </c>
      <c r="D530" s="3">
        <v>4</v>
      </c>
      <c r="E530" s="4">
        <v>45982974</v>
      </c>
      <c r="F530" s="3">
        <f t="shared" si="34"/>
        <v>0</v>
      </c>
      <c r="G530" s="30">
        <f>IF(F530=0, 0, INDEX(tbl_Vulnerability[[0 ft]:[10 ft]], MATCH(Simulation!C530, tbl_Vulnerability[Construction_Class], 0), MATCH(Simulation!F530,{0,1,2,3,5,8,10}, 1)))</f>
        <v>0</v>
      </c>
      <c r="H530" s="4">
        <f t="shared" si="35"/>
        <v>0</v>
      </c>
      <c r="I530" s="33">
        <f t="shared" si="36"/>
        <v>2299148.7000000002</v>
      </c>
      <c r="J530" s="33">
        <f t="shared" si="37"/>
        <v>0</v>
      </c>
    </row>
    <row r="531" spans="1:10">
      <c r="A531" s="3">
        <v>10000522</v>
      </c>
      <c r="B531" s="3" t="str">
        <v>Paschim Medinipur</v>
      </c>
      <c r="C531" s="3" t="str">
        <v>Reinforced Concrete</v>
      </c>
      <c r="D531" s="3">
        <v>4</v>
      </c>
      <c r="E531" s="4">
        <v>3525552</v>
      </c>
      <c r="F531" s="3">
        <f t="shared" si="34"/>
        <v>0</v>
      </c>
      <c r="G531" s="30">
        <f>IF(F531=0, 0, INDEX(tbl_Vulnerability[[0 ft]:[10 ft]], MATCH(Simulation!C531, tbl_Vulnerability[Construction_Class], 0), MATCH(Simulation!F531,{0,1,2,3,5,8,10}, 1)))</f>
        <v>0</v>
      </c>
      <c r="H531" s="4">
        <f t="shared" si="35"/>
        <v>0</v>
      </c>
      <c r="I531" s="33">
        <f t="shared" si="36"/>
        <v>176277.6</v>
      </c>
      <c r="J531" s="33">
        <f t="shared" si="37"/>
        <v>0</v>
      </c>
    </row>
    <row r="532" spans="1:10">
      <c r="A532" s="3">
        <v>10000523</v>
      </c>
      <c r="B532" s="3" t="str">
        <v>Kolkata</v>
      </c>
      <c r="C532" s="3" t="str">
        <v>Reinforced Concrete</v>
      </c>
      <c r="D532" s="3">
        <v>5</v>
      </c>
      <c r="E532" s="4">
        <v>49188321</v>
      </c>
      <c r="F532" s="3">
        <f t="shared" si="34"/>
        <v>0</v>
      </c>
      <c r="G532" s="30">
        <f>IF(F532=0, 0, INDEX(tbl_Vulnerability[[0 ft]:[10 ft]], MATCH(Simulation!C532, tbl_Vulnerability[Construction_Class], 0), MATCH(Simulation!F532,{0,1,2,3,5,8,10}, 1)))</f>
        <v>0</v>
      </c>
      <c r="H532" s="4">
        <f t="shared" si="35"/>
        <v>0</v>
      </c>
      <c r="I532" s="33">
        <f t="shared" si="36"/>
        <v>2459416.0500000003</v>
      </c>
      <c r="J532" s="33">
        <f t="shared" si="37"/>
        <v>0</v>
      </c>
    </row>
    <row r="533" spans="1:10">
      <c r="A533" s="3">
        <v>10000524</v>
      </c>
      <c r="B533" s="3" t="str">
        <v>Paschim Medinipur</v>
      </c>
      <c r="C533" s="3" t="str">
        <v>Adobe / Light Timber</v>
      </c>
      <c r="D533" s="3">
        <v>1</v>
      </c>
      <c r="E533" s="4">
        <v>583923</v>
      </c>
      <c r="F533" s="3">
        <f t="shared" si="34"/>
        <v>0</v>
      </c>
      <c r="G533" s="30">
        <f>IF(F533=0, 0, INDEX(tbl_Vulnerability[[0 ft]:[10 ft]], MATCH(Simulation!C533, tbl_Vulnerability[Construction_Class], 0), MATCH(Simulation!F533,{0,1,2,3,5,8,10}, 1)))</f>
        <v>0</v>
      </c>
      <c r="H533" s="4">
        <f t="shared" si="35"/>
        <v>0</v>
      </c>
      <c r="I533" s="33">
        <f t="shared" si="36"/>
        <v>29196.15</v>
      </c>
      <c r="J533" s="33">
        <f t="shared" si="37"/>
        <v>0</v>
      </c>
    </row>
    <row r="534" spans="1:10">
      <c r="A534" s="3">
        <v>10000525</v>
      </c>
      <c r="B534" s="3" t="str">
        <v>Malda</v>
      </c>
      <c r="C534" s="3" t="str">
        <v>Reinforced Concrete</v>
      </c>
      <c r="D534" s="3">
        <v>5</v>
      </c>
      <c r="E534" s="4">
        <v>17584100</v>
      </c>
      <c r="F534" s="3">
        <f t="shared" si="34"/>
        <v>5</v>
      </c>
      <c r="G534" s="30">
        <f>IF(F534=0, 0, INDEX(tbl_Vulnerability[[0 ft]:[10 ft]], MATCH(Simulation!C534, tbl_Vulnerability[Construction_Class], 0), MATCH(Simulation!F534,{0,1,2,3,5,8,10}, 1)))</f>
        <v>0.2</v>
      </c>
      <c r="H534" s="4">
        <f t="shared" si="35"/>
        <v>3516820</v>
      </c>
      <c r="I534" s="33">
        <f t="shared" si="36"/>
        <v>879205</v>
      </c>
      <c r="J534" s="33">
        <f t="shared" si="37"/>
        <v>2637615</v>
      </c>
    </row>
    <row r="535" spans="1:10">
      <c r="A535" s="3">
        <v>10000526</v>
      </c>
      <c r="B535" s="3" t="str">
        <v>Kolkata</v>
      </c>
      <c r="C535" s="3" t="str">
        <v>Unreinforced Masonry</v>
      </c>
      <c r="D535" s="3">
        <v>2</v>
      </c>
      <c r="E535" s="4">
        <v>9952297</v>
      </c>
      <c r="F535" s="3">
        <f t="shared" si="34"/>
        <v>0</v>
      </c>
      <c r="G535" s="30">
        <f>IF(F535=0, 0, INDEX(tbl_Vulnerability[[0 ft]:[10 ft]], MATCH(Simulation!C535, tbl_Vulnerability[Construction_Class], 0), MATCH(Simulation!F535,{0,1,2,3,5,8,10}, 1)))</f>
        <v>0</v>
      </c>
      <c r="H535" s="4">
        <f t="shared" si="35"/>
        <v>0</v>
      </c>
      <c r="I535" s="33">
        <f t="shared" si="36"/>
        <v>497614.85000000003</v>
      </c>
      <c r="J535" s="33">
        <f t="shared" si="37"/>
        <v>0</v>
      </c>
    </row>
    <row r="536" spans="1:10">
      <c r="A536" s="3">
        <v>10000527</v>
      </c>
      <c r="B536" s="3" t="str">
        <v>Malda</v>
      </c>
      <c r="C536" s="3" t="str">
        <v>Reinforced Concrete</v>
      </c>
      <c r="D536" s="3">
        <v>5</v>
      </c>
      <c r="E536" s="4">
        <v>60167262</v>
      </c>
      <c r="F536" s="3">
        <f t="shared" si="34"/>
        <v>5</v>
      </c>
      <c r="G536" s="30">
        <f>IF(F536=0, 0, INDEX(tbl_Vulnerability[[0 ft]:[10 ft]], MATCH(Simulation!C536, tbl_Vulnerability[Construction_Class], 0), MATCH(Simulation!F536,{0,1,2,3,5,8,10}, 1)))</f>
        <v>0.2</v>
      </c>
      <c r="H536" s="4">
        <f t="shared" si="35"/>
        <v>12033452.4</v>
      </c>
      <c r="I536" s="33">
        <f t="shared" si="36"/>
        <v>3008363.1</v>
      </c>
      <c r="J536" s="33">
        <f t="shared" si="37"/>
        <v>9025089.3000000007</v>
      </c>
    </row>
    <row r="537" spans="1:10">
      <c r="A537" s="3">
        <v>10000528</v>
      </c>
      <c r="B537" s="3" t="str">
        <v>Paschim Medinipur</v>
      </c>
      <c r="C537" s="3" t="str">
        <v>Adobe / Light Timber</v>
      </c>
      <c r="D537" s="3">
        <v>2</v>
      </c>
      <c r="E537" s="4">
        <v>614745</v>
      </c>
      <c r="F537" s="3">
        <f t="shared" si="34"/>
        <v>0</v>
      </c>
      <c r="G537" s="30">
        <f>IF(F537=0, 0, INDEX(tbl_Vulnerability[[0 ft]:[10 ft]], MATCH(Simulation!C537, tbl_Vulnerability[Construction_Class], 0), MATCH(Simulation!F537,{0,1,2,3,5,8,10}, 1)))</f>
        <v>0</v>
      </c>
      <c r="H537" s="4">
        <f t="shared" si="35"/>
        <v>0</v>
      </c>
      <c r="I537" s="33">
        <f t="shared" si="36"/>
        <v>30737.25</v>
      </c>
      <c r="J537" s="33">
        <f t="shared" si="37"/>
        <v>0</v>
      </c>
    </row>
    <row r="538" spans="1:10">
      <c r="A538" s="3">
        <v>10000529</v>
      </c>
      <c r="B538" s="3" t="str">
        <v>South 24 Parganas</v>
      </c>
      <c r="C538" s="3" t="str">
        <v>Unreinforced Masonry</v>
      </c>
      <c r="D538" s="3">
        <v>2</v>
      </c>
      <c r="E538" s="4">
        <v>21915065</v>
      </c>
      <c r="F538" s="3">
        <f t="shared" si="34"/>
        <v>0</v>
      </c>
      <c r="G538" s="30">
        <f>IF(F538=0, 0, INDEX(tbl_Vulnerability[[0 ft]:[10 ft]], MATCH(Simulation!C538, tbl_Vulnerability[Construction_Class], 0), MATCH(Simulation!F538,{0,1,2,3,5,8,10}, 1)))</f>
        <v>0</v>
      </c>
      <c r="H538" s="4">
        <f t="shared" si="35"/>
        <v>0</v>
      </c>
      <c r="I538" s="33">
        <f t="shared" si="36"/>
        <v>1095753.25</v>
      </c>
      <c r="J538" s="33">
        <f t="shared" si="37"/>
        <v>0</v>
      </c>
    </row>
    <row r="539" spans="1:10">
      <c r="A539" s="3">
        <v>10000530</v>
      </c>
      <c r="B539" s="3" t="str">
        <v>Malda</v>
      </c>
      <c r="C539" s="3" t="str">
        <v>Reinforced Concrete</v>
      </c>
      <c r="D539" s="3">
        <v>3</v>
      </c>
      <c r="E539" s="4">
        <v>14393863</v>
      </c>
      <c r="F539" s="3">
        <f t="shared" si="34"/>
        <v>7</v>
      </c>
      <c r="G539" s="30">
        <f>IF(F539=0, 0, INDEX(tbl_Vulnerability[[0 ft]:[10 ft]], MATCH(Simulation!C539, tbl_Vulnerability[Construction_Class], 0), MATCH(Simulation!F539,{0,1,2,3,5,8,10}, 1)))</f>
        <v>0.2</v>
      </c>
      <c r="H539" s="4">
        <f t="shared" si="35"/>
        <v>2878772.6</v>
      </c>
      <c r="I539" s="33">
        <f t="shared" si="36"/>
        <v>719693.15</v>
      </c>
      <c r="J539" s="33">
        <f t="shared" si="37"/>
        <v>2159079.4500000002</v>
      </c>
    </row>
    <row r="540" spans="1:10">
      <c r="A540" s="3">
        <v>10000531</v>
      </c>
      <c r="B540" s="3" t="str">
        <v>South 24 Parganas</v>
      </c>
      <c r="C540" s="3" t="str">
        <v>Unreinforced Masonry</v>
      </c>
      <c r="D540" s="3">
        <v>0</v>
      </c>
      <c r="E540" s="4">
        <v>15412444</v>
      </c>
      <c r="F540" s="3">
        <f t="shared" si="34"/>
        <v>0</v>
      </c>
      <c r="G540" s="30">
        <f>IF(F540=0, 0, INDEX(tbl_Vulnerability[[0 ft]:[10 ft]], MATCH(Simulation!C540, tbl_Vulnerability[Construction_Class], 0), MATCH(Simulation!F540,{0,1,2,3,5,8,10}, 1)))</f>
        <v>0</v>
      </c>
      <c r="H540" s="4">
        <f t="shared" si="35"/>
        <v>0</v>
      </c>
      <c r="I540" s="33">
        <f t="shared" si="36"/>
        <v>770622.20000000007</v>
      </c>
      <c r="J540" s="33">
        <f t="shared" si="37"/>
        <v>0</v>
      </c>
    </row>
    <row r="541" spans="1:10">
      <c r="A541" s="3">
        <v>10000532</v>
      </c>
      <c r="B541" s="3" t="str">
        <v>Paschim Medinipur</v>
      </c>
      <c r="C541" s="3" t="str">
        <v>Reinforced Concrete</v>
      </c>
      <c r="D541" s="3">
        <v>5</v>
      </c>
      <c r="E541" s="4">
        <v>6252785</v>
      </c>
      <c r="F541" s="3">
        <f t="shared" si="34"/>
        <v>0</v>
      </c>
      <c r="G541" s="30">
        <f>IF(F541=0, 0, INDEX(tbl_Vulnerability[[0 ft]:[10 ft]], MATCH(Simulation!C541, tbl_Vulnerability[Construction_Class], 0), MATCH(Simulation!F541,{0,1,2,3,5,8,10}, 1)))</f>
        <v>0</v>
      </c>
      <c r="H541" s="4">
        <f t="shared" si="35"/>
        <v>0</v>
      </c>
      <c r="I541" s="33">
        <f t="shared" si="36"/>
        <v>312639.25</v>
      </c>
      <c r="J541" s="33">
        <f t="shared" si="37"/>
        <v>0</v>
      </c>
    </row>
    <row r="542" spans="1:10">
      <c r="A542" s="3">
        <v>10000533</v>
      </c>
      <c r="B542" s="3" t="str">
        <v>Kolkata</v>
      </c>
      <c r="C542" s="3" t="str">
        <v>Adobe / Light Timber</v>
      </c>
      <c r="D542" s="3">
        <v>1</v>
      </c>
      <c r="E542" s="4">
        <v>521449</v>
      </c>
      <c r="F542" s="3">
        <f t="shared" si="34"/>
        <v>0</v>
      </c>
      <c r="G542" s="30">
        <f>IF(F542=0, 0, INDEX(tbl_Vulnerability[[0 ft]:[10 ft]], MATCH(Simulation!C542, tbl_Vulnerability[Construction_Class], 0), MATCH(Simulation!F542,{0,1,2,3,5,8,10}, 1)))</f>
        <v>0</v>
      </c>
      <c r="H542" s="4">
        <f t="shared" si="35"/>
        <v>0</v>
      </c>
      <c r="I542" s="33">
        <f t="shared" si="36"/>
        <v>26072.45</v>
      </c>
      <c r="J542" s="33">
        <f t="shared" si="37"/>
        <v>0</v>
      </c>
    </row>
    <row r="543" spans="1:10">
      <c r="A543" s="3">
        <v>10000534</v>
      </c>
      <c r="B543" s="3" t="str">
        <v>Malda</v>
      </c>
      <c r="C543" s="3" t="str">
        <v>Unreinforced Masonry</v>
      </c>
      <c r="D543" s="3">
        <v>0</v>
      </c>
      <c r="E543" s="4">
        <v>3959678</v>
      </c>
      <c r="F543" s="3">
        <f t="shared" si="34"/>
        <v>10</v>
      </c>
      <c r="G543" s="30">
        <f>IF(F543=0, 0, INDEX(tbl_Vulnerability[[0 ft]:[10 ft]], MATCH(Simulation!C543, tbl_Vulnerability[Construction_Class], 0), MATCH(Simulation!F543,{0,1,2,3,5,8,10}, 1)))</f>
        <v>1</v>
      </c>
      <c r="H543" s="4">
        <f t="shared" si="35"/>
        <v>3959678</v>
      </c>
      <c r="I543" s="33">
        <f t="shared" si="36"/>
        <v>197983.90000000002</v>
      </c>
      <c r="J543" s="33">
        <f t="shared" si="37"/>
        <v>3761694.1</v>
      </c>
    </row>
    <row r="544" spans="1:10">
      <c r="A544" s="3">
        <v>10000535</v>
      </c>
      <c r="B544" s="3" t="str">
        <v>Hooghly</v>
      </c>
      <c r="C544" s="3" t="str">
        <v>Adobe / Light Timber</v>
      </c>
      <c r="D544" s="3">
        <v>2</v>
      </c>
      <c r="E544" s="4">
        <v>435075</v>
      </c>
      <c r="F544" s="3">
        <f t="shared" si="34"/>
        <v>0</v>
      </c>
      <c r="G544" s="30">
        <f>IF(F544=0, 0, INDEX(tbl_Vulnerability[[0 ft]:[10 ft]], MATCH(Simulation!C544, tbl_Vulnerability[Construction_Class], 0), MATCH(Simulation!F544,{0,1,2,3,5,8,10}, 1)))</f>
        <v>0</v>
      </c>
      <c r="H544" s="4">
        <f t="shared" si="35"/>
        <v>0</v>
      </c>
      <c r="I544" s="33">
        <f t="shared" si="36"/>
        <v>21753.75</v>
      </c>
      <c r="J544" s="33">
        <f t="shared" si="37"/>
        <v>0</v>
      </c>
    </row>
    <row r="545" spans="1:10">
      <c r="A545" s="3">
        <v>10000536</v>
      </c>
      <c r="B545" s="3" t="str">
        <v>Kolkata</v>
      </c>
      <c r="C545" s="3" t="str">
        <v>Reinforced Concrete</v>
      </c>
      <c r="D545" s="3">
        <v>5</v>
      </c>
      <c r="E545" s="4">
        <v>48512006</v>
      </c>
      <c r="F545" s="3">
        <f t="shared" si="34"/>
        <v>0</v>
      </c>
      <c r="G545" s="30">
        <f>IF(F545=0, 0, INDEX(tbl_Vulnerability[[0 ft]:[10 ft]], MATCH(Simulation!C545, tbl_Vulnerability[Construction_Class], 0), MATCH(Simulation!F545,{0,1,2,3,5,8,10}, 1)))</f>
        <v>0</v>
      </c>
      <c r="H545" s="4">
        <f t="shared" si="35"/>
        <v>0</v>
      </c>
      <c r="I545" s="33">
        <f t="shared" si="36"/>
        <v>2425600.3000000003</v>
      </c>
      <c r="J545" s="33">
        <f t="shared" si="37"/>
        <v>0</v>
      </c>
    </row>
    <row r="546" spans="1:10">
      <c r="A546" s="3">
        <v>10000537</v>
      </c>
      <c r="B546" s="3" t="str">
        <v>Paschim Medinipur</v>
      </c>
      <c r="C546" s="3" t="str">
        <v>Reinforced Concrete</v>
      </c>
      <c r="D546" s="3">
        <v>4</v>
      </c>
      <c r="E546" s="4">
        <v>53608268</v>
      </c>
      <c r="F546" s="3">
        <f t="shared" si="34"/>
        <v>0</v>
      </c>
      <c r="G546" s="30">
        <f>IF(F546=0, 0, INDEX(tbl_Vulnerability[[0 ft]:[10 ft]], MATCH(Simulation!C546, tbl_Vulnerability[Construction_Class], 0), MATCH(Simulation!F546,{0,1,2,3,5,8,10}, 1)))</f>
        <v>0</v>
      </c>
      <c r="H546" s="4">
        <f t="shared" si="35"/>
        <v>0</v>
      </c>
      <c r="I546" s="33">
        <f t="shared" si="36"/>
        <v>2680413.4000000004</v>
      </c>
      <c r="J546" s="33">
        <f t="shared" si="37"/>
        <v>0</v>
      </c>
    </row>
    <row r="547" spans="1:10">
      <c r="A547" s="3">
        <v>10000538</v>
      </c>
      <c r="B547" s="3" t="str">
        <v>Paschim Medinipur</v>
      </c>
      <c r="C547" s="3" t="str">
        <v>Reinforced Concrete</v>
      </c>
      <c r="D547" s="3">
        <v>3</v>
      </c>
      <c r="E547" s="4">
        <v>59553908</v>
      </c>
      <c r="F547" s="3">
        <f t="shared" si="34"/>
        <v>0</v>
      </c>
      <c r="G547" s="30">
        <f>IF(F547=0, 0, INDEX(tbl_Vulnerability[[0 ft]:[10 ft]], MATCH(Simulation!C547, tbl_Vulnerability[Construction_Class], 0), MATCH(Simulation!F547,{0,1,2,3,5,8,10}, 1)))</f>
        <v>0</v>
      </c>
      <c r="H547" s="4">
        <f t="shared" si="35"/>
        <v>0</v>
      </c>
      <c r="I547" s="33">
        <f t="shared" si="36"/>
        <v>2977695.4000000004</v>
      </c>
      <c r="J547" s="33">
        <f t="shared" si="37"/>
        <v>0</v>
      </c>
    </row>
    <row r="548" spans="1:10">
      <c r="A548" s="3">
        <v>10000539</v>
      </c>
      <c r="B548" s="3" t="str">
        <v>Paschim Medinipur</v>
      </c>
      <c r="C548" s="3" t="str">
        <v>Reinforced Concrete</v>
      </c>
      <c r="D548" s="3">
        <v>4</v>
      </c>
      <c r="E548" s="4">
        <v>41467143</v>
      </c>
      <c r="F548" s="3">
        <f t="shared" si="34"/>
        <v>0</v>
      </c>
      <c r="G548" s="30">
        <f>IF(F548=0, 0, INDEX(tbl_Vulnerability[[0 ft]:[10 ft]], MATCH(Simulation!C548, tbl_Vulnerability[Construction_Class], 0), MATCH(Simulation!F548,{0,1,2,3,5,8,10}, 1)))</f>
        <v>0</v>
      </c>
      <c r="H548" s="4">
        <f t="shared" si="35"/>
        <v>0</v>
      </c>
      <c r="I548" s="33">
        <f t="shared" si="36"/>
        <v>2073357.1500000001</v>
      </c>
      <c r="J548" s="33">
        <f t="shared" si="37"/>
        <v>0</v>
      </c>
    </row>
    <row r="549" spans="1:10">
      <c r="A549" s="3">
        <v>10000540</v>
      </c>
      <c r="B549" s="3" t="str">
        <v>Hooghly</v>
      </c>
      <c r="C549" s="3" t="str">
        <v>Reinforced Concrete</v>
      </c>
      <c r="D549" s="3">
        <v>4</v>
      </c>
      <c r="E549" s="4">
        <v>39045516</v>
      </c>
      <c r="F549" s="3">
        <f t="shared" si="34"/>
        <v>0</v>
      </c>
      <c r="G549" s="30">
        <f>IF(F549=0, 0, INDEX(tbl_Vulnerability[[0 ft]:[10 ft]], MATCH(Simulation!C549, tbl_Vulnerability[Construction_Class], 0), MATCH(Simulation!F549,{0,1,2,3,5,8,10}, 1)))</f>
        <v>0</v>
      </c>
      <c r="H549" s="4">
        <f t="shared" si="35"/>
        <v>0</v>
      </c>
      <c r="I549" s="33">
        <f t="shared" si="36"/>
        <v>1952275.8</v>
      </c>
      <c r="J549" s="33">
        <f t="shared" si="37"/>
        <v>0</v>
      </c>
    </row>
    <row r="550" spans="1:10">
      <c r="A550" s="3">
        <v>10000541</v>
      </c>
      <c r="B550" s="3" t="str">
        <v>Jalpaiguri</v>
      </c>
      <c r="C550" s="3" t="str">
        <v>Reinforced Concrete</v>
      </c>
      <c r="D550" s="3">
        <v>4</v>
      </c>
      <c r="E550" s="4">
        <v>6570646</v>
      </c>
      <c r="F550" s="3">
        <f t="shared" si="34"/>
        <v>0</v>
      </c>
      <c r="G550" s="30">
        <f>IF(F550=0, 0, INDEX(tbl_Vulnerability[[0 ft]:[10 ft]], MATCH(Simulation!C550, tbl_Vulnerability[Construction_Class], 0), MATCH(Simulation!F550,{0,1,2,3,5,8,10}, 1)))</f>
        <v>0</v>
      </c>
      <c r="H550" s="4">
        <f t="shared" si="35"/>
        <v>0</v>
      </c>
      <c r="I550" s="33">
        <f t="shared" si="36"/>
        <v>328532.30000000005</v>
      </c>
      <c r="J550" s="33">
        <f t="shared" si="37"/>
        <v>0</v>
      </c>
    </row>
    <row r="551" spans="1:10">
      <c r="A551" s="3">
        <v>10000542</v>
      </c>
      <c r="B551" s="3" t="str">
        <v>Hooghly</v>
      </c>
      <c r="C551" s="3" t="str">
        <v>Reinforced Concrete</v>
      </c>
      <c r="D551" s="3">
        <v>4</v>
      </c>
      <c r="E551" s="4">
        <v>58039789</v>
      </c>
      <c r="F551" s="3">
        <f t="shared" si="34"/>
        <v>0</v>
      </c>
      <c r="G551" s="30">
        <f>IF(F551=0, 0, INDEX(tbl_Vulnerability[[0 ft]:[10 ft]], MATCH(Simulation!C551, tbl_Vulnerability[Construction_Class], 0), MATCH(Simulation!F551,{0,1,2,3,5,8,10}, 1)))</f>
        <v>0</v>
      </c>
      <c r="H551" s="4">
        <f t="shared" si="35"/>
        <v>0</v>
      </c>
      <c r="I551" s="33">
        <f t="shared" si="36"/>
        <v>2901989.45</v>
      </c>
      <c r="J551" s="33">
        <f t="shared" si="37"/>
        <v>0</v>
      </c>
    </row>
    <row r="552" spans="1:10">
      <c r="A552" s="3">
        <v>10000543</v>
      </c>
      <c r="B552" s="3" t="str">
        <v>Jalpaiguri</v>
      </c>
      <c r="C552" s="3" t="str">
        <v>Reinforced Concrete</v>
      </c>
      <c r="D552" s="3">
        <v>5</v>
      </c>
      <c r="E552" s="4">
        <v>20934596</v>
      </c>
      <c r="F552" s="3">
        <f t="shared" si="34"/>
        <v>0</v>
      </c>
      <c r="G552" s="30">
        <f>IF(F552=0, 0, INDEX(tbl_Vulnerability[[0 ft]:[10 ft]], MATCH(Simulation!C552, tbl_Vulnerability[Construction_Class], 0), MATCH(Simulation!F552,{0,1,2,3,5,8,10}, 1)))</f>
        <v>0</v>
      </c>
      <c r="H552" s="4">
        <f t="shared" si="35"/>
        <v>0</v>
      </c>
      <c r="I552" s="33">
        <f t="shared" si="36"/>
        <v>1046729.8</v>
      </c>
      <c r="J552" s="33">
        <f t="shared" si="37"/>
        <v>0</v>
      </c>
    </row>
    <row r="553" spans="1:10">
      <c r="A553" s="3">
        <v>10000544</v>
      </c>
      <c r="B553" s="3" t="str">
        <v>Jalpaiguri</v>
      </c>
      <c r="C553" s="3" t="str">
        <v>Reinforced Concrete</v>
      </c>
      <c r="D553" s="3">
        <v>5</v>
      </c>
      <c r="E553" s="4">
        <v>47194178</v>
      </c>
      <c r="F553" s="3">
        <f t="shared" si="34"/>
        <v>0</v>
      </c>
      <c r="G553" s="30">
        <f>IF(F553=0, 0, INDEX(tbl_Vulnerability[[0 ft]:[10 ft]], MATCH(Simulation!C553, tbl_Vulnerability[Construction_Class], 0), MATCH(Simulation!F553,{0,1,2,3,5,8,10}, 1)))</f>
        <v>0</v>
      </c>
      <c r="H553" s="4">
        <f t="shared" si="35"/>
        <v>0</v>
      </c>
      <c r="I553" s="33">
        <f t="shared" si="36"/>
        <v>2359708.9</v>
      </c>
      <c r="J553" s="33">
        <f t="shared" si="37"/>
        <v>0</v>
      </c>
    </row>
    <row r="554" spans="1:10">
      <c r="A554" s="3">
        <v>10000545</v>
      </c>
      <c r="B554" s="3" t="str">
        <v>Malda</v>
      </c>
      <c r="C554" s="3" t="str">
        <v>Reinforced Concrete</v>
      </c>
      <c r="D554" s="3">
        <v>3</v>
      </c>
      <c r="E554" s="4">
        <v>5075313</v>
      </c>
      <c r="F554" s="3">
        <f t="shared" si="34"/>
        <v>7</v>
      </c>
      <c r="G554" s="30">
        <f>IF(F554=0, 0, INDEX(tbl_Vulnerability[[0 ft]:[10 ft]], MATCH(Simulation!C554, tbl_Vulnerability[Construction_Class], 0), MATCH(Simulation!F554,{0,1,2,3,5,8,10}, 1)))</f>
        <v>0.2</v>
      </c>
      <c r="H554" s="4">
        <f t="shared" si="35"/>
        <v>1015062.6000000001</v>
      </c>
      <c r="I554" s="33">
        <f t="shared" si="36"/>
        <v>253765.65000000002</v>
      </c>
      <c r="J554" s="33">
        <f t="shared" si="37"/>
        <v>761296.95000000007</v>
      </c>
    </row>
    <row r="555" spans="1:10">
      <c r="A555" s="3">
        <v>10000546</v>
      </c>
      <c r="B555" s="3" t="str">
        <v>Malda</v>
      </c>
      <c r="C555" s="3" t="str">
        <v>Unreinforced Masonry</v>
      </c>
      <c r="D555" s="3">
        <v>1</v>
      </c>
      <c r="E555" s="4">
        <v>22108833</v>
      </c>
      <c r="F555" s="3">
        <f t="shared" si="34"/>
        <v>9</v>
      </c>
      <c r="G555" s="30">
        <f>IF(F555=0, 0, INDEX(tbl_Vulnerability[[0 ft]:[10 ft]], MATCH(Simulation!C555, tbl_Vulnerability[Construction_Class], 0), MATCH(Simulation!F555,{0,1,2,3,5,8,10}, 1)))</f>
        <v>0.9</v>
      </c>
      <c r="H555" s="4">
        <f t="shared" si="35"/>
        <v>19897949.699999999</v>
      </c>
      <c r="I555" s="33">
        <f t="shared" si="36"/>
        <v>1105441.6500000001</v>
      </c>
      <c r="J555" s="33">
        <f t="shared" si="37"/>
        <v>18792508.050000001</v>
      </c>
    </row>
    <row r="556" spans="1:10">
      <c r="A556" s="3">
        <v>10000547</v>
      </c>
      <c r="B556" s="3" t="str">
        <v>Hooghly</v>
      </c>
      <c r="C556" s="3" t="str">
        <v>Reinforced Concrete</v>
      </c>
      <c r="D556" s="3">
        <v>5</v>
      </c>
      <c r="E556" s="4">
        <v>61040296</v>
      </c>
      <c r="F556" s="3">
        <f t="shared" si="34"/>
        <v>0</v>
      </c>
      <c r="G556" s="30">
        <f>IF(F556=0, 0, INDEX(tbl_Vulnerability[[0 ft]:[10 ft]], MATCH(Simulation!C556, tbl_Vulnerability[Construction_Class], 0), MATCH(Simulation!F556,{0,1,2,3,5,8,10}, 1)))</f>
        <v>0</v>
      </c>
      <c r="H556" s="4">
        <f t="shared" si="35"/>
        <v>0</v>
      </c>
      <c r="I556" s="33">
        <f t="shared" si="36"/>
        <v>3052014.8000000003</v>
      </c>
      <c r="J556" s="33">
        <f t="shared" si="37"/>
        <v>0</v>
      </c>
    </row>
    <row r="557" spans="1:10">
      <c r="A557" s="3">
        <v>10000548</v>
      </c>
      <c r="B557" s="3" t="str">
        <v>Kolkata</v>
      </c>
      <c r="C557" s="3" t="str">
        <v>Adobe / Light Timber</v>
      </c>
      <c r="D557" s="3">
        <v>2</v>
      </c>
      <c r="E557" s="4">
        <v>571994</v>
      </c>
      <c r="F557" s="3">
        <f t="shared" si="34"/>
        <v>0</v>
      </c>
      <c r="G557" s="30">
        <f>IF(F557=0, 0, INDEX(tbl_Vulnerability[[0 ft]:[10 ft]], MATCH(Simulation!C557, tbl_Vulnerability[Construction_Class], 0), MATCH(Simulation!F557,{0,1,2,3,5,8,10}, 1)))</f>
        <v>0</v>
      </c>
      <c r="H557" s="4">
        <f t="shared" si="35"/>
        <v>0</v>
      </c>
      <c r="I557" s="33">
        <f t="shared" si="36"/>
        <v>28599.7</v>
      </c>
      <c r="J557" s="33">
        <f t="shared" si="37"/>
        <v>0</v>
      </c>
    </row>
    <row r="558" spans="1:10">
      <c r="A558" s="3">
        <v>10000549</v>
      </c>
      <c r="B558" s="3" t="str">
        <v>Jalpaiguri</v>
      </c>
      <c r="C558" s="3" t="str">
        <v>Reinforced Concrete</v>
      </c>
      <c r="D558" s="3">
        <v>3</v>
      </c>
      <c r="E558" s="4">
        <v>43569573</v>
      </c>
      <c r="F558" s="3">
        <f t="shared" si="34"/>
        <v>0</v>
      </c>
      <c r="G558" s="30">
        <f>IF(F558=0, 0, INDEX(tbl_Vulnerability[[0 ft]:[10 ft]], MATCH(Simulation!C558, tbl_Vulnerability[Construction_Class], 0), MATCH(Simulation!F558,{0,1,2,3,5,8,10}, 1)))</f>
        <v>0</v>
      </c>
      <c r="H558" s="4">
        <f t="shared" si="35"/>
        <v>0</v>
      </c>
      <c r="I558" s="33">
        <f t="shared" si="36"/>
        <v>2178478.65</v>
      </c>
      <c r="J558" s="33">
        <f t="shared" si="37"/>
        <v>0</v>
      </c>
    </row>
    <row r="559" spans="1:10">
      <c r="A559" s="3">
        <v>10000550</v>
      </c>
      <c r="B559" s="3" t="str">
        <v>South 24 Parganas</v>
      </c>
      <c r="C559" s="3" t="str">
        <v>Reinforced Concrete</v>
      </c>
      <c r="D559" s="3">
        <v>4</v>
      </c>
      <c r="E559" s="4">
        <v>60750646</v>
      </c>
      <c r="F559" s="3">
        <f t="shared" si="34"/>
        <v>0</v>
      </c>
      <c r="G559" s="30">
        <f>IF(F559=0, 0, INDEX(tbl_Vulnerability[[0 ft]:[10 ft]], MATCH(Simulation!C559, tbl_Vulnerability[Construction_Class], 0), MATCH(Simulation!F559,{0,1,2,3,5,8,10}, 1)))</f>
        <v>0</v>
      </c>
      <c r="H559" s="4">
        <f t="shared" si="35"/>
        <v>0</v>
      </c>
      <c r="I559" s="33">
        <f t="shared" si="36"/>
        <v>3037532.3000000003</v>
      </c>
      <c r="J559" s="33">
        <f t="shared" si="37"/>
        <v>0</v>
      </c>
    </row>
    <row r="560" spans="1:10">
      <c r="A560" s="3">
        <v>10000551</v>
      </c>
      <c r="B560" s="3" t="str">
        <v>Kolkata</v>
      </c>
      <c r="C560" s="3" t="str">
        <v>Unreinforced Masonry</v>
      </c>
      <c r="D560" s="3">
        <v>0</v>
      </c>
      <c r="E560" s="4">
        <v>2571649</v>
      </c>
      <c r="F560" s="3">
        <f t="shared" si="34"/>
        <v>0</v>
      </c>
      <c r="G560" s="30">
        <f>IF(F560=0, 0, INDEX(tbl_Vulnerability[[0 ft]:[10 ft]], MATCH(Simulation!C560, tbl_Vulnerability[Construction_Class], 0), MATCH(Simulation!F560,{0,1,2,3,5,8,10}, 1)))</f>
        <v>0</v>
      </c>
      <c r="H560" s="4">
        <f t="shared" si="35"/>
        <v>0</v>
      </c>
      <c r="I560" s="33">
        <f t="shared" si="36"/>
        <v>128582.45000000001</v>
      </c>
      <c r="J560" s="33">
        <f t="shared" si="37"/>
        <v>0</v>
      </c>
    </row>
    <row r="561" spans="1:10">
      <c r="A561" s="3">
        <v>10000552</v>
      </c>
      <c r="B561" s="3" t="str">
        <v>Malda</v>
      </c>
      <c r="C561" s="3" t="str">
        <v>Reinforced Concrete</v>
      </c>
      <c r="D561" s="3">
        <v>5</v>
      </c>
      <c r="E561" s="4">
        <v>52099902</v>
      </c>
      <c r="F561" s="3">
        <f t="shared" si="34"/>
        <v>5</v>
      </c>
      <c r="G561" s="30">
        <f>IF(F561=0, 0, INDEX(tbl_Vulnerability[[0 ft]:[10 ft]], MATCH(Simulation!C561, tbl_Vulnerability[Construction_Class], 0), MATCH(Simulation!F561,{0,1,2,3,5,8,10}, 1)))</f>
        <v>0.2</v>
      </c>
      <c r="H561" s="4">
        <f t="shared" si="35"/>
        <v>10419980.4</v>
      </c>
      <c r="I561" s="33">
        <f t="shared" si="36"/>
        <v>2604995.1</v>
      </c>
      <c r="J561" s="33">
        <f t="shared" si="37"/>
        <v>7814985.3000000007</v>
      </c>
    </row>
    <row r="562" spans="1:10">
      <c r="A562" s="3">
        <v>10000553</v>
      </c>
      <c r="B562" s="3" t="str">
        <v>Hooghly</v>
      </c>
      <c r="C562" s="3" t="str">
        <v>Reinforced Concrete</v>
      </c>
      <c r="D562" s="3">
        <v>3</v>
      </c>
      <c r="E562" s="4">
        <v>42891428</v>
      </c>
      <c r="F562" s="3">
        <f t="shared" si="34"/>
        <v>0</v>
      </c>
      <c r="G562" s="30">
        <f>IF(F562=0, 0, INDEX(tbl_Vulnerability[[0 ft]:[10 ft]], MATCH(Simulation!C562, tbl_Vulnerability[Construction_Class], 0), MATCH(Simulation!F562,{0,1,2,3,5,8,10}, 1)))</f>
        <v>0</v>
      </c>
      <c r="H562" s="4">
        <f t="shared" si="35"/>
        <v>0</v>
      </c>
      <c r="I562" s="33">
        <f t="shared" si="36"/>
        <v>2144571.4</v>
      </c>
      <c r="J562" s="33">
        <f t="shared" si="37"/>
        <v>0</v>
      </c>
    </row>
    <row r="563" spans="1:10">
      <c r="A563" s="3">
        <v>10000554</v>
      </c>
      <c r="B563" s="3" t="str">
        <v>Paschim Medinipur</v>
      </c>
      <c r="C563" s="3" t="str">
        <v>Unreinforced Masonry</v>
      </c>
      <c r="D563" s="3">
        <v>2</v>
      </c>
      <c r="E563" s="4">
        <v>9425853</v>
      </c>
      <c r="F563" s="3">
        <f t="shared" si="34"/>
        <v>0</v>
      </c>
      <c r="G563" s="30">
        <f>IF(F563=0, 0, INDEX(tbl_Vulnerability[[0 ft]:[10 ft]], MATCH(Simulation!C563, tbl_Vulnerability[Construction_Class], 0), MATCH(Simulation!F563,{0,1,2,3,5,8,10}, 1)))</f>
        <v>0</v>
      </c>
      <c r="H563" s="4">
        <f t="shared" si="35"/>
        <v>0</v>
      </c>
      <c r="I563" s="33">
        <f t="shared" si="36"/>
        <v>471292.65</v>
      </c>
      <c r="J563" s="33">
        <f t="shared" si="37"/>
        <v>0</v>
      </c>
    </row>
    <row r="564" spans="1:10">
      <c r="A564" s="3">
        <v>10000555</v>
      </c>
      <c r="B564" s="3" t="str">
        <v>Paschim Medinipur</v>
      </c>
      <c r="C564" s="3" t="str">
        <v>Unreinforced Masonry</v>
      </c>
      <c r="D564" s="3">
        <v>2</v>
      </c>
      <c r="E564" s="4">
        <v>3379657</v>
      </c>
      <c r="F564" s="3">
        <f t="shared" si="34"/>
        <v>0</v>
      </c>
      <c r="G564" s="30">
        <f>IF(F564=0, 0, INDEX(tbl_Vulnerability[[0 ft]:[10 ft]], MATCH(Simulation!C564, tbl_Vulnerability[Construction_Class], 0), MATCH(Simulation!F564,{0,1,2,3,5,8,10}, 1)))</f>
        <v>0</v>
      </c>
      <c r="H564" s="4">
        <f t="shared" si="35"/>
        <v>0</v>
      </c>
      <c r="I564" s="33">
        <f t="shared" si="36"/>
        <v>168982.85</v>
      </c>
      <c r="J564" s="33">
        <f t="shared" si="37"/>
        <v>0</v>
      </c>
    </row>
    <row r="565" spans="1:10">
      <c r="A565" s="3">
        <v>10000556</v>
      </c>
      <c r="B565" s="3" t="str">
        <v>South 24 Parganas</v>
      </c>
      <c r="C565" s="3" t="str">
        <v>Reinforced Concrete</v>
      </c>
      <c r="D565" s="3">
        <v>3</v>
      </c>
      <c r="E565" s="4">
        <v>27447804</v>
      </c>
      <c r="F565" s="3">
        <f t="shared" si="34"/>
        <v>0</v>
      </c>
      <c r="G565" s="30">
        <f>IF(F565=0, 0, INDEX(tbl_Vulnerability[[0 ft]:[10 ft]], MATCH(Simulation!C565, tbl_Vulnerability[Construction_Class], 0), MATCH(Simulation!F565,{0,1,2,3,5,8,10}, 1)))</f>
        <v>0</v>
      </c>
      <c r="H565" s="4">
        <f t="shared" si="35"/>
        <v>0</v>
      </c>
      <c r="I565" s="33">
        <f t="shared" si="36"/>
        <v>1372390.2000000002</v>
      </c>
      <c r="J565" s="33">
        <f t="shared" si="37"/>
        <v>0</v>
      </c>
    </row>
    <row r="566" spans="1:10">
      <c r="A566" s="3">
        <v>10000557</v>
      </c>
      <c r="B566" s="3" t="str">
        <v>South 24 Parganas</v>
      </c>
      <c r="C566" s="3" t="str">
        <v>Unreinforced Masonry</v>
      </c>
      <c r="D566" s="3">
        <v>0</v>
      </c>
      <c r="E566" s="4">
        <v>3317164</v>
      </c>
      <c r="F566" s="3">
        <f t="shared" si="34"/>
        <v>0</v>
      </c>
      <c r="G566" s="30">
        <f>IF(F566=0, 0, INDEX(tbl_Vulnerability[[0 ft]:[10 ft]], MATCH(Simulation!C566, tbl_Vulnerability[Construction_Class], 0), MATCH(Simulation!F566,{0,1,2,3,5,8,10}, 1)))</f>
        <v>0</v>
      </c>
      <c r="H566" s="4">
        <f t="shared" si="35"/>
        <v>0</v>
      </c>
      <c r="I566" s="33">
        <f t="shared" si="36"/>
        <v>165858.20000000001</v>
      </c>
      <c r="J566" s="33">
        <f t="shared" si="37"/>
        <v>0</v>
      </c>
    </row>
    <row r="567" spans="1:10">
      <c r="A567" s="3">
        <v>10000558</v>
      </c>
      <c r="B567" s="3" t="str">
        <v>South 24 Parganas</v>
      </c>
      <c r="C567" s="3" t="str">
        <v>Reinforced Concrete</v>
      </c>
      <c r="D567" s="3">
        <v>5</v>
      </c>
      <c r="E567" s="4">
        <v>37059982</v>
      </c>
      <c r="F567" s="3">
        <f t="shared" si="34"/>
        <v>0</v>
      </c>
      <c r="G567" s="30">
        <f>IF(F567=0, 0, INDEX(tbl_Vulnerability[[0 ft]:[10 ft]], MATCH(Simulation!C567, tbl_Vulnerability[Construction_Class], 0), MATCH(Simulation!F567,{0,1,2,3,5,8,10}, 1)))</f>
        <v>0</v>
      </c>
      <c r="H567" s="4">
        <f t="shared" si="35"/>
        <v>0</v>
      </c>
      <c r="I567" s="33">
        <f t="shared" si="36"/>
        <v>1852999.1</v>
      </c>
      <c r="J567" s="33">
        <f t="shared" si="37"/>
        <v>0</v>
      </c>
    </row>
    <row r="568" spans="1:10">
      <c r="A568" s="3">
        <v>10000559</v>
      </c>
      <c r="B568" s="3" t="str">
        <v>South 24 Parganas</v>
      </c>
      <c r="C568" s="3" t="str">
        <v>Unreinforced Masonry</v>
      </c>
      <c r="D568" s="3">
        <v>1</v>
      </c>
      <c r="E568" s="4">
        <v>17801183</v>
      </c>
      <c r="F568" s="3">
        <f t="shared" si="34"/>
        <v>0</v>
      </c>
      <c r="G568" s="30">
        <f>IF(F568=0, 0, INDEX(tbl_Vulnerability[[0 ft]:[10 ft]], MATCH(Simulation!C568, tbl_Vulnerability[Construction_Class], 0), MATCH(Simulation!F568,{0,1,2,3,5,8,10}, 1)))</f>
        <v>0</v>
      </c>
      <c r="H568" s="4">
        <f t="shared" si="35"/>
        <v>0</v>
      </c>
      <c r="I568" s="33">
        <f t="shared" si="36"/>
        <v>890059.15</v>
      </c>
      <c r="J568" s="33">
        <f t="shared" si="37"/>
        <v>0</v>
      </c>
    </row>
    <row r="569" spans="1:10">
      <c r="A569" s="3">
        <v>10000560</v>
      </c>
      <c r="B569" s="3" t="str">
        <v>Hooghly</v>
      </c>
      <c r="C569" s="3" t="str">
        <v>Reinforced Concrete</v>
      </c>
      <c r="D569" s="3">
        <v>4</v>
      </c>
      <c r="E569" s="4">
        <v>4008183</v>
      </c>
      <c r="F569" s="3">
        <f t="shared" si="34"/>
        <v>0</v>
      </c>
      <c r="G569" s="30">
        <f>IF(F569=0, 0, INDEX(tbl_Vulnerability[[0 ft]:[10 ft]], MATCH(Simulation!C569, tbl_Vulnerability[Construction_Class], 0), MATCH(Simulation!F569,{0,1,2,3,5,8,10}, 1)))</f>
        <v>0</v>
      </c>
      <c r="H569" s="4">
        <f t="shared" si="35"/>
        <v>0</v>
      </c>
      <c r="I569" s="33">
        <f t="shared" si="36"/>
        <v>200409.15000000002</v>
      </c>
      <c r="J569" s="33">
        <f t="shared" si="37"/>
        <v>0</v>
      </c>
    </row>
    <row r="570" spans="1:10">
      <c r="A570" s="3">
        <v>10000561</v>
      </c>
      <c r="B570" s="3" t="str">
        <v>Paschim Medinipur</v>
      </c>
      <c r="C570" s="3" t="str">
        <v>Unreinforced Masonry</v>
      </c>
      <c r="D570" s="3">
        <v>2</v>
      </c>
      <c r="E570" s="4">
        <v>5687575</v>
      </c>
      <c r="F570" s="3">
        <f t="shared" si="34"/>
        <v>0</v>
      </c>
      <c r="G570" s="30">
        <f>IF(F570=0, 0, INDEX(tbl_Vulnerability[[0 ft]:[10 ft]], MATCH(Simulation!C570, tbl_Vulnerability[Construction_Class], 0), MATCH(Simulation!F570,{0,1,2,3,5,8,10}, 1)))</f>
        <v>0</v>
      </c>
      <c r="H570" s="4">
        <f t="shared" si="35"/>
        <v>0</v>
      </c>
      <c r="I570" s="33">
        <f t="shared" si="36"/>
        <v>284378.75</v>
      </c>
      <c r="J570" s="33">
        <f t="shared" si="37"/>
        <v>0</v>
      </c>
    </row>
    <row r="571" spans="1:10">
      <c r="A571" s="3">
        <v>10000562</v>
      </c>
      <c r="B571" s="3" t="str">
        <v>South 24 Parganas</v>
      </c>
      <c r="C571" s="3" t="str">
        <v>Reinforced Concrete</v>
      </c>
      <c r="D571" s="3">
        <v>5</v>
      </c>
      <c r="E571" s="4">
        <v>4001917</v>
      </c>
      <c r="F571" s="3">
        <f t="shared" si="34"/>
        <v>0</v>
      </c>
      <c r="G571" s="30">
        <f>IF(F571=0, 0, INDEX(tbl_Vulnerability[[0 ft]:[10 ft]], MATCH(Simulation!C571, tbl_Vulnerability[Construction_Class], 0), MATCH(Simulation!F571,{0,1,2,3,5,8,10}, 1)))</f>
        <v>0</v>
      </c>
      <c r="H571" s="4">
        <f t="shared" si="35"/>
        <v>0</v>
      </c>
      <c r="I571" s="33">
        <f t="shared" si="36"/>
        <v>200095.85</v>
      </c>
      <c r="J571" s="33">
        <f t="shared" si="37"/>
        <v>0</v>
      </c>
    </row>
    <row r="572" spans="1:10">
      <c r="A572" s="3">
        <v>10000563</v>
      </c>
      <c r="B572" s="3" t="str">
        <v>Malda</v>
      </c>
      <c r="C572" s="3" t="str">
        <v>Unreinforced Masonry</v>
      </c>
      <c r="D572" s="3">
        <v>1</v>
      </c>
      <c r="E572" s="4">
        <v>20941036</v>
      </c>
      <c r="F572" s="3">
        <f t="shared" si="34"/>
        <v>9</v>
      </c>
      <c r="G572" s="30">
        <f>IF(F572=0, 0, INDEX(tbl_Vulnerability[[0 ft]:[10 ft]], MATCH(Simulation!C572, tbl_Vulnerability[Construction_Class], 0), MATCH(Simulation!F572,{0,1,2,3,5,8,10}, 1)))</f>
        <v>0.9</v>
      </c>
      <c r="H572" s="4">
        <f t="shared" si="35"/>
        <v>18846932.400000002</v>
      </c>
      <c r="I572" s="33">
        <f t="shared" si="36"/>
        <v>1047051.8</v>
      </c>
      <c r="J572" s="33">
        <f t="shared" si="37"/>
        <v>17799880.600000001</v>
      </c>
    </row>
    <row r="573" spans="1:10">
      <c r="A573" s="3">
        <v>10000564</v>
      </c>
      <c r="B573" s="3" t="str">
        <v>Hooghly</v>
      </c>
      <c r="C573" s="3" t="str">
        <v>Adobe / Light Timber</v>
      </c>
      <c r="D573" s="3">
        <v>0</v>
      </c>
      <c r="E573" s="4">
        <v>607229</v>
      </c>
      <c r="F573" s="3">
        <f t="shared" si="34"/>
        <v>0</v>
      </c>
      <c r="G573" s="30">
        <f>IF(F573=0, 0, INDEX(tbl_Vulnerability[[0 ft]:[10 ft]], MATCH(Simulation!C573, tbl_Vulnerability[Construction_Class], 0), MATCH(Simulation!F573,{0,1,2,3,5,8,10}, 1)))</f>
        <v>0</v>
      </c>
      <c r="H573" s="4">
        <f t="shared" si="35"/>
        <v>0</v>
      </c>
      <c r="I573" s="33">
        <f t="shared" si="36"/>
        <v>30361.45</v>
      </c>
      <c r="J573" s="33">
        <f t="shared" si="37"/>
        <v>0</v>
      </c>
    </row>
    <row r="574" spans="1:10">
      <c r="A574" s="3">
        <v>10000565</v>
      </c>
      <c r="B574" s="3" t="str">
        <v>Malda</v>
      </c>
      <c r="C574" s="3" t="str">
        <v>Reinforced Concrete</v>
      </c>
      <c r="D574" s="3">
        <v>3</v>
      </c>
      <c r="E574" s="4">
        <v>37728754</v>
      </c>
      <c r="F574" s="3">
        <f t="shared" si="34"/>
        <v>7</v>
      </c>
      <c r="G574" s="30">
        <f>IF(F574=0, 0, INDEX(tbl_Vulnerability[[0 ft]:[10 ft]], MATCH(Simulation!C574, tbl_Vulnerability[Construction_Class], 0), MATCH(Simulation!F574,{0,1,2,3,5,8,10}, 1)))</f>
        <v>0.2</v>
      </c>
      <c r="H574" s="4">
        <f t="shared" si="35"/>
        <v>7545750.8000000007</v>
      </c>
      <c r="I574" s="33">
        <f t="shared" si="36"/>
        <v>1886437.7000000002</v>
      </c>
      <c r="J574" s="33">
        <f t="shared" si="37"/>
        <v>5659313.1000000006</v>
      </c>
    </row>
    <row r="575" spans="1:10">
      <c r="A575" s="3">
        <v>10000566</v>
      </c>
      <c r="B575" s="3" t="str">
        <v>Jalpaiguri</v>
      </c>
      <c r="C575" s="3" t="str">
        <v>Reinforced Concrete</v>
      </c>
      <c r="D575" s="3">
        <v>5</v>
      </c>
      <c r="E575" s="4">
        <v>2383715</v>
      </c>
      <c r="F575" s="3">
        <f t="shared" si="34"/>
        <v>0</v>
      </c>
      <c r="G575" s="30">
        <f>IF(F575=0, 0, INDEX(tbl_Vulnerability[[0 ft]:[10 ft]], MATCH(Simulation!C575, tbl_Vulnerability[Construction_Class], 0), MATCH(Simulation!F575,{0,1,2,3,5,8,10}, 1)))</f>
        <v>0</v>
      </c>
      <c r="H575" s="4">
        <f t="shared" si="35"/>
        <v>0</v>
      </c>
      <c r="I575" s="33">
        <f t="shared" si="36"/>
        <v>119185.75</v>
      </c>
      <c r="J575" s="33">
        <f t="shared" si="37"/>
        <v>0</v>
      </c>
    </row>
    <row r="576" spans="1:10">
      <c r="A576" s="3">
        <v>10000567</v>
      </c>
      <c r="B576" s="3" t="str">
        <v>Kolkata</v>
      </c>
      <c r="C576" s="3" t="str">
        <v>Adobe / Light Timber</v>
      </c>
      <c r="D576" s="3">
        <v>0</v>
      </c>
      <c r="E576" s="4">
        <v>454055</v>
      </c>
      <c r="F576" s="3">
        <f t="shared" si="34"/>
        <v>0</v>
      </c>
      <c r="G576" s="30">
        <f>IF(F576=0, 0, INDEX(tbl_Vulnerability[[0 ft]:[10 ft]], MATCH(Simulation!C576, tbl_Vulnerability[Construction_Class], 0), MATCH(Simulation!F576,{0,1,2,3,5,8,10}, 1)))</f>
        <v>0</v>
      </c>
      <c r="H576" s="4">
        <f t="shared" si="35"/>
        <v>0</v>
      </c>
      <c r="I576" s="33">
        <f t="shared" si="36"/>
        <v>22702.75</v>
      </c>
      <c r="J576" s="33">
        <f t="shared" si="37"/>
        <v>0</v>
      </c>
    </row>
    <row r="577" spans="1:10">
      <c r="A577" s="3">
        <v>10000568</v>
      </c>
      <c r="B577" s="3" t="str">
        <v>Kolkata</v>
      </c>
      <c r="C577" s="3" t="str">
        <v>Reinforced Concrete</v>
      </c>
      <c r="D577" s="3">
        <v>4</v>
      </c>
      <c r="E577" s="4">
        <v>39967056</v>
      </c>
      <c r="F577" s="3">
        <f t="shared" si="34"/>
        <v>0</v>
      </c>
      <c r="G577" s="30">
        <f>IF(F577=0, 0, INDEX(tbl_Vulnerability[[0 ft]:[10 ft]], MATCH(Simulation!C577, tbl_Vulnerability[Construction_Class], 0), MATCH(Simulation!F577,{0,1,2,3,5,8,10}, 1)))</f>
        <v>0</v>
      </c>
      <c r="H577" s="4">
        <f t="shared" si="35"/>
        <v>0</v>
      </c>
      <c r="I577" s="33">
        <f t="shared" si="36"/>
        <v>1998352.8</v>
      </c>
      <c r="J577" s="33">
        <f t="shared" si="37"/>
        <v>0</v>
      </c>
    </row>
    <row r="578" spans="1:10">
      <c r="A578" s="3">
        <v>10000569</v>
      </c>
      <c r="B578" s="3" t="str">
        <v>Kolkata</v>
      </c>
      <c r="C578" s="3" t="str">
        <v>Adobe / Light Timber</v>
      </c>
      <c r="D578" s="3">
        <v>1</v>
      </c>
      <c r="E578" s="4">
        <v>423374</v>
      </c>
      <c r="F578" s="3">
        <f t="shared" si="34"/>
        <v>0</v>
      </c>
      <c r="G578" s="30">
        <f>IF(F578=0, 0, INDEX(tbl_Vulnerability[[0 ft]:[10 ft]], MATCH(Simulation!C578, tbl_Vulnerability[Construction_Class], 0), MATCH(Simulation!F578,{0,1,2,3,5,8,10}, 1)))</f>
        <v>0</v>
      </c>
      <c r="H578" s="4">
        <f t="shared" si="35"/>
        <v>0</v>
      </c>
      <c r="I578" s="33">
        <f t="shared" si="36"/>
        <v>21168.7</v>
      </c>
      <c r="J578" s="33">
        <f t="shared" si="37"/>
        <v>0</v>
      </c>
    </row>
    <row r="579" spans="1:10">
      <c r="A579" s="3">
        <v>10000570</v>
      </c>
      <c r="B579" s="3" t="str">
        <v>South 24 Parganas</v>
      </c>
      <c r="C579" s="3" t="str">
        <v>Unreinforced Masonry</v>
      </c>
      <c r="D579" s="3">
        <v>0</v>
      </c>
      <c r="E579" s="4">
        <v>2269711</v>
      </c>
      <c r="F579" s="3">
        <f t="shared" si="34"/>
        <v>0</v>
      </c>
      <c r="G579" s="30">
        <f>IF(F579=0, 0, INDEX(tbl_Vulnerability[[0 ft]:[10 ft]], MATCH(Simulation!C579, tbl_Vulnerability[Construction_Class], 0), MATCH(Simulation!F579,{0,1,2,3,5,8,10}, 1)))</f>
        <v>0</v>
      </c>
      <c r="H579" s="4">
        <f t="shared" si="35"/>
        <v>0</v>
      </c>
      <c r="I579" s="33">
        <f t="shared" si="36"/>
        <v>113485.55</v>
      </c>
      <c r="J579" s="33">
        <f t="shared" si="37"/>
        <v>0</v>
      </c>
    </row>
    <row r="580" spans="1:10">
      <c r="A580" s="3">
        <v>10000571</v>
      </c>
      <c r="B580" s="3" t="str">
        <v>Kolkata</v>
      </c>
      <c r="C580" s="3" t="str">
        <v>Reinforced Concrete</v>
      </c>
      <c r="D580" s="3">
        <v>5</v>
      </c>
      <c r="E580" s="4">
        <v>22208880</v>
      </c>
      <c r="F580" s="3">
        <f t="shared" si="34"/>
        <v>0</v>
      </c>
      <c r="G580" s="30">
        <f>IF(F580=0, 0, INDEX(tbl_Vulnerability[[0 ft]:[10 ft]], MATCH(Simulation!C580, tbl_Vulnerability[Construction_Class], 0), MATCH(Simulation!F580,{0,1,2,3,5,8,10}, 1)))</f>
        <v>0</v>
      </c>
      <c r="H580" s="4">
        <f t="shared" si="35"/>
        <v>0</v>
      </c>
      <c r="I580" s="33">
        <f t="shared" si="36"/>
        <v>1110444</v>
      </c>
      <c r="J580" s="33">
        <f t="shared" si="37"/>
        <v>0</v>
      </c>
    </row>
    <row r="581" spans="1:10">
      <c r="A581" s="3">
        <v>10000572</v>
      </c>
      <c r="B581" s="3" t="str">
        <v>Hooghly</v>
      </c>
      <c r="C581" s="3" t="str">
        <v>Reinforced Concrete</v>
      </c>
      <c r="D581" s="3">
        <v>5</v>
      </c>
      <c r="E581" s="4">
        <v>29739983</v>
      </c>
      <c r="F581" s="3">
        <f t="shared" si="34"/>
        <v>0</v>
      </c>
      <c r="G581" s="30">
        <f>IF(F581=0, 0, INDEX(tbl_Vulnerability[[0 ft]:[10 ft]], MATCH(Simulation!C581, tbl_Vulnerability[Construction_Class], 0), MATCH(Simulation!F581,{0,1,2,3,5,8,10}, 1)))</f>
        <v>0</v>
      </c>
      <c r="H581" s="4">
        <f t="shared" si="35"/>
        <v>0</v>
      </c>
      <c r="I581" s="33">
        <f t="shared" si="36"/>
        <v>1486999.1500000001</v>
      </c>
      <c r="J581" s="33">
        <f t="shared" si="37"/>
        <v>0</v>
      </c>
    </row>
    <row r="582" spans="1:10">
      <c r="A582" s="3">
        <v>10000573</v>
      </c>
      <c r="B582" s="3" t="str">
        <v>Malda</v>
      </c>
      <c r="C582" s="3" t="str">
        <v>Reinforced Concrete</v>
      </c>
      <c r="D582" s="3">
        <v>4</v>
      </c>
      <c r="E582" s="4">
        <v>39753824</v>
      </c>
      <c r="F582" s="3">
        <f t="shared" si="34"/>
        <v>6</v>
      </c>
      <c r="G582" s="30">
        <f>IF(F582=0, 0, INDEX(tbl_Vulnerability[[0 ft]:[10 ft]], MATCH(Simulation!C582, tbl_Vulnerability[Construction_Class], 0), MATCH(Simulation!F582,{0,1,2,3,5,8,10}, 1)))</f>
        <v>0.2</v>
      </c>
      <c r="H582" s="4">
        <f t="shared" si="35"/>
        <v>7950764.8000000007</v>
      </c>
      <c r="I582" s="33">
        <f t="shared" si="36"/>
        <v>1987691.2000000002</v>
      </c>
      <c r="J582" s="33">
        <f t="shared" si="37"/>
        <v>5963073.6000000006</v>
      </c>
    </row>
    <row r="583" spans="1:10">
      <c r="A583" s="3">
        <v>10000574</v>
      </c>
      <c r="B583" s="3" t="str">
        <v>Malda</v>
      </c>
      <c r="C583" s="3" t="str">
        <v>Reinforced Concrete</v>
      </c>
      <c r="D583" s="3">
        <v>5</v>
      </c>
      <c r="E583" s="4">
        <v>58597980</v>
      </c>
      <c r="F583" s="3">
        <f t="shared" si="34"/>
        <v>5</v>
      </c>
      <c r="G583" s="30">
        <f>IF(F583=0, 0, INDEX(tbl_Vulnerability[[0 ft]:[10 ft]], MATCH(Simulation!C583, tbl_Vulnerability[Construction_Class], 0), MATCH(Simulation!F583,{0,1,2,3,5,8,10}, 1)))</f>
        <v>0.2</v>
      </c>
      <c r="H583" s="4">
        <f t="shared" si="35"/>
        <v>11719596</v>
      </c>
      <c r="I583" s="33">
        <f t="shared" si="36"/>
        <v>2929899</v>
      </c>
      <c r="J583" s="33">
        <f t="shared" si="37"/>
        <v>8789697</v>
      </c>
    </row>
    <row r="584" spans="1:10">
      <c r="A584" s="3">
        <v>10000575</v>
      </c>
      <c r="B584" s="3" t="str">
        <v>Malda</v>
      </c>
      <c r="C584" s="3" t="str">
        <v>Reinforced Concrete</v>
      </c>
      <c r="D584" s="3">
        <v>4</v>
      </c>
      <c r="E584" s="4">
        <v>46817692</v>
      </c>
      <c r="F584" s="3">
        <f t="shared" si="34"/>
        <v>6</v>
      </c>
      <c r="G584" s="30">
        <f>IF(F584=0, 0, INDEX(tbl_Vulnerability[[0 ft]:[10 ft]], MATCH(Simulation!C584, tbl_Vulnerability[Construction_Class], 0), MATCH(Simulation!F584,{0,1,2,3,5,8,10}, 1)))</f>
        <v>0.2</v>
      </c>
      <c r="H584" s="4">
        <f t="shared" si="35"/>
        <v>9363538.4000000004</v>
      </c>
      <c r="I584" s="33">
        <f t="shared" si="36"/>
        <v>2340884.6</v>
      </c>
      <c r="J584" s="33">
        <f t="shared" si="37"/>
        <v>7022653.8000000007</v>
      </c>
    </row>
    <row r="585" spans="1:10">
      <c r="A585" s="3">
        <v>10000576</v>
      </c>
      <c r="B585" s="3" t="str">
        <v>South 24 Parganas</v>
      </c>
      <c r="C585" s="3" t="str">
        <v>Reinforced Concrete</v>
      </c>
      <c r="D585" s="3">
        <v>4</v>
      </c>
      <c r="E585" s="4">
        <v>10419639</v>
      </c>
      <c r="F585" s="3">
        <f t="shared" si="34"/>
        <v>0</v>
      </c>
      <c r="G585" s="30">
        <f>IF(F585=0, 0, INDEX(tbl_Vulnerability[[0 ft]:[10 ft]], MATCH(Simulation!C585, tbl_Vulnerability[Construction_Class], 0), MATCH(Simulation!F585,{0,1,2,3,5,8,10}, 1)))</f>
        <v>0</v>
      </c>
      <c r="H585" s="4">
        <f t="shared" si="35"/>
        <v>0</v>
      </c>
      <c r="I585" s="33">
        <f t="shared" si="36"/>
        <v>520981.95</v>
      </c>
      <c r="J585" s="33">
        <f t="shared" si="37"/>
        <v>0</v>
      </c>
    </row>
    <row r="586" spans="1:10">
      <c r="A586" s="3">
        <v>10000577</v>
      </c>
      <c r="B586" s="3" t="str">
        <v>Kolkata</v>
      </c>
      <c r="C586" s="3" t="str">
        <v>Unreinforced Masonry</v>
      </c>
      <c r="D586" s="3">
        <v>2</v>
      </c>
      <c r="E586" s="4">
        <v>20572994</v>
      </c>
      <c r="F586" s="3">
        <f t="shared" si="34"/>
        <v>0</v>
      </c>
      <c r="G586" s="30">
        <f>IF(F586=0, 0, INDEX(tbl_Vulnerability[[0 ft]:[10 ft]], MATCH(Simulation!C586, tbl_Vulnerability[Construction_Class], 0), MATCH(Simulation!F586,{0,1,2,3,5,8,10}, 1)))</f>
        <v>0</v>
      </c>
      <c r="H586" s="4">
        <f t="shared" si="35"/>
        <v>0</v>
      </c>
      <c r="I586" s="33">
        <f t="shared" si="36"/>
        <v>1028649.7000000001</v>
      </c>
      <c r="J586" s="33">
        <f t="shared" si="37"/>
        <v>0</v>
      </c>
    </row>
    <row r="587" spans="1:10">
      <c r="A587" s="3">
        <v>10000578</v>
      </c>
      <c r="B587" s="3" t="str">
        <v>Hooghly</v>
      </c>
      <c r="C587" s="3" t="str">
        <v>Reinforced Concrete</v>
      </c>
      <c r="D587" s="3">
        <v>4</v>
      </c>
      <c r="E587" s="4">
        <v>60429145</v>
      </c>
      <c r="F587" s="3">
        <f t="shared" ref="F587:F650" si="38">IF(B587=$B$2, MAX(0, $B$3 - D587), 0)</f>
        <v>0</v>
      </c>
      <c r="G587" s="30">
        <f>IF(F587=0, 0, INDEX(tbl_Vulnerability[[0 ft]:[10 ft]], MATCH(Simulation!C587, tbl_Vulnerability[Construction_Class], 0), MATCH(Simulation!F587,{0,1,2,3,5,8,10}, 1)))</f>
        <v>0</v>
      </c>
      <c r="H587" s="4">
        <f t="shared" ref="H587:H650" si="39">E587*G587</f>
        <v>0</v>
      </c>
      <c r="I587" s="33">
        <f t="shared" ref="I587:I650" si="40">E587*$B$4</f>
        <v>3021457.25</v>
      </c>
      <c r="J587" s="33">
        <f t="shared" ref="J587:J650" si="41">MAX(0, H587 - I587)</f>
        <v>0</v>
      </c>
    </row>
    <row r="588" spans="1:10">
      <c r="A588" s="3">
        <v>10000579</v>
      </c>
      <c r="B588" s="3" t="str">
        <v>Hooghly</v>
      </c>
      <c r="C588" s="3" t="str">
        <v>Adobe / Light Timber</v>
      </c>
      <c r="D588" s="3">
        <v>2</v>
      </c>
      <c r="E588" s="4">
        <v>509127</v>
      </c>
      <c r="F588" s="3">
        <f t="shared" si="38"/>
        <v>0</v>
      </c>
      <c r="G588" s="30">
        <f>IF(F588=0, 0, INDEX(tbl_Vulnerability[[0 ft]:[10 ft]], MATCH(Simulation!C588, tbl_Vulnerability[Construction_Class], 0), MATCH(Simulation!F588,{0,1,2,3,5,8,10}, 1)))</f>
        <v>0</v>
      </c>
      <c r="H588" s="4">
        <f t="shared" si="39"/>
        <v>0</v>
      </c>
      <c r="I588" s="33">
        <f t="shared" si="40"/>
        <v>25456.350000000002</v>
      </c>
      <c r="J588" s="33">
        <f t="shared" si="41"/>
        <v>0</v>
      </c>
    </row>
    <row r="589" spans="1:10">
      <c r="A589" s="3">
        <v>10000580</v>
      </c>
      <c r="B589" s="3" t="str">
        <v>Paschim Medinipur</v>
      </c>
      <c r="C589" s="3" t="str">
        <v>Reinforced Concrete</v>
      </c>
      <c r="D589" s="3">
        <v>3</v>
      </c>
      <c r="E589" s="4">
        <v>4244401</v>
      </c>
      <c r="F589" s="3">
        <f t="shared" si="38"/>
        <v>0</v>
      </c>
      <c r="G589" s="30">
        <f>IF(F589=0, 0, INDEX(tbl_Vulnerability[[0 ft]:[10 ft]], MATCH(Simulation!C589, tbl_Vulnerability[Construction_Class], 0), MATCH(Simulation!F589,{0,1,2,3,5,8,10}, 1)))</f>
        <v>0</v>
      </c>
      <c r="H589" s="4">
        <f t="shared" si="39"/>
        <v>0</v>
      </c>
      <c r="I589" s="33">
        <f t="shared" si="40"/>
        <v>212220.05000000002</v>
      </c>
      <c r="J589" s="33">
        <f t="shared" si="41"/>
        <v>0</v>
      </c>
    </row>
    <row r="590" spans="1:10">
      <c r="A590" s="3">
        <v>10000581</v>
      </c>
      <c r="B590" s="3" t="str">
        <v>Paschim Medinipur</v>
      </c>
      <c r="C590" s="3" t="str">
        <v>Adobe / Light Timber</v>
      </c>
      <c r="D590" s="3">
        <v>0</v>
      </c>
      <c r="E590" s="4">
        <v>462013</v>
      </c>
      <c r="F590" s="3">
        <f t="shared" si="38"/>
        <v>0</v>
      </c>
      <c r="G590" s="30">
        <f>IF(F590=0, 0, INDEX(tbl_Vulnerability[[0 ft]:[10 ft]], MATCH(Simulation!C590, tbl_Vulnerability[Construction_Class], 0), MATCH(Simulation!F590,{0,1,2,3,5,8,10}, 1)))</f>
        <v>0</v>
      </c>
      <c r="H590" s="4">
        <f t="shared" si="39"/>
        <v>0</v>
      </c>
      <c r="I590" s="33">
        <f t="shared" si="40"/>
        <v>23100.65</v>
      </c>
      <c r="J590" s="33">
        <f t="shared" si="41"/>
        <v>0</v>
      </c>
    </row>
    <row r="591" spans="1:10">
      <c r="A591" s="3">
        <v>10000582</v>
      </c>
      <c r="B591" s="3" t="str">
        <v>Hooghly</v>
      </c>
      <c r="C591" s="3" t="str">
        <v>Reinforced Concrete</v>
      </c>
      <c r="D591" s="3">
        <v>5</v>
      </c>
      <c r="E591" s="4">
        <v>13671357</v>
      </c>
      <c r="F591" s="3">
        <f t="shared" si="38"/>
        <v>0</v>
      </c>
      <c r="G591" s="30">
        <f>IF(F591=0, 0, INDEX(tbl_Vulnerability[[0 ft]:[10 ft]], MATCH(Simulation!C591, tbl_Vulnerability[Construction_Class], 0), MATCH(Simulation!F591,{0,1,2,3,5,8,10}, 1)))</f>
        <v>0</v>
      </c>
      <c r="H591" s="4">
        <f t="shared" si="39"/>
        <v>0</v>
      </c>
      <c r="I591" s="33">
        <f t="shared" si="40"/>
        <v>683567.85000000009</v>
      </c>
      <c r="J591" s="33">
        <f t="shared" si="41"/>
        <v>0</v>
      </c>
    </row>
    <row r="592" spans="1:10">
      <c r="A592" s="3">
        <v>10000583</v>
      </c>
      <c r="B592" s="3" t="str">
        <v>Jalpaiguri</v>
      </c>
      <c r="C592" s="3" t="str">
        <v>Reinforced Concrete</v>
      </c>
      <c r="D592" s="3">
        <v>3</v>
      </c>
      <c r="E592" s="4">
        <v>63225060</v>
      </c>
      <c r="F592" s="3">
        <f t="shared" si="38"/>
        <v>0</v>
      </c>
      <c r="G592" s="30">
        <f>IF(F592=0, 0, INDEX(tbl_Vulnerability[[0 ft]:[10 ft]], MATCH(Simulation!C592, tbl_Vulnerability[Construction_Class], 0), MATCH(Simulation!F592,{0,1,2,3,5,8,10}, 1)))</f>
        <v>0</v>
      </c>
      <c r="H592" s="4">
        <f t="shared" si="39"/>
        <v>0</v>
      </c>
      <c r="I592" s="33">
        <f t="shared" si="40"/>
        <v>3161253</v>
      </c>
      <c r="J592" s="33">
        <f t="shared" si="41"/>
        <v>0</v>
      </c>
    </row>
    <row r="593" spans="1:10">
      <c r="A593" s="3">
        <v>10000584</v>
      </c>
      <c r="B593" s="3" t="str">
        <v>Malda</v>
      </c>
      <c r="C593" s="3" t="str">
        <v>Unreinforced Masonry</v>
      </c>
      <c r="D593" s="3">
        <v>0</v>
      </c>
      <c r="E593" s="4">
        <v>2421873</v>
      </c>
      <c r="F593" s="3">
        <f t="shared" si="38"/>
        <v>10</v>
      </c>
      <c r="G593" s="30">
        <f>IF(F593=0, 0, INDEX(tbl_Vulnerability[[0 ft]:[10 ft]], MATCH(Simulation!C593, tbl_Vulnerability[Construction_Class], 0), MATCH(Simulation!F593,{0,1,2,3,5,8,10}, 1)))</f>
        <v>1</v>
      </c>
      <c r="H593" s="4">
        <f t="shared" si="39"/>
        <v>2421873</v>
      </c>
      <c r="I593" s="33">
        <f t="shared" si="40"/>
        <v>121093.65000000001</v>
      </c>
      <c r="J593" s="33">
        <f t="shared" si="41"/>
        <v>2300779.35</v>
      </c>
    </row>
    <row r="594" spans="1:10">
      <c r="A594" s="3">
        <v>10000585</v>
      </c>
      <c r="B594" s="3" t="str">
        <v>Jalpaiguri</v>
      </c>
      <c r="C594" s="3" t="str">
        <v>Unreinforced Masonry</v>
      </c>
      <c r="D594" s="3">
        <v>0</v>
      </c>
      <c r="E594" s="4">
        <v>5950429</v>
      </c>
      <c r="F594" s="3">
        <f t="shared" si="38"/>
        <v>0</v>
      </c>
      <c r="G594" s="30">
        <f>IF(F594=0, 0, INDEX(tbl_Vulnerability[[0 ft]:[10 ft]], MATCH(Simulation!C594, tbl_Vulnerability[Construction_Class], 0), MATCH(Simulation!F594,{0,1,2,3,5,8,10}, 1)))</f>
        <v>0</v>
      </c>
      <c r="H594" s="4">
        <f t="shared" si="39"/>
        <v>0</v>
      </c>
      <c r="I594" s="33">
        <f t="shared" si="40"/>
        <v>297521.45</v>
      </c>
      <c r="J594" s="33">
        <f t="shared" si="41"/>
        <v>0</v>
      </c>
    </row>
    <row r="595" spans="1:10">
      <c r="A595" s="3">
        <v>10000586</v>
      </c>
      <c r="B595" s="3" t="str">
        <v>Jalpaiguri</v>
      </c>
      <c r="C595" s="3" t="str">
        <v>Unreinforced Masonry</v>
      </c>
      <c r="D595" s="3">
        <v>1</v>
      </c>
      <c r="E595" s="4">
        <v>18603699</v>
      </c>
      <c r="F595" s="3">
        <f t="shared" si="38"/>
        <v>0</v>
      </c>
      <c r="G595" s="30">
        <f>IF(F595=0, 0, INDEX(tbl_Vulnerability[[0 ft]:[10 ft]], MATCH(Simulation!C595, tbl_Vulnerability[Construction_Class], 0), MATCH(Simulation!F595,{0,1,2,3,5,8,10}, 1)))</f>
        <v>0</v>
      </c>
      <c r="H595" s="4">
        <f t="shared" si="39"/>
        <v>0</v>
      </c>
      <c r="I595" s="33">
        <f t="shared" si="40"/>
        <v>930184.95000000007</v>
      </c>
      <c r="J595" s="33">
        <f t="shared" si="41"/>
        <v>0</v>
      </c>
    </row>
    <row r="596" spans="1:10">
      <c r="A596" s="3">
        <v>10000587</v>
      </c>
      <c r="B596" s="3" t="str">
        <v>South 24 Parganas</v>
      </c>
      <c r="C596" s="3" t="str">
        <v>Reinforced Concrete</v>
      </c>
      <c r="D596" s="3">
        <v>4</v>
      </c>
      <c r="E596" s="4">
        <v>60009373</v>
      </c>
      <c r="F596" s="3">
        <f t="shared" si="38"/>
        <v>0</v>
      </c>
      <c r="G596" s="30">
        <f>IF(F596=0, 0, INDEX(tbl_Vulnerability[[0 ft]:[10 ft]], MATCH(Simulation!C596, tbl_Vulnerability[Construction_Class], 0), MATCH(Simulation!F596,{0,1,2,3,5,8,10}, 1)))</f>
        <v>0</v>
      </c>
      <c r="H596" s="4">
        <f t="shared" si="39"/>
        <v>0</v>
      </c>
      <c r="I596" s="33">
        <f t="shared" si="40"/>
        <v>3000468.6500000004</v>
      </c>
      <c r="J596" s="33">
        <f t="shared" si="41"/>
        <v>0</v>
      </c>
    </row>
    <row r="597" spans="1:10">
      <c r="A597" s="3">
        <v>10000588</v>
      </c>
      <c r="B597" s="3" t="str">
        <v>Kolkata</v>
      </c>
      <c r="C597" s="3" t="str">
        <v>Reinforced Concrete</v>
      </c>
      <c r="D597" s="3">
        <v>4</v>
      </c>
      <c r="E597" s="4">
        <v>59860397</v>
      </c>
      <c r="F597" s="3">
        <f t="shared" si="38"/>
        <v>0</v>
      </c>
      <c r="G597" s="30">
        <f>IF(F597=0, 0, INDEX(tbl_Vulnerability[[0 ft]:[10 ft]], MATCH(Simulation!C597, tbl_Vulnerability[Construction_Class], 0), MATCH(Simulation!F597,{0,1,2,3,5,8,10}, 1)))</f>
        <v>0</v>
      </c>
      <c r="H597" s="4">
        <f t="shared" si="39"/>
        <v>0</v>
      </c>
      <c r="I597" s="33">
        <f t="shared" si="40"/>
        <v>2993019.85</v>
      </c>
      <c r="J597" s="33">
        <f t="shared" si="41"/>
        <v>0</v>
      </c>
    </row>
    <row r="598" spans="1:10">
      <c r="A598" s="3">
        <v>10000589</v>
      </c>
      <c r="B598" s="3" t="str">
        <v>Jalpaiguri</v>
      </c>
      <c r="C598" s="3" t="str">
        <v>Unreinforced Masonry</v>
      </c>
      <c r="D598" s="3">
        <v>2</v>
      </c>
      <c r="E598" s="4">
        <v>6144996</v>
      </c>
      <c r="F598" s="3">
        <f t="shared" si="38"/>
        <v>0</v>
      </c>
      <c r="G598" s="30">
        <f>IF(F598=0, 0, INDEX(tbl_Vulnerability[[0 ft]:[10 ft]], MATCH(Simulation!C598, tbl_Vulnerability[Construction_Class], 0), MATCH(Simulation!F598,{0,1,2,3,5,8,10}, 1)))</f>
        <v>0</v>
      </c>
      <c r="H598" s="4">
        <f t="shared" si="39"/>
        <v>0</v>
      </c>
      <c r="I598" s="33">
        <f t="shared" si="40"/>
        <v>307249.8</v>
      </c>
      <c r="J598" s="33">
        <f t="shared" si="41"/>
        <v>0</v>
      </c>
    </row>
    <row r="599" spans="1:10">
      <c r="A599" s="3">
        <v>10000590</v>
      </c>
      <c r="B599" s="3" t="str">
        <v>Jalpaiguri</v>
      </c>
      <c r="C599" s="3" t="str">
        <v>Unreinforced Masonry</v>
      </c>
      <c r="D599" s="3">
        <v>2</v>
      </c>
      <c r="E599" s="4">
        <v>952465</v>
      </c>
      <c r="F599" s="3">
        <f t="shared" si="38"/>
        <v>0</v>
      </c>
      <c r="G599" s="30">
        <f>IF(F599=0, 0, INDEX(tbl_Vulnerability[[0 ft]:[10 ft]], MATCH(Simulation!C599, tbl_Vulnerability[Construction_Class], 0), MATCH(Simulation!F599,{0,1,2,3,5,8,10}, 1)))</f>
        <v>0</v>
      </c>
      <c r="H599" s="4">
        <f t="shared" si="39"/>
        <v>0</v>
      </c>
      <c r="I599" s="33">
        <f t="shared" si="40"/>
        <v>47623.25</v>
      </c>
      <c r="J599" s="33">
        <f t="shared" si="41"/>
        <v>0</v>
      </c>
    </row>
    <row r="600" spans="1:10">
      <c r="A600" s="3">
        <v>10000591</v>
      </c>
      <c r="B600" s="3" t="str">
        <v>Kolkata</v>
      </c>
      <c r="C600" s="3" t="str">
        <v>Reinforced Concrete</v>
      </c>
      <c r="D600" s="3">
        <v>5</v>
      </c>
      <c r="E600" s="4">
        <v>48735330</v>
      </c>
      <c r="F600" s="3">
        <f t="shared" si="38"/>
        <v>0</v>
      </c>
      <c r="G600" s="30">
        <f>IF(F600=0, 0, INDEX(tbl_Vulnerability[[0 ft]:[10 ft]], MATCH(Simulation!C600, tbl_Vulnerability[Construction_Class], 0), MATCH(Simulation!F600,{0,1,2,3,5,8,10}, 1)))</f>
        <v>0</v>
      </c>
      <c r="H600" s="4">
        <f t="shared" si="39"/>
        <v>0</v>
      </c>
      <c r="I600" s="33">
        <f t="shared" si="40"/>
        <v>2436766.5</v>
      </c>
      <c r="J600" s="33">
        <f t="shared" si="41"/>
        <v>0</v>
      </c>
    </row>
    <row r="601" spans="1:10">
      <c r="A601" s="3">
        <v>10000592</v>
      </c>
      <c r="B601" s="3" t="str">
        <v>Kolkata</v>
      </c>
      <c r="C601" s="3" t="str">
        <v>Unreinforced Masonry</v>
      </c>
      <c r="D601" s="3">
        <v>1</v>
      </c>
      <c r="E601" s="4">
        <v>14755422</v>
      </c>
      <c r="F601" s="3">
        <f t="shared" si="38"/>
        <v>0</v>
      </c>
      <c r="G601" s="30">
        <f>IF(F601=0, 0, INDEX(tbl_Vulnerability[[0 ft]:[10 ft]], MATCH(Simulation!C601, tbl_Vulnerability[Construction_Class], 0), MATCH(Simulation!F601,{0,1,2,3,5,8,10}, 1)))</f>
        <v>0</v>
      </c>
      <c r="H601" s="4">
        <f t="shared" si="39"/>
        <v>0</v>
      </c>
      <c r="I601" s="33">
        <f t="shared" si="40"/>
        <v>737771.10000000009</v>
      </c>
      <c r="J601" s="33">
        <f t="shared" si="41"/>
        <v>0</v>
      </c>
    </row>
    <row r="602" spans="1:10">
      <c r="A602" s="3">
        <v>10000593</v>
      </c>
      <c r="B602" s="3" t="str">
        <v>Malda</v>
      </c>
      <c r="C602" s="3" t="str">
        <v>Reinforced Concrete</v>
      </c>
      <c r="D602" s="3">
        <v>4</v>
      </c>
      <c r="E602" s="4">
        <v>16849385</v>
      </c>
      <c r="F602" s="3">
        <f t="shared" si="38"/>
        <v>6</v>
      </c>
      <c r="G602" s="30">
        <f>IF(F602=0, 0, INDEX(tbl_Vulnerability[[0 ft]:[10 ft]], MATCH(Simulation!C602, tbl_Vulnerability[Construction_Class], 0), MATCH(Simulation!F602,{0,1,2,3,5,8,10}, 1)))</f>
        <v>0.2</v>
      </c>
      <c r="H602" s="4">
        <f t="shared" si="39"/>
        <v>3369877</v>
      </c>
      <c r="I602" s="33">
        <f t="shared" si="40"/>
        <v>842469.25</v>
      </c>
      <c r="J602" s="33">
        <f t="shared" si="41"/>
        <v>2527407.75</v>
      </c>
    </row>
    <row r="603" spans="1:10">
      <c r="A603" s="3">
        <v>10000594</v>
      </c>
      <c r="B603" s="3" t="str">
        <v>Paschim Medinipur</v>
      </c>
      <c r="C603" s="3" t="str">
        <v>Unreinforced Masonry</v>
      </c>
      <c r="D603" s="3">
        <v>0</v>
      </c>
      <c r="E603" s="4">
        <v>3473305</v>
      </c>
      <c r="F603" s="3">
        <f t="shared" si="38"/>
        <v>0</v>
      </c>
      <c r="G603" s="30">
        <f>IF(F603=0, 0, INDEX(tbl_Vulnerability[[0 ft]:[10 ft]], MATCH(Simulation!C603, tbl_Vulnerability[Construction_Class], 0), MATCH(Simulation!F603,{0,1,2,3,5,8,10}, 1)))</f>
        <v>0</v>
      </c>
      <c r="H603" s="4">
        <f t="shared" si="39"/>
        <v>0</v>
      </c>
      <c r="I603" s="33">
        <f t="shared" si="40"/>
        <v>173665.25</v>
      </c>
      <c r="J603" s="33">
        <f t="shared" si="41"/>
        <v>0</v>
      </c>
    </row>
    <row r="604" spans="1:10">
      <c r="A604" s="3">
        <v>10000595</v>
      </c>
      <c r="B604" s="3" t="str">
        <v>Malda</v>
      </c>
      <c r="C604" s="3" t="str">
        <v>Reinforced Concrete</v>
      </c>
      <c r="D604" s="3">
        <v>3</v>
      </c>
      <c r="E604" s="4">
        <v>5334183</v>
      </c>
      <c r="F604" s="3">
        <f t="shared" si="38"/>
        <v>7</v>
      </c>
      <c r="G604" s="30">
        <f>IF(F604=0, 0, INDEX(tbl_Vulnerability[[0 ft]:[10 ft]], MATCH(Simulation!C604, tbl_Vulnerability[Construction_Class], 0), MATCH(Simulation!F604,{0,1,2,3,5,8,10}, 1)))</f>
        <v>0.2</v>
      </c>
      <c r="H604" s="4">
        <f t="shared" si="39"/>
        <v>1066836.6000000001</v>
      </c>
      <c r="I604" s="33">
        <f t="shared" si="40"/>
        <v>266709.15000000002</v>
      </c>
      <c r="J604" s="33">
        <f t="shared" si="41"/>
        <v>800127.45000000007</v>
      </c>
    </row>
    <row r="605" spans="1:10">
      <c r="A605" s="3">
        <v>10000596</v>
      </c>
      <c r="B605" s="3" t="str">
        <v>Paschim Medinipur</v>
      </c>
      <c r="C605" s="3" t="str">
        <v>Unreinforced Masonry</v>
      </c>
      <c r="D605" s="3">
        <v>1</v>
      </c>
      <c r="E605" s="4">
        <v>23863858</v>
      </c>
      <c r="F605" s="3">
        <f t="shared" si="38"/>
        <v>0</v>
      </c>
      <c r="G605" s="30">
        <f>IF(F605=0, 0, INDEX(tbl_Vulnerability[[0 ft]:[10 ft]], MATCH(Simulation!C605, tbl_Vulnerability[Construction_Class], 0), MATCH(Simulation!F605,{0,1,2,3,5,8,10}, 1)))</f>
        <v>0</v>
      </c>
      <c r="H605" s="4">
        <f t="shared" si="39"/>
        <v>0</v>
      </c>
      <c r="I605" s="33">
        <f t="shared" si="40"/>
        <v>1193192.9000000001</v>
      </c>
      <c r="J605" s="33">
        <f t="shared" si="41"/>
        <v>0</v>
      </c>
    </row>
    <row r="606" spans="1:10">
      <c r="A606" s="3">
        <v>10000597</v>
      </c>
      <c r="B606" s="3" t="str">
        <v>Jalpaiguri</v>
      </c>
      <c r="C606" s="3" t="str">
        <v>Reinforced Concrete</v>
      </c>
      <c r="D606" s="3">
        <v>3</v>
      </c>
      <c r="E606" s="4">
        <v>45231420</v>
      </c>
      <c r="F606" s="3">
        <f t="shared" si="38"/>
        <v>0</v>
      </c>
      <c r="G606" s="30">
        <f>IF(F606=0, 0, INDEX(tbl_Vulnerability[[0 ft]:[10 ft]], MATCH(Simulation!C606, tbl_Vulnerability[Construction_Class], 0), MATCH(Simulation!F606,{0,1,2,3,5,8,10}, 1)))</f>
        <v>0</v>
      </c>
      <c r="H606" s="4">
        <f t="shared" si="39"/>
        <v>0</v>
      </c>
      <c r="I606" s="33">
        <f t="shared" si="40"/>
        <v>2261571</v>
      </c>
      <c r="J606" s="33">
        <f t="shared" si="41"/>
        <v>0</v>
      </c>
    </row>
    <row r="607" spans="1:10">
      <c r="A607" s="3">
        <v>10000598</v>
      </c>
      <c r="B607" s="3" t="str">
        <v>Hooghly</v>
      </c>
      <c r="C607" s="3" t="str">
        <v>Adobe / Light Timber</v>
      </c>
      <c r="D607" s="3">
        <v>0</v>
      </c>
      <c r="E607" s="4">
        <v>342763</v>
      </c>
      <c r="F607" s="3">
        <f t="shared" si="38"/>
        <v>0</v>
      </c>
      <c r="G607" s="30">
        <f>IF(F607=0, 0, INDEX(tbl_Vulnerability[[0 ft]:[10 ft]], MATCH(Simulation!C607, tbl_Vulnerability[Construction_Class], 0), MATCH(Simulation!F607,{0,1,2,3,5,8,10}, 1)))</f>
        <v>0</v>
      </c>
      <c r="H607" s="4">
        <f t="shared" si="39"/>
        <v>0</v>
      </c>
      <c r="I607" s="33">
        <f t="shared" si="40"/>
        <v>17138.150000000001</v>
      </c>
      <c r="J607" s="33">
        <f t="shared" si="41"/>
        <v>0</v>
      </c>
    </row>
    <row r="608" spans="1:10">
      <c r="A608" s="3">
        <v>10000599</v>
      </c>
      <c r="B608" s="3" t="str">
        <v>Malda</v>
      </c>
      <c r="C608" s="3" t="str">
        <v>Reinforced Concrete</v>
      </c>
      <c r="D608" s="3">
        <v>5</v>
      </c>
      <c r="E608" s="4">
        <v>18354218</v>
      </c>
      <c r="F608" s="3">
        <f t="shared" si="38"/>
        <v>5</v>
      </c>
      <c r="G608" s="30">
        <f>IF(F608=0, 0, INDEX(tbl_Vulnerability[[0 ft]:[10 ft]], MATCH(Simulation!C608, tbl_Vulnerability[Construction_Class], 0), MATCH(Simulation!F608,{0,1,2,3,5,8,10}, 1)))</f>
        <v>0.2</v>
      </c>
      <c r="H608" s="4">
        <f t="shared" si="39"/>
        <v>3670843.6</v>
      </c>
      <c r="I608" s="33">
        <f t="shared" si="40"/>
        <v>917710.9</v>
      </c>
      <c r="J608" s="33">
        <f t="shared" si="41"/>
        <v>2753132.7</v>
      </c>
    </row>
    <row r="609" spans="1:10">
      <c r="A609" s="3">
        <v>10000600</v>
      </c>
      <c r="B609" s="3" t="str">
        <v>Paschim Medinipur</v>
      </c>
      <c r="C609" s="3" t="str">
        <v>Unreinforced Masonry</v>
      </c>
      <c r="D609" s="3">
        <v>2</v>
      </c>
      <c r="E609" s="4">
        <v>20895904</v>
      </c>
      <c r="F609" s="3">
        <f t="shared" si="38"/>
        <v>0</v>
      </c>
      <c r="G609" s="30">
        <f>IF(F609=0, 0, INDEX(tbl_Vulnerability[[0 ft]:[10 ft]], MATCH(Simulation!C609, tbl_Vulnerability[Construction_Class], 0), MATCH(Simulation!F609,{0,1,2,3,5,8,10}, 1)))</f>
        <v>0</v>
      </c>
      <c r="H609" s="4">
        <f t="shared" si="39"/>
        <v>0</v>
      </c>
      <c r="I609" s="33">
        <f t="shared" si="40"/>
        <v>1044795.2000000001</v>
      </c>
      <c r="J609" s="33">
        <f t="shared" si="41"/>
        <v>0</v>
      </c>
    </row>
    <row r="610" spans="1:10">
      <c r="A610" s="3">
        <v>10000601</v>
      </c>
      <c r="B610" s="3" t="str">
        <v>Jalpaiguri</v>
      </c>
      <c r="C610" s="3" t="str">
        <v>Reinforced Concrete</v>
      </c>
      <c r="D610" s="3">
        <v>5</v>
      </c>
      <c r="E610" s="4">
        <v>55029983</v>
      </c>
      <c r="F610" s="3">
        <f t="shared" si="38"/>
        <v>0</v>
      </c>
      <c r="G610" s="30">
        <f>IF(F610=0, 0, INDEX(tbl_Vulnerability[[0 ft]:[10 ft]], MATCH(Simulation!C610, tbl_Vulnerability[Construction_Class], 0), MATCH(Simulation!F610,{0,1,2,3,5,8,10}, 1)))</f>
        <v>0</v>
      </c>
      <c r="H610" s="4">
        <f t="shared" si="39"/>
        <v>0</v>
      </c>
      <c r="I610" s="33">
        <f t="shared" si="40"/>
        <v>2751499.1500000004</v>
      </c>
      <c r="J610" s="33">
        <f t="shared" si="41"/>
        <v>0</v>
      </c>
    </row>
    <row r="611" spans="1:10">
      <c r="A611" s="3">
        <v>10000602</v>
      </c>
      <c r="B611" s="3" t="str">
        <v>South 24 Parganas</v>
      </c>
      <c r="C611" s="3" t="str">
        <v>Adobe / Light Timber</v>
      </c>
      <c r="D611" s="3">
        <v>2</v>
      </c>
      <c r="E611" s="4">
        <v>520890</v>
      </c>
      <c r="F611" s="3">
        <f t="shared" si="38"/>
        <v>0</v>
      </c>
      <c r="G611" s="30">
        <f>IF(F611=0, 0, INDEX(tbl_Vulnerability[[0 ft]:[10 ft]], MATCH(Simulation!C611, tbl_Vulnerability[Construction_Class], 0), MATCH(Simulation!F611,{0,1,2,3,5,8,10}, 1)))</f>
        <v>0</v>
      </c>
      <c r="H611" s="4">
        <f t="shared" si="39"/>
        <v>0</v>
      </c>
      <c r="I611" s="33">
        <f t="shared" si="40"/>
        <v>26044.5</v>
      </c>
      <c r="J611" s="33">
        <f t="shared" si="41"/>
        <v>0</v>
      </c>
    </row>
    <row r="612" spans="1:10">
      <c r="A612" s="3">
        <v>10000603</v>
      </c>
      <c r="B612" s="3" t="str">
        <v>Malda</v>
      </c>
      <c r="C612" s="3" t="str">
        <v>Adobe / Light Timber</v>
      </c>
      <c r="D612" s="3">
        <v>0</v>
      </c>
      <c r="E612" s="4">
        <v>444337</v>
      </c>
      <c r="F612" s="3">
        <f t="shared" si="38"/>
        <v>10</v>
      </c>
      <c r="G612" s="30">
        <f>IF(F612=0, 0, INDEX(tbl_Vulnerability[[0 ft]:[10 ft]], MATCH(Simulation!C612, tbl_Vulnerability[Construction_Class], 0), MATCH(Simulation!F612,{0,1,2,3,5,8,10}, 1)))</f>
        <v>1</v>
      </c>
      <c r="H612" s="4">
        <f t="shared" si="39"/>
        <v>444337</v>
      </c>
      <c r="I612" s="33">
        <f t="shared" si="40"/>
        <v>22216.850000000002</v>
      </c>
      <c r="J612" s="33">
        <f t="shared" si="41"/>
        <v>422120.15</v>
      </c>
    </row>
    <row r="613" spans="1:10">
      <c r="A613" s="3">
        <v>10000604</v>
      </c>
      <c r="B613" s="3" t="str">
        <v>Paschim Medinipur</v>
      </c>
      <c r="C613" s="3" t="str">
        <v>Reinforced Concrete</v>
      </c>
      <c r="D613" s="3">
        <v>5</v>
      </c>
      <c r="E613" s="4">
        <v>54942657</v>
      </c>
      <c r="F613" s="3">
        <f t="shared" si="38"/>
        <v>0</v>
      </c>
      <c r="G613" s="30">
        <f>IF(F613=0, 0, INDEX(tbl_Vulnerability[[0 ft]:[10 ft]], MATCH(Simulation!C613, tbl_Vulnerability[Construction_Class], 0), MATCH(Simulation!F613,{0,1,2,3,5,8,10}, 1)))</f>
        <v>0</v>
      </c>
      <c r="H613" s="4">
        <f t="shared" si="39"/>
        <v>0</v>
      </c>
      <c r="I613" s="33">
        <f t="shared" si="40"/>
        <v>2747132.85</v>
      </c>
      <c r="J613" s="33">
        <f t="shared" si="41"/>
        <v>0</v>
      </c>
    </row>
    <row r="614" spans="1:10">
      <c r="A614" s="3">
        <v>10000605</v>
      </c>
      <c r="B614" s="3" t="str">
        <v>Malda</v>
      </c>
      <c r="C614" s="3" t="str">
        <v>Reinforced Concrete</v>
      </c>
      <c r="D614" s="3">
        <v>3</v>
      </c>
      <c r="E614" s="4">
        <v>46229764</v>
      </c>
      <c r="F614" s="3">
        <f t="shared" si="38"/>
        <v>7</v>
      </c>
      <c r="G614" s="30">
        <f>IF(F614=0, 0, INDEX(tbl_Vulnerability[[0 ft]:[10 ft]], MATCH(Simulation!C614, tbl_Vulnerability[Construction_Class], 0), MATCH(Simulation!F614,{0,1,2,3,5,8,10}, 1)))</f>
        <v>0.2</v>
      </c>
      <c r="H614" s="4">
        <f t="shared" si="39"/>
        <v>9245952.8000000007</v>
      </c>
      <c r="I614" s="33">
        <f t="shared" si="40"/>
        <v>2311488.2000000002</v>
      </c>
      <c r="J614" s="33">
        <f t="shared" si="41"/>
        <v>6934464.6000000006</v>
      </c>
    </row>
    <row r="615" spans="1:10">
      <c r="A615" s="3">
        <v>10000606</v>
      </c>
      <c r="B615" s="3" t="str">
        <v>Paschim Medinipur</v>
      </c>
      <c r="C615" s="3" t="str">
        <v>Unreinforced Masonry</v>
      </c>
      <c r="D615" s="3">
        <v>1</v>
      </c>
      <c r="E615" s="4">
        <v>13860243</v>
      </c>
      <c r="F615" s="3">
        <f t="shared" si="38"/>
        <v>0</v>
      </c>
      <c r="G615" s="30">
        <f>IF(F615=0, 0, INDEX(tbl_Vulnerability[[0 ft]:[10 ft]], MATCH(Simulation!C615, tbl_Vulnerability[Construction_Class], 0), MATCH(Simulation!F615,{0,1,2,3,5,8,10}, 1)))</f>
        <v>0</v>
      </c>
      <c r="H615" s="4">
        <f t="shared" si="39"/>
        <v>0</v>
      </c>
      <c r="I615" s="33">
        <f t="shared" si="40"/>
        <v>693012.15</v>
      </c>
      <c r="J615" s="33">
        <f t="shared" si="41"/>
        <v>0</v>
      </c>
    </row>
    <row r="616" spans="1:10">
      <c r="A616" s="3">
        <v>10000607</v>
      </c>
      <c r="B616" s="3" t="str">
        <v>Kolkata</v>
      </c>
      <c r="C616" s="3" t="str">
        <v>Reinforced Concrete</v>
      </c>
      <c r="D616" s="3">
        <v>4</v>
      </c>
      <c r="E616" s="4">
        <v>18730245</v>
      </c>
      <c r="F616" s="3">
        <f t="shared" si="38"/>
        <v>0</v>
      </c>
      <c r="G616" s="30">
        <f>IF(F616=0, 0, INDEX(tbl_Vulnerability[[0 ft]:[10 ft]], MATCH(Simulation!C616, tbl_Vulnerability[Construction_Class], 0), MATCH(Simulation!F616,{0,1,2,3,5,8,10}, 1)))</f>
        <v>0</v>
      </c>
      <c r="H616" s="4">
        <f t="shared" si="39"/>
        <v>0</v>
      </c>
      <c r="I616" s="33">
        <f t="shared" si="40"/>
        <v>936512.25</v>
      </c>
      <c r="J616" s="33">
        <f t="shared" si="41"/>
        <v>0</v>
      </c>
    </row>
    <row r="617" spans="1:10">
      <c r="A617" s="3">
        <v>10000608</v>
      </c>
      <c r="B617" s="3" t="str">
        <v>Jalpaiguri</v>
      </c>
      <c r="C617" s="3" t="str">
        <v>Reinforced Concrete</v>
      </c>
      <c r="D617" s="3">
        <v>5</v>
      </c>
      <c r="E617" s="4">
        <v>40261500</v>
      </c>
      <c r="F617" s="3">
        <f t="shared" si="38"/>
        <v>0</v>
      </c>
      <c r="G617" s="30">
        <f>IF(F617=0, 0, INDEX(tbl_Vulnerability[[0 ft]:[10 ft]], MATCH(Simulation!C617, tbl_Vulnerability[Construction_Class], 0), MATCH(Simulation!F617,{0,1,2,3,5,8,10}, 1)))</f>
        <v>0</v>
      </c>
      <c r="H617" s="4">
        <f t="shared" si="39"/>
        <v>0</v>
      </c>
      <c r="I617" s="33">
        <f t="shared" si="40"/>
        <v>2013075</v>
      </c>
      <c r="J617" s="33">
        <f t="shared" si="41"/>
        <v>0</v>
      </c>
    </row>
    <row r="618" spans="1:10">
      <c r="A618" s="3">
        <v>10000609</v>
      </c>
      <c r="B618" s="3" t="str">
        <v>Hooghly</v>
      </c>
      <c r="C618" s="3" t="str">
        <v>Adobe / Light Timber</v>
      </c>
      <c r="D618" s="3">
        <v>0</v>
      </c>
      <c r="E618" s="4">
        <v>448671</v>
      </c>
      <c r="F618" s="3">
        <f t="shared" si="38"/>
        <v>0</v>
      </c>
      <c r="G618" s="30">
        <f>IF(F618=0, 0, INDEX(tbl_Vulnerability[[0 ft]:[10 ft]], MATCH(Simulation!C618, tbl_Vulnerability[Construction_Class], 0), MATCH(Simulation!F618,{0,1,2,3,5,8,10}, 1)))</f>
        <v>0</v>
      </c>
      <c r="H618" s="4">
        <f t="shared" si="39"/>
        <v>0</v>
      </c>
      <c r="I618" s="33">
        <f t="shared" si="40"/>
        <v>22433.550000000003</v>
      </c>
      <c r="J618" s="33">
        <f t="shared" si="41"/>
        <v>0</v>
      </c>
    </row>
    <row r="619" spans="1:10">
      <c r="A619" s="3">
        <v>10000610</v>
      </c>
      <c r="B619" s="3" t="str">
        <v>Jalpaiguri</v>
      </c>
      <c r="C619" s="3" t="str">
        <v>Reinforced Concrete</v>
      </c>
      <c r="D619" s="3">
        <v>5</v>
      </c>
      <c r="E619" s="4">
        <v>41670611</v>
      </c>
      <c r="F619" s="3">
        <f t="shared" si="38"/>
        <v>0</v>
      </c>
      <c r="G619" s="30">
        <f>IF(F619=0, 0, INDEX(tbl_Vulnerability[[0 ft]:[10 ft]], MATCH(Simulation!C619, tbl_Vulnerability[Construction_Class], 0), MATCH(Simulation!F619,{0,1,2,3,5,8,10}, 1)))</f>
        <v>0</v>
      </c>
      <c r="H619" s="4">
        <f t="shared" si="39"/>
        <v>0</v>
      </c>
      <c r="I619" s="33">
        <f t="shared" si="40"/>
        <v>2083530.55</v>
      </c>
      <c r="J619" s="33">
        <f t="shared" si="41"/>
        <v>0</v>
      </c>
    </row>
    <row r="620" spans="1:10">
      <c r="A620" s="3">
        <v>10000611</v>
      </c>
      <c r="B620" s="3" t="str">
        <v>Kolkata</v>
      </c>
      <c r="C620" s="3" t="str">
        <v>Reinforced Concrete</v>
      </c>
      <c r="D620" s="3">
        <v>5</v>
      </c>
      <c r="E620" s="4">
        <v>51491544</v>
      </c>
      <c r="F620" s="3">
        <f t="shared" si="38"/>
        <v>0</v>
      </c>
      <c r="G620" s="30">
        <f>IF(F620=0, 0, INDEX(tbl_Vulnerability[[0 ft]:[10 ft]], MATCH(Simulation!C620, tbl_Vulnerability[Construction_Class], 0), MATCH(Simulation!F620,{0,1,2,3,5,8,10}, 1)))</f>
        <v>0</v>
      </c>
      <c r="H620" s="4">
        <f t="shared" si="39"/>
        <v>0</v>
      </c>
      <c r="I620" s="33">
        <f t="shared" si="40"/>
        <v>2574577.2000000002</v>
      </c>
      <c r="J620" s="33">
        <f t="shared" si="41"/>
        <v>0</v>
      </c>
    </row>
    <row r="621" spans="1:10">
      <c r="A621" s="3">
        <v>10000612</v>
      </c>
      <c r="B621" s="3" t="str">
        <v>Paschim Medinipur</v>
      </c>
      <c r="C621" s="3" t="str">
        <v>Reinforced Concrete</v>
      </c>
      <c r="D621" s="3">
        <v>3</v>
      </c>
      <c r="E621" s="4">
        <v>11932960</v>
      </c>
      <c r="F621" s="3">
        <f t="shared" si="38"/>
        <v>0</v>
      </c>
      <c r="G621" s="30">
        <f>IF(F621=0, 0, INDEX(tbl_Vulnerability[[0 ft]:[10 ft]], MATCH(Simulation!C621, tbl_Vulnerability[Construction_Class], 0), MATCH(Simulation!F621,{0,1,2,3,5,8,10}, 1)))</f>
        <v>0</v>
      </c>
      <c r="H621" s="4">
        <f t="shared" si="39"/>
        <v>0</v>
      </c>
      <c r="I621" s="33">
        <f t="shared" si="40"/>
        <v>596648</v>
      </c>
      <c r="J621" s="33">
        <f t="shared" si="41"/>
        <v>0</v>
      </c>
    </row>
    <row r="622" spans="1:10">
      <c r="A622" s="3">
        <v>10000613</v>
      </c>
      <c r="B622" s="3" t="str">
        <v>Hooghly</v>
      </c>
      <c r="C622" s="3" t="str">
        <v>Reinforced Concrete</v>
      </c>
      <c r="D622" s="3">
        <v>3</v>
      </c>
      <c r="E622" s="4">
        <v>61645295</v>
      </c>
      <c r="F622" s="3">
        <f t="shared" si="38"/>
        <v>0</v>
      </c>
      <c r="G622" s="30">
        <f>IF(F622=0, 0, INDEX(tbl_Vulnerability[[0 ft]:[10 ft]], MATCH(Simulation!C622, tbl_Vulnerability[Construction_Class], 0), MATCH(Simulation!F622,{0,1,2,3,5,8,10}, 1)))</f>
        <v>0</v>
      </c>
      <c r="H622" s="4">
        <f t="shared" si="39"/>
        <v>0</v>
      </c>
      <c r="I622" s="33">
        <f t="shared" si="40"/>
        <v>3082264.75</v>
      </c>
      <c r="J622" s="33">
        <f t="shared" si="41"/>
        <v>0</v>
      </c>
    </row>
    <row r="623" spans="1:10">
      <c r="A623" s="3">
        <v>10000614</v>
      </c>
      <c r="B623" s="3" t="str">
        <v>Malda</v>
      </c>
      <c r="C623" s="3" t="str">
        <v>Reinforced Concrete</v>
      </c>
      <c r="D623" s="3">
        <v>5</v>
      </c>
      <c r="E623" s="4">
        <v>65698955</v>
      </c>
      <c r="F623" s="3">
        <f t="shared" si="38"/>
        <v>5</v>
      </c>
      <c r="G623" s="30">
        <f>IF(F623=0, 0, INDEX(tbl_Vulnerability[[0 ft]:[10 ft]], MATCH(Simulation!C623, tbl_Vulnerability[Construction_Class], 0), MATCH(Simulation!F623,{0,1,2,3,5,8,10}, 1)))</f>
        <v>0.2</v>
      </c>
      <c r="H623" s="4">
        <f t="shared" si="39"/>
        <v>13139791</v>
      </c>
      <c r="I623" s="33">
        <f t="shared" si="40"/>
        <v>3284947.75</v>
      </c>
      <c r="J623" s="33">
        <f t="shared" si="41"/>
        <v>9854843.25</v>
      </c>
    </row>
    <row r="624" spans="1:10">
      <c r="A624" s="3">
        <v>10000615</v>
      </c>
      <c r="B624" s="3" t="str">
        <v>Kolkata</v>
      </c>
      <c r="C624" s="3" t="str">
        <v>Reinforced Concrete</v>
      </c>
      <c r="D624" s="3">
        <v>5</v>
      </c>
      <c r="E624" s="4">
        <v>39556785</v>
      </c>
      <c r="F624" s="3">
        <f t="shared" si="38"/>
        <v>0</v>
      </c>
      <c r="G624" s="30">
        <f>IF(F624=0, 0, INDEX(tbl_Vulnerability[[0 ft]:[10 ft]], MATCH(Simulation!C624, tbl_Vulnerability[Construction_Class], 0), MATCH(Simulation!F624,{0,1,2,3,5,8,10}, 1)))</f>
        <v>0</v>
      </c>
      <c r="H624" s="4">
        <f t="shared" si="39"/>
        <v>0</v>
      </c>
      <c r="I624" s="33">
        <f t="shared" si="40"/>
        <v>1977839.25</v>
      </c>
      <c r="J624" s="33">
        <f t="shared" si="41"/>
        <v>0</v>
      </c>
    </row>
    <row r="625" spans="1:10">
      <c r="A625" s="3">
        <v>10000616</v>
      </c>
      <c r="B625" s="3" t="str">
        <v>Kolkata</v>
      </c>
      <c r="C625" s="3" t="str">
        <v>Adobe / Light Timber</v>
      </c>
      <c r="D625" s="3">
        <v>2</v>
      </c>
      <c r="E625" s="4">
        <v>484195</v>
      </c>
      <c r="F625" s="3">
        <f t="shared" si="38"/>
        <v>0</v>
      </c>
      <c r="G625" s="30">
        <f>IF(F625=0, 0, INDEX(tbl_Vulnerability[[0 ft]:[10 ft]], MATCH(Simulation!C625, tbl_Vulnerability[Construction_Class], 0), MATCH(Simulation!F625,{0,1,2,3,5,8,10}, 1)))</f>
        <v>0</v>
      </c>
      <c r="H625" s="4">
        <f t="shared" si="39"/>
        <v>0</v>
      </c>
      <c r="I625" s="33">
        <f t="shared" si="40"/>
        <v>24209.75</v>
      </c>
      <c r="J625" s="33">
        <f t="shared" si="41"/>
        <v>0</v>
      </c>
    </row>
    <row r="626" spans="1:10">
      <c r="A626" s="3">
        <v>10000617</v>
      </c>
      <c r="B626" s="3" t="str">
        <v>Malda</v>
      </c>
      <c r="C626" s="3" t="str">
        <v>Reinforced Concrete</v>
      </c>
      <c r="D626" s="3">
        <v>4</v>
      </c>
      <c r="E626" s="4">
        <v>27602954</v>
      </c>
      <c r="F626" s="3">
        <f t="shared" si="38"/>
        <v>6</v>
      </c>
      <c r="G626" s="30">
        <f>IF(F626=0, 0, INDEX(tbl_Vulnerability[[0 ft]:[10 ft]], MATCH(Simulation!C626, tbl_Vulnerability[Construction_Class], 0), MATCH(Simulation!F626,{0,1,2,3,5,8,10}, 1)))</f>
        <v>0.2</v>
      </c>
      <c r="H626" s="4">
        <f t="shared" si="39"/>
        <v>5520590.8000000007</v>
      </c>
      <c r="I626" s="33">
        <f t="shared" si="40"/>
        <v>1380147.7000000002</v>
      </c>
      <c r="J626" s="33">
        <f t="shared" si="41"/>
        <v>4140443.1000000006</v>
      </c>
    </row>
    <row r="627" spans="1:10">
      <c r="A627" s="3">
        <v>10000618</v>
      </c>
      <c r="B627" s="3" t="str">
        <v>Hooghly</v>
      </c>
      <c r="C627" s="3" t="str">
        <v>Adobe / Light Timber</v>
      </c>
      <c r="D627" s="3">
        <v>2</v>
      </c>
      <c r="E627" s="4">
        <v>572811</v>
      </c>
      <c r="F627" s="3">
        <f t="shared" si="38"/>
        <v>0</v>
      </c>
      <c r="G627" s="30">
        <f>IF(F627=0, 0, INDEX(tbl_Vulnerability[[0 ft]:[10 ft]], MATCH(Simulation!C627, tbl_Vulnerability[Construction_Class], 0), MATCH(Simulation!F627,{0,1,2,3,5,8,10}, 1)))</f>
        <v>0</v>
      </c>
      <c r="H627" s="4">
        <f t="shared" si="39"/>
        <v>0</v>
      </c>
      <c r="I627" s="33">
        <f t="shared" si="40"/>
        <v>28640.550000000003</v>
      </c>
      <c r="J627" s="33">
        <f t="shared" si="41"/>
        <v>0</v>
      </c>
    </row>
    <row r="628" spans="1:10">
      <c r="A628" s="3">
        <v>10000619</v>
      </c>
      <c r="B628" s="3" t="str">
        <v>South 24 Parganas</v>
      </c>
      <c r="C628" s="3" t="str">
        <v>Unreinforced Masonry</v>
      </c>
      <c r="D628" s="3">
        <v>0</v>
      </c>
      <c r="E628" s="4">
        <v>4008884</v>
      </c>
      <c r="F628" s="3">
        <f t="shared" si="38"/>
        <v>0</v>
      </c>
      <c r="G628" s="30">
        <f>IF(F628=0, 0, INDEX(tbl_Vulnerability[[0 ft]:[10 ft]], MATCH(Simulation!C628, tbl_Vulnerability[Construction_Class], 0), MATCH(Simulation!F628,{0,1,2,3,5,8,10}, 1)))</f>
        <v>0</v>
      </c>
      <c r="H628" s="4">
        <f t="shared" si="39"/>
        <v>0</v>
      </c>
      <c r="I628" s="33">
        <f t="shared" si="40"/>
        <v>200444.2</v>
      </c>
      <c r="J628" s="33">
        <f t="shared" si="41"/>
        <v>0</v>
      </c>
    </row>
    <row r="629" spans="1:10">
      <c r="A629" s="3">
        <v>10000620</v>
      </c>
      <c r="B629" s="3" t="str">
        <v>Hooghly</v>
      </c>
      <c r="C629" s="3" t="str">
        <v>Reinforced Concrete</v>
      </c>
      <c r="D629" s="3">
        <v>4</v>
      </c>
      <c r="E629" s="4">
        <v>16608769</v>
      </c>
      <c r="F629" s="3">
        <f t="shared" si="38"/>
        <v>0</v>
      </c>
      <c r="G629" s="30">
        <f>IF(F629=0, 0, INDEX(tbl_Vulnerability[[0 ft]:[10 ft]], MATCH(Simulation!C629, tbl_Vulnerability[Construction_Class], 0), MATCH(Simulation!F629,{0,1,2,3,5,8,10}, 1)))</f>
        <v>0</v>
      </c>
      <c r="H629" s="4">
        <f t="shared" si="39"/>
        <v>0</v>
      </c>
      <c r="I629" s="33">
        <f t="shared" si="40"/>
        <v>830438.45000000007</v>
      </c>
      <c r="J629" s="33">
        <f t="shared" si="41"/>
        <v>0</v>
      </c>
    </row>
    <row r="630" spans="1:10">
      <c r="A630" s="3">
        <v>10000621</v>
      </c>
      <c r="B630" s="3" t="str">
        <v>Paschim Medinipur</v>
      </c>
      <c r="C630" s="3" t="str">
        <v>Reinforced Concrete</v>
      </c>
      <c r="D630" s="3">
        <v>4</v>
      </c>
      <c r="E630" s="4">
        <v>47905820</v>
      </c>
      <c r="F630" s="3">
        <f t="shared" si="38"/>
        <v>0</v>
      </c>
      <c r="G630" s="30">
        <f>IF(F630=0, 0, INDEX(tbl_Vulnerability[[0 ft]:[10 ft]], MATCH(Simulation!C630, tbl_Vulnerability[Construction_Class], 0), MATCH(Simulation!F630,{0,1,2,3,5,8,10}, 1)))</f>
        <v>0</v>
      </c>
      <c r="H630" s="4">
        <f t="shared" si="39"/>
        <v>0</v>
      </c>
      <c r="I630" s="33">
        <f t="shared" si="40"/>
        <v>2395291</v>
      </c>
      <c r="J630" s="33">
        <f t="shared" si="41"/>
        <v>0</v>
      </c>
    </row>
    <row r="631" spans="1:10">
      <c r="A631" s="3">
        <v>10000622</v>
      </c>
      <c r="B631" s="3" t="str">
        <v>Paschim Medinipur</v>
      </c>
      <c r="C631" s="3" t="str">
        <v>Reinforced Concrete</v>
      </c>
      <c r="D631" s="3">
        <v>3</v>
      </c>
      <c r="E631" s="4">
        <v>17875627</v>
      </c>
      <c r="F631" s="3">
        <f t="shared" si="38"/>
        <v>0</v>
      </c>
      <c r="G631" s="30">
        <f>IF(F631=0, 0, INDEX(tbl_Vulnerability[[0 ft]:[10 ft]], MATCH(Simulation!C631, tbl_Vulnerability[Construction_Class], 0), MATCH(Simulation!F631,{0,1,2,3,5,8,10}, 1)))</f>
        <v>0</v>
      </c>
      <c r="H631" s="4">
        <f t="shared" si="39"/>
        <v>0</v>
      </c>
      <c r="I631" s="33">
        <f t="shared" si="40"/>
        <v>893781.35000000009</v>
      </c>
      <c r="J631" s="33">
        <f t="shared" si="41"/>
        <v>0</v>
      </c>
    </row>
    <row r="632" spans="1:10">
      <c r="A632" s="3">
        <v>10000623</v>
      </c>
      <c r="B632" s="3" t="str">
        <v>Kolkata</v>
      </c>
      <c r="C632" s="3" t="str">
        <v>Reinforced Concrete</v>
      </c>
      <c r="D632" s="3">
        <v>4</v>
      </c>
      <c r="E632" s="4">
        <v>846147</v>
      </c>
      <c r="F632" s="3">
        <f t="shared" si="38"/>
        <v>0</v>
      </c>
      <c r="G632" s="30">
        <f>IF(F632=0, 0, INDEX(tbl_Vulnerability[[0 ft]:[10 ft]], MATCH(Simulation!C632, tbl_Vulnerability[Construction_Class], 0), MATCH(Simulation!F632,{0,1,2,3,5,8,10}, 1)))</f>
        <v>0</v>
      </c>
      <c r="H632" s="4">
        <f t="shared" si="39"/>
        <v>0</v>
      </c>
      <c r="I632" s="33">
        <f t="shared" si="40"/>
        <v>42307.350000000006</v>
      </c>
      <c r="J632" s="33">
        <f t="shared" si="41"/>
        <v>0</v>
      </c>
    </row>
    <row r="633" spans="1:10">
      <c r="A633" s="3">
        <v>10000624</v>
      </c>
      <c r="B633" s="3" t="str">
        <v>Hooghly</v>
      </c>
      <c r="C633" s="3" t="str">
        <v>Reinforced Concrete</v>
      </c>
      <c r="D633" s="3">
        <v>5</v>
      </c>
      <c r="E633" s="4">
        <v>6514703</v>
      </c>
      <c r="F633" s="3">
        <f t="shared" si="38"/>
        <v>0</v>
      </c>
      <c r="G633" s="30">
        <f>IF(F633=0, 0, INDEX(tbl_Vulnerability[[0 ft]:[10 ft]], MATCH(Simulation!C633, tbl_Vulnerability[Construction_Class], 0), MATCH(Simulation!F633,{0,1,2,3,5,8,10}, 1)))</f>
        <v>0</v>
      </c>
      <c r="H633" s="4">
        <f t="shared" si="39"/>
        <v>0</v>
      </c>
      <c r="I633" s="33">
        <f t="shared" si="40"/>
        <v>325735.15000000002</v>
      </c>
      <c r="J633" s="33">
        <f t="shared" si="41"/>
        <v>0</v>
      </c>
    </row>
    <row r="634" spans="1:10">
      <c r="A634" s="3">
        <v>10000625</v>
      </c>
      <c r="B634" s="3" t="str">
        <v>Paschim Medinipur</v>
      </c>
      <c r="C634" s="3" t="str">
        <v>Reinforced Concrete</v>
      </c>
      <c r="D634" s="3">
        <v>4</v>
      </c>
      <c r="E634" s="4">
        <v>4191744</v>
      </c>
      <c r="F634" s="3">
        <f t="shared" si="38"/>
        <v>0</v>
      </c>
      <c r="G634" s="30">
        <f>IF(F634=0, 0, INDEX(tbl_Vulnerability[[0 ft]:[10 ft]], MATCH(Simulation!C634, tbl_Vulnerability[Construction_Class], 0), MATCH(Simulation!F634,{0,1,2,3,5,8,10}, 1)))</f>
        <v>0</v>
      </c>
      <c r="H634" s="4">
        <f t="shared" si="39"/>
        <v>0</v>
      </c>
      <c r="I634" s="33">
        <f t="shared" si="40"/>
        <v>209587.20000000001</v>
      </c>
      <c r="J634" s="33">
        <f t="shared" si="41"/>
        <v>0</v>
      </c>
    </row>
    <row r="635" spans="1:10">
      <c r="A635" s="3">
        <v>10000626</v>
      </c>
      <c r="B635" s="3" t="str">
        <v>Hooghly</v>
      </c>
      <c r="C635" s="3" t="str">
        <v>Reinforced Concrete</v>
      </c>
      <c r="D635" s="3">
        <v>5</v>
      </c>
      <c r="E635" s="4">
        <v>53527843</v>
      </c>
      <c r="F635" s="3">
        <f t="shared" si="38"/>
        <v>0</v>
      </c>
      <c r="G635" s="30">
        <f>IF(F635=0, 0, INDEX(tbl_Vulnerability[[0 ft]:[10 ft]], MATCH(Simulation!C635, tbl_Vulnerability[Construction_Class], 0), MATCH(Simulation!F635,{0,1,2,3,5,8,10}, 1)))</f>
        <v>0</v>
      </c>
      <c r="H635" s="4">
        <f t="shared" si="39"/>
        <v>0</v>
      </c>
      <c r="I635" s="33">
        <f t="shared" si="40"/>
        <v>2676392.1500000004</v>
      </c>
      <c r="J635" s="33">
        <f t="shared" si="41"/>
        <v>0</v>
      </c>
    </row>
    <row r="636" spans="1:10">
      <c r="A636" s="3">
        <v>10000627</v>
      </c>
      <c r="B636" s="3" t="str">
        <v>Kolkata</v>
      </c>
      <c r="C636" s="3" t="str">
        <v>Reinforced Concrete</v>
      </c>
      <c r="D636" s="3">
        <v>5</v>
      </c>
      <c r="E636" s="4">
        <v>15639474</v>
      </c>
      <c r="F636" s="3">
        <f t="shared" si="38"/>
        <v>0</v>
      </c>
      <c r="G636" s="30">
        <f>IF(F636=0, 0, INDEX(tbl_Vulnerability[[0 ft]:[10 ft]], MATCH(Simulation!C636, tbl_Vulnerability[Construction_Class], 0), MATCH(Simulation!F636,{0,1,2,3,5,8,10}, 1)))</f>
        <v>0</v>
      </c>
      <c r="H636" s="4">
        <f t="shared" si="39"/>
        <v>0</v>
      </c>
      <c r="I636" s="33">
        <f t="shared" si="40"/>
        <v>781973.70000000007</v>
      </c>
      <c r="J636" s="33">
        <f t="shared" si="41"/>
        <v>0</v>
      </c>
    </row>
    <row r="637" spans="1:10">
      <c r="A637" s="3">
        <v>10000628</v>
      </c>
      <c r="B637" s="3" t="str">
        <v>Malda</v>
      </c>
      <c r="C637" s="3" t="str">
        <v>Reinforced Concrete</v>
      </c>
      <c r="D637" s="3">
        <v>3</v>
      </c>
      <c r="E637" s="4">
        <v>46607875</v>
      </c>
      <c r="F637" s="3">
        <f t="shared" si="38"/>
        <v>7</v>
      </c>
      <c r="G637" s="30">
        <f>IF(F637=0, 0, INDEX(tbl_Vulnerability[[0 ft]:[10 ft]], MATCH(Simulation!C637, tbl_Vulnerability[Construction_Class], 0), MATCH(Simulation!F637,{0,1,2,3,5,8,10}, 1)))</f>
        <v>0.2</v>
      </c>
      <c r="H637" s="4">
        <f t="shared" si="39"/>
        <v>9321575</v>
      </c>
      <c r="I637" s="33">
        <f t="shared" si="40"/>
        <v>2330393.75</v>
      </c>
      <c r="J637" s="33">
        <f t="shared" si="41"/>
        <v>6991181.25</v>
      </c>
    </row>
    <row r="638" spans="1:10">
      <c r="A638" s="3">
        <v>10000629</v>
      </c>
      <c r="B638" s="3" t="str">
        <v>Paschim Medinipur</v>
      </c>
      <c r="C638" s="3" t="str">
        <v>Reinforced Concrete</v>
      </c>
      <c r="D638" s="3">
        <v>5</v>
      </c>
      <c r="E638" s="4">
        <v>55220420</v>
      </c>
      <c r="F638" s="3">
        <f t="shared" si="38"/>
        <v>0</v>
      </c>
      <c r="G638" s="30">
        <f>IF(F638=0, 0, INDEX(tbl_Vulnerability[[0 ft]:[10 ft]], MATCH(Simulation!C638, tbl_Vulnerability[Construction_Class], 0), MATCH(Simulation!F638,{0,1,2,3,5,8,10}, 1)))</f>
        <v>0</v>
      </c>
      <c r="H638" s="4">
        <f t="shared" si="39"/>
        <v>0</v>
      </c>
      <c r="I638" s="33">
        <f t="shared" si="40"/>
        <v>2761021</v>
      </c>
      <c r="J638" s="33">
        <f t="shared" si="41"/>
        <v>0</v>
      </c>
    </row>
    <row r="639" spans="1:10">
      <c r="A639" s="3">
        <v>10000630</v>
      </c>
      <c r="B639" s="3" t="str">
        <v>Paschim Medinipur</v>
      </c>
      <c r="C639" s="3" t="str">
        <v>Reinforced Concrete</v>
      </c>
      <c r="D639" s="3">
        <v>5</v>
      </c>
      <c r="E639" s="4">
        <v>30640379</v>
      </c>
      <c r="F639" s="3">
        <f t="shared" si="38"/>
        <v>0</v>
      </c>
      <c r="G639" s="30">
        <f>IF(F639=0, 0, INDEX(tbl_Vulnerability[[0 ft]:[10 ft]], MATCH(Simulation!C639, tbl_Vulnerability[Construction_Class], 0), MATCH(Simulation!F639,{0,1,2,3,5,8,10}, 1)))</f>
        <v>0</v>
      </c>
      <c r="H639" s="4">
        <f t="shared" si="39"/>
        <v>0</v>
      </c>
      <c r="I639" s="33">
        <f t="shared" si="40"/>
        <v>1532018.9500000002</v>
      </c>
      <c r="J639" s="33">
        <f t="shared" si="41"/>
        <v>0</v>
      </c>
    </row>
    <row r="640" spans="1:10">
      <c r="A640" s="3">
        <v>10000631</v>
      </c>
      <c r="B640" s="3" t="str">
        <v>South 24 Parganas</v>
      </c>
      <c r="C640" s="3" t="str">
        <v>Unreinforced Masonry</v>
      </c>
      <c r="D640" s="3">
        <v>1</v>
      </c>
      <c r="E640" s="4">
        <v>5195022</v>
      </c>
      <c r="F640" s="3">
        <f t="shared" si="38"/>
        <v>0</v>
      </c>
      <c r="G640" s="30">
        <f>IF(F640=0, 0, INDEX(tbl_Vulnerability[[0 ft]:[10 ft]], MATCH(Simulation!C640, tbl_Vulnerability[Construction_Class], 0), MATCH(Simulation!F640,{0,1,2,3,5,8,10}, 1)))</f>
        <v>0</v>
      </c>
      <c r="H640" s="4">
        <f t="shared" si="39"/>
        <v>0</v>
      </c>
      <c r="I640" s="33">
        <f t="shared" si="40"/>
        <v>259751.1</v>
      </c>
      <c r="J640" s="33">
        <f t="shared" si="41"/>
        <v>0</v>
      </c>
    </row>
    <row r="641" spans="1:10">
      <c r="A641" s="3">
        <v>10000632</v>
      </c>
      <c r="B641" s="3" t="str">
        <v>South 24 Parganas</v>
      </c>
      <c r="C641" s="3" t="str">
        <v>Reinforced Concrete</v>
      </c>
      <c r="D641" s="3">
        <v>5</v>
      </c>
      <c r="E641" s="4">
        <v>4446314</v>
      </c>
      <c r="F641" s="3">
        <f t="shared" si="38"/>
        <v>0</v>
      </c>
      <c r="G641" s="30">
        <f>IF(F641=0, 0, INDEX(tbl_Vulnerability[[0 ft]:[10 ft]], MATCH(Simulation!C641, tbl_Vulnerability[Construction_Class], 0), MATCH(Simulation!F641,{0,1,2,3,5,8,10}, 1)))</f>
        <v>0</v>
      </c>
      <c r="H641" s="4">
        <f t="shared" si="39"/>
        <v>0</v>
      </c>
      <c r="I641" s="33">
        <f t="shared" si="40"/>
        <v>222315.7</v>
      </c>
      <c r="J641" s="33">
        <f t="shared" si="41"/>
        <v>0</v>
      </c>
    </row>
    <row r="642" spans="1:10">
      <c r="A642" s="3">
        <v>10000633</v>
      </c>
      <c r="B642" s="3" t="str">
        <v>Kolkata</v>
      </c>
      <c r="C642" s="3" t="str">
        <v>Unreinforced Masonry</v>
      </c>
      <c r="D642" s="3">
        <v>1</v>
      </c>
      <c r="E642" s="4">
        <v>19282915</v>
      </c>
      <c r="F642" s="3">
        <f t="shared" si="38"/>
        <v>0</v>
      </c>
      <c r="G642" s="30">
        <f>IF(F642=0, 0, INDEX(tbl_Vulnerability[[0 ft]:[10 ft]], MATCH(Simulation!C642, tbl_Vulnerability[Construction_Class], 0), MATCH(Simulation!F642,{0,1,2,3,5,8,10}, 1)))</f>
        <v>0</v>
      </c>
      <c r="H642" s="4">
        <f t="shared" si="39"/>
        <v>0</v>
      </c>
      <c r="I642" s="33">
        <f t="shared" si="40"/>
        <v>964145.75</v>
      </c>
      <c r="J642" s="33">
        <f t="shared" si="41"/>
        <v>0</v>
      </c>
    </row>
    <row r="643" spans="1:10">
      <c r="A643" s="3">
        <v>10000634</v>
      </c>
      <c r="B643" s="3" t="str">
        <v>South 24 Parganas</v>
      </c>
      <c r="C643" s="3" t="str">
        <v>Reinforced Concrete</v>
      </c>
      <c r="D643" s="3">
        <v>4</v>
      </c>
      <c r="E643" s="4">
        <v>15790755</v>
      </c>
      <c r="F643" s="3">
        <f t="shared" si="38"/>
        <v>0</v>
      </c>
      <c r="G643" s="30">
        <f>IF(F643=0, 0, INDEX(tbl_Vulnerability[[0 ft]:[10 ft]], MATCH(Simulation!C643, tbl_Vulnerability[Construction_Class], 0), MATCH(Simulation!F643,{0,1,2,3,5,8,10}, 1)))</f>
        <v>0</v>
      </c>
      <c r="H643" s="4">
        <f t="shared" si="39"/>
        <v>0</v>
      </c>
      <c r="I643" s="33">
        <f t="shared" si="40"/>
        <v>789537.75</v>
      </c>
      <c r="J643" s="33">
        <f t="shared" si="41"/>
        <v>0</v>
      </c>
    </row>
    <row r="644" spans="1:10">
      <c r="A644" s="3">
        <v>10000635</v>
      </c>
      <c r="B644" s="3" t="str">
        <v>Paschim Medinipur</v>
      </c>
      <c r="C644" s="3" t="str">
        <v>Reinforced Concrete</v>
      </c>
      <c r="D644" s="3">
        <v>5</v>
      </c>
      <c r="E644" s="4">
        <v>45345610</v>
      </c>
      <c r="F644" s="3">
        <f t="shared" si="38"/>
        <v>0</v>
      </c>
      <c r="G644" s="30">
        <f>IF(F644=0, 0, INDEX(tbl_Vulnerability[[0 ft]:[10 ft]], MATCH(Simulation!C644, tbl_Vulnerability[Construction_Class], 0), MATCH(Simulation!F644,{0,1,2,3,5,8,10}, 1)))</f>
        <v>0</v>
      </c>
      <c r="H644" s="4">
        <f t="shared" si="39"/>
        <v>0</v>
      </c>
      <c r="I644" s="33">
        <f t="shared" si="40"/>
        <v>2267280.5</v>
      </c>
      <c r="J644" s="33">
        <f t="shared" si="41"/>
        <v>0</v>
      </c>
    </row>
    <row r="645" spans="1:10">
      <c r="A645" s="3">
        <v>10000636</v>
      </c>
      <c r="B645" s="3" t="str">
        <v>South 24 Parganas</v>
      </c>
      <c r="C645" s="3" t="str">
        <v>Reinforced Concrete</v>
      </c>
      <c r="D645" s="3">
        <v>4</v>
      </c>
      <c r="E645" s="4">
        <v>46583975</v>
      </c>
      <c r="F645" s="3">
        <f t="shared" si="38"/>
        <v>0</v>
      </c>
      <c r="G645" s="30">
        <f>IF(F645=0, 0, INDEX(tbl_Vulnerability[[0 ft]:[10 ft]], MATCH(Simulation!C645, tbl_Vulnerability[Construction_Class], 0), MATCH(Simulation!F645,{0,1,2,3,5,8,10}, 1)))</f>
        <v>0</v>
      </c>
      <c r="H645" s="4">
        <f t="shared" si="39"/>
        <v>0</v>
      </c>
      <c r="I645" s="33">
        <f t="shared" si="40"/>
        <v>2329198.75</v>
      </c>
      <c r="J645" s="33">
        <f t="shared" si="41"/>
        <v>0</v>
      </c>
    </row>
    <row r="646" spans="1:10">
      <c r="A646" s="3">
        <v>10000637</v>
      </c>
      <c r="B646" s="3" t="str">
        <v>Paschim Medinipur</v>
      </c>
      <c r="C646" s="3" t="str">
        <v>Reinforced Concrete</v>
      </c>
      <c r="D646" s="3">
        <v>5</v>
      </c>
      <c r="E646" s="4">
        <v>5783957</v>
      </c>
      <c r="F646" s="3">
        <f t="shared" si="38"/>
        <v>0</v>
      </c>
      <c r="G646" s="30">
        <f>IF(F646=0, 0, INDEX(tbl_Vulnerability[[0 ft]:[10 ft]], MATCH(Simulation!C646, tbl_Vulnerability[Construction_Class], 0), MATCH(Simulation!F646,{0,1,2,3,5,8,10}, 1)))</f>
        <v>0</v>
      </c>
      <c r="H646" s="4">
        <f t="shared" si="39"/>
        <v>0</v>
      </c>
      <c r="I646" s="33">
        <f t="shared" si="40"/>
        <v>289197.85000000003</v>
      </c>
      <c r="J646" s="33">
        <f t="shared" si="41"/>
        <v>0</v>
      </c>
    </row>
    <row r="647" spans="1:10">
      <c r="A647" s="3">
        <v>10000638</v>
      </c>
      <c r="B647" s="3" t="str">
        <v>Malda</v>
      </c>
      <c r="C647" s="3" t="str">
        <v>Reinforced Concrete</v>
      </c>
      <c r="D647" s="3">
        <v>3</v>
      </c>
      <c r="E647" s="4">
        <v>54324444</v>
      </c>
      <c r="F647" s="3">
        <f t="shared" si="38"/>
        <v>7</v>
      </c>
      <c r="G647" s="30">
        <f>IF(F647=0, 0, INDEX(tbl_Vulnerability[[0 ft]:[10 ft]], MATCH(Simulation!C647, tbl_Vulnerability[Construction_Class], 0), MATCH(Simulation!F647,{0,1,2,3,5,8,10}, 1)))</f>
        <v>0.2</v>
      </c>
      <c r="H647" s="4">
        <f t="shared" si="39"/>
        <v>10864888.800000001</v>
      </c>
      <c r="I647" s="33">
        <f t="shared" si="40"/>
        <v>2716222.2</v>
      </c>
      <c r="J647" s="33">
        <f t="shared" si="41"/>
        <v>8148666.6000000006</v>
      </c>
    </row>
    <row r="648" spans="1:10">
      <c r="A648" s="3">
        <v>10000639</v>
      </c>
      <c r="B648" s="3" t="str">
        <v>Malda</v>
      </c>
      <c r="C648" s="3" t="str">
        <v>Unreinforced Masonry</v>
      </c>
      <c r="D648" s="3">
        <v>2</v>
      </c>
      <c r="E648" s="4">
        <v>6187117</v>
      </c>
      <c r="F648" s="3">
        <f t="shared" si="38"/>
        <v>8</v>
      </c>
      <c r="G648" s="30">
        <f>IF(F648=0, 0, INDEX(tbl_Vulnerability[[0 ft]:[10 ft]], MATCH(Simulation!C648, tbl_Vulnerability[Construction_Class], 0), MATCH(Simulation!F648,{0,1,2,3,5,8,10}, 1)))</f>
        <v>0.9</v>
      </c>
      <c r="H648" s="4">
        <f t="shared" si="39"/>
        <v>5568405.2999999998</v>
      </c>
      <c r="I648" s="33">
        <f t="shared" si="40"/>
        <v>309355.85000000003</v>
      </c>
      <c r="J648" s="33">
        <f t="shared" si="41"/>
        <v>5259049.45</v>
      </c>
    </row>
    <row r="649" spans="1:10">
      <c r="A649" s="3">
        <v>10000640</v>
      </c>
      <c r="B649" s="3" t="str">
        <v>Kolkata</v>
      </c>
      <c r="C649" s="3" t="str">
        <v>Reinforced Concrete</v>
      </c>
      <c r="D649" s="3">
        <v>4</v>
      </c>
      <c r="E649" s="4">
        <v>14230810</v>
      </c>
      <c r="F649" s="3">
        <f t="shared" si="38"/>
        <v>0</v>
      </c>
      <c r="G649" s="30">
        <f>IF(F649=0, 0, INDEX(tbl_Vulnerability[[0 ft]:[10 ft]], MATCH(Simulation!C649, tbl_Vulnerability[Construction_Class], 0), MATCH(Simulation!F649,{0,1,2,3,5,8,10}, 1)))</f>
        <v>0</v>
      </c>
      <c r="H649" s="4">
        <f t="shared" si="39"/>
        <v>0</v>
      </c>
      <c r="I649" s="33">
        <f t="shared" si="40"/>
        <v>711540.5</v>
      </c>
      <c r="J649" s="33">
        <f t="shared" si="41"/>
        <v>0</v>
      </c>
    </row>
    <row r="650" spans="1:10">
      <c r="A650" s="3">
        <v>10000641</v>
      </c>
      <c r="B650" s="3" t="str">
        <v>Malda</v>
      </c>
      <c r="C650" s="3" t="str">
        <v>Unreinforced Masonry</v>
      </c>
      <c r="D650" s="3">
        <v>2</v>
      </c>
      <c r="E650" s="4">
        <v>200000</v>
      </c>
      <c r="F650" s="3">
        <f t="shared" si="38"/>
        <v>8</v>
      </c>
      <c r="G650" s="30">
        <f>IF(F650=0, 0, INDEX(tbl_Vulnerability[[0 ft]:[10 ft]], MATCH(Simulation!C650, tbl_Vulnerability[Construction_Class], 0), MATCH(Simulation!F650,{0,1,2,3,5,8,10}, 1)))</f>
        <v>0.9</v>
      </c>
      <c r="H650" s="4">
        <f t="shared" si="39"/>
        <v>180000</v>
      </c>
      <c r="I650" s="33">
        <f t="shared" si="40"/>
        <v>10000</v>
      </c>
      <c r="J650" s="33">
        <f t="shared" si="41"/>
        <v>170000</v>
      </c>
    </row>
    <row r="651" spans="1:10">
      <c r="A651" s="3">
        <v>10000642</v>
      </c>
      <c r="B651" s="3" t="str">
        <v>Kolkata</v>
      </c>
      <c r="C651" s="3" t="str">
        <v>Reinforced Concrete</v>
      </c>
      <c r="D651" s="3">
        <v>4</v>
      </c>
      <c r="E651" s="4">
        <v>2629470</v>
      </c>
      <c r="F651" s="3">
        <f t="shared" ref="F651:F714" si="42">IF(B651=$B$2, MAX(0, $B$3 - D651), 0)</f>
        <v>0</v>
      </c>
      <c r="G651" s="30">
        <f>IF(F651=0, 0, INDEX(tbl_Vulnerability[[0 ft]:[10 ft]], MATCH(Simulation!C651, tbl_Vulnerability[Construction_Class], 0), MATCH(Simulation!F651,{0,1,2,3,5,8,10}, 1)))</f>
        <v>0</v>
      </c>
      <c r="H651" s="4">
        <f t="shared" ref="H651:H714" si="43">E651*G651</f>
        <v>0</v>
      </c>
      <c r="I651" s="33">
        <f t="shared" ref="I651:I714" si="44">E651*$B$4</f>
        <v>131473.5</v>
      </c>
      <c r="J651" s="33">
        <f t="shared" ref="J651:J714" si="45">MAX(0, H651 - I651)</f>
        <v>0</v>
      </c>
    </row>
    <row r="652" spans="1:10">
      <c r="A652" s="3">
        <v>10000643</v>
      </c>
      <c r="B652" s="3" t="str">
        <v>Kolkata</v>
      </c>
      <c r="C652" s="3" t="str">
        <v>Adobe / Light Timber</v>
      </c>
      <c r="D652" s="3">
        <v>0</v>
      </c>
      <c r="E652" s="4">
        <v>513797</v>
      </c>
      <c r="F652" s="3">
        <f t="shared" si="42"/>
        <v>0</v>
      </c>
      <c r="G652" s="30">
        <f>IF(F652=0, 0, INDEX(tbl_Vulnerability[[0 ft]:[10 ft]], MATCH(Simulation!C652, tbl_Vulnerability[Construction_Class], 0), MATCH(Simulation!F652,{0,1,2,3,5,8,10}, 1)))</f>
        <v>0</v>
      </c>
      <c r="H652" s="4">
        <f t="shared" si="43"/>
        <v>0</v>
      </c>
      <c r="I652" s="33">
        <f t="shared" si="44"/>
        <v>25689.850000000002</v>
      </c>
      <c r="J652" s="33">
        <f t="shared" si="45"/>
        <v>0</v>
      </c>
    </row>
    <row r="653" spans="1:10">
      <c r="A653" s="3">
        <v>10000644</v>
      </c>
      <c r="B653" s="3" t="str">
        <v>Malda</v>
      </c>
      <c r="C653" s="3" t="str">
        <v>Reinforced Concrete</v>
      </c>
      <c r="D653" s="3">
        <v>3</v>
      </c>
      <c r="E653" s="4">
        <v>62172191</v>
      </c>
      <c r="F653" s="3">
        <f t="shared" si="42"/>
        <v>7</v>
      </c>
      <c r="G653" s="30">
        <f>IF(F653=0, 0, INDEX(tbl_Vulnerability[[0 ft]:[10 ft]], MATCH(Simulation!C653, tbl_Vulnerability[Construction_Class], 0), MATCH(Simulation!F653,{0,1,2,3,5,8,10}, 1)))</f>
        <v>0.2</v>
      </c>
      <c r="H653" s="4">
        <f t="shared" si="43"/>
        <v>12434438.200000001</v>
      </c>
      <c r="I653" s="33">
        <f t="shared" si="44"/>
        <v>3108609.5500000003</v>
      </c>
      <c r="J653" s="33">
        <f t="shared" si="45"/>
        <v>9325828.6500000004</v>
      </c>
    </row>
    <row r="654" spans="1:10">
      <c r="A654" s="3">
        <v>10000645</v>
      </c>
      <c r="B654" s="3" t="str">
        <v>Paschim Medinipur</v>
      </c>
      <c r="C654" s="3" t="str">
        <v>Reinforced Concrete</v>
      </c>
      <c r="D654" s="3">
        <v>4</v>
      </c>
      <c r="E654" s="4">
        <v>57243228</v>
      </c>
      <c r="F654" s="3">
        <f t="shared" si="42"/>
        <v>0</v>
      </c>
      <c r="G654" s="30">
        <f>IF(F654=0, 0, INDEX(tbl_Vulnerability[[0 ft]:[10 ft]], MATCH(Simulation!C654, tbl_Vulnerability[Construction_Class], 0), MATCH(Simulation!F654,{0,1,2,3,5,8,10}, 1)))</f>
        <v>0</v>
      </c>
      <c r="H654" s="4">
        <f t="shared" si="43"/>
        <v>0</v>
      </c>
      <c r="I654" s="33">
        <f t="shared" si="44"/>
        <v>2862161.4000000004</v>
      </c>
      <c r="J654" s="33">
        <f t="shared" si="45"/>
        <v>0</v>
      </c>
    </row>
    <row r="655" spans="1:10">
      <c r="A655" s="3">
        <v>10000646</v>
      </c>
      <c r="B655" s="3" t="str">
        <v>Kolkata</v>
      </c>
      <c r="C655" s="3" t="str">
        <v>Reinforced Concrete</v>
      </c>
      <c r="D655" s="3">
        <v>3</v>
      </c>
      <c r="E655" s="4">
        <v>41373753</v>
      </c>
      <c r="F655" s="3">
        <f t="shared" si="42"/>
        <v>0</v>
      </c>
      <c r="G655" s="30">
        <f>IF(F655=0, 0, INDEX(tbl_Vulnerability[[0 ft]:[10 ft]], MATCH(Simulation!C655, tbl_Vulnerability[Construction_Class], 0), MATCH(Simulation!F655,{0,1,2,3,5,8,10}, 1)))</f>
        <v>0</v>
      </c>
      <c r="H655" s="4">
        <f t="shared" si="43"/>
        <v>0</v>
      </c>
      <c r="I655" s="33">
        <f t="shared" si="44"/>
        <v>2068687.6500000001</v>
      </c>
      <c r="J655" s="33">
        <f t="shared" si="45"/>
        <v>0</v>
      </c>
    </row>
    <row r="656" spans="1:10">
      <c r="A656" s="3">
        <v>10000647</v>
      </c>
      <c r="B656" s="3" t="str">
        <v>South 24 Parganas</v>
      </c>
      <c r="C656" s="3" t="str">
        <v>Unreinforced Masonry</v>
      </c>
      <c r="D656" s="3">
        <v>0</v>
      </c>
      <c r="E656" s="4">
        <v>9414408</v>
      </c>
      <c r="F656" s="3">
        <f t="shared" si="42"/>
        <v>0</v>
      </c>
      <c r="G656" s="30">
        <f>IF(F656=0, 0, INDEX(tbl_Vulnerability[[0 ft]:[10 ft]], MATCH(Simulation!C656, tbl_Vulnerability[Construction_Class], 0), MATCH(Simulation!F656,{0,1,2,3,5,8,10}, 1)))</f>
        <v>0</v>
      </c>
      <c r="H656" s="4">
        <f t="shared" si="43"/>
        <v>0</v>
      </c>
      <c r="I656" s="33">
        <f t="shared" si="44"/>
        <v>470720.4</v>
      </c>
      <c r="J656" s="33">
        <f t="shared" si="45"/>
        <v>0</v>
      </c>
    </row>
    <row r="657" spans="1:10">
      <c r="A657" s="3">
        <v>10000648</v>
      </c>
      <c r="B657" s="3" t="str">
        <v>Hooghly</v>
      </c>
      <c r="C657" s="3" t="str">
        <v>Reinforced Concrete</v>
      </c>
      <c r="D657" s="3">
        <v>5</v>
      </c>
      <c r="E657" s="4">
        <v>15046415</v>
      </c>
      <c r="F657" s="3">
        <f t="shared" si="42"/>
        <v>0</v>
      </c>
      <c r="G657" s="30">
        <f>IF(F657=0, 0, INDEX(tbl_Vulnerability[[0 ft]:[10 ft]], MATCH(Simulation!C657, tbl_Vulnerability[Construction_Class], 0), MATCH(Simulation!F657,{0,1,2,3,5,8,10}, 1)))</f>
        <v>0</v>
      </c>
      <c r="H657" s="4">
        <f t="shared" si="43"/>
        <v>0</v>
      </c>
      <c r="I657" s="33">
        <f t="shared" si="44"/>
        <v>752320.75</v>
      </c>
      <c r="J657" s="33">
        <f t="shared" si="45"/>
        <v>0</v>
      </c>
    </row>
    <row r="658" spans="1:10">
      <c r="A658" s="3">
        <v>10000649</v>
      </c>
      <c r="B658" s="3" t="str">
        <v>Jalpaiguri</v>
      </c>
      <c r="C658" s="3" t="str">
        <v>Reinforced Concrete</v>
      </c>
      <c r="D658" s="3">
        <v>4</v>
      </c>
      <c r="E658" s="4">
        <v>13969456</v>
      </c>
      <c r="F658" s="3">
        <f t="shared" si="42"/>
        <v>0</v>
      </c>
      <c r="G658" s="30">
        <f>IF(F658=0, 0, INDEX(tbl_Vulnerability[[0 ft]:[10 ft]], MATCH(Simulation!C658, tbl_Vulnerability[Construction_Class], 0), MATCH(Simulation!F658,{0,1,2,3,5,8,10}, 1)))</f>
        <v>0</v>
      </c>
      <c r="H658" s="4">
        <f t="shared" si="43"/>
        <v>0</v>
      </c>
      <c r="I658" s="33">
        <f t="shared" si="44"/>
        <v>698472.8</v>
      </c>
      <c r="J658" s="33">
        <f t="shared" si="45"/>
        <v>0</v>
      </c>
    </row>
    <row r="659" spans="1:10">
      <c r="A659" s="3">
        <v>10000650</v>
      </c>
      <c r="B659" s="3" t="str">
        <v>South 24 Parganas</v>
      </c>
      <c r="C659" s="3" t="str">
        <v>Adobe / Light Timber</v>
      </c>
      <c r="D659" s="3">
        <v>2</v>
      </c>
      <c r="E659" s="4">
        <v>358682</v>
      </c>
      <c r="F659" s="3">
        <f t="shared" si="42"/>
        <v>0</v>
      </c>
      <c r="G659" s="30">
        <f>IF(F659=0, 0, INDEX(tbl_Vulnerability[[0 ft]:[10 ft]], MATCH(Simulation!C659, tbl_Vulnerability[Construction_Class], 0), MATCH(Simulation!F659,{0,1,2,3,5,8,10}, 1)))</f>
        <v>0</v>
      </c>
      <c r="H659" s="4">
        <f t="shared" si="43"/>
        <v>0</v>
      </c>
      <c r="I659" s="33">
        <f t="shared" si="44"/>
        <v>17934.100000000002</v>
      </c>
      <c r="J659" s="33">
        <f t="shared" si="45"/>
        <v>0</v>
      </c>
    </row>
    <row r="660" spans="1:10">
      <c r="A660" s="3">
        <v>10000651</v>
      </c>
      <c r="B660" s="3" t="str">
        <v>Hooghly</v>
      </c>
      <c r="C660" s="3" t="str">
        <v>Reinforced Concrete</v>
      </c>
      <c r="D660" s="3">
        <v>4</v>
      </c>
      <c r="E660" s="4">
        <v>47222950</v>
      </c>
      <c r="F660" s="3">
        <f t="shared" si="42"/>
        <v>0</v>
      </c>
      <c r="G660" s="30">
        <f>IF(F660=0, 0, INDEX(tbl_Vulnerability[[0 ft]:[10 ft]], MATCH(Simulation!C660, tbl_Vulnerability[Construction_Class], 0), MATCH(Simulation!F660,{0,1,2,3,5,8,10}, 1)))</f>
        <v>0</v>
      </c>
      <c r="H660" s="4">
        <f t="shared" si="43"/>
        <v>0</v>
      </c>
      <c r="I660" s="33">
        <f t="shared" si="44"/>
        <v>2361147.5</v>
      </c>
      <c r="J660" s="33">
        <f t="shared" si="45"/>
        <v>0</v>
      </c>
    </row>
    <row r="661" spans="1:10">
      <c r="A661" s="3">
        <v>10000652</v>
      </c>
      <c r="B661" s="3" t="str">
        <v>Hooghly</v>
      </c>
      <c r="C661" s="3" t="str">
        <v>Reinforced Concrete</v>
      </c>
      <c r="D661" s="3">
        <v>4</v>
      </c>
      <c r="E661" s="4">
        <v>19613954</v>
      </c>
      <c r="F661" s="3">
        <f t="shared" si="42"/>
        <v>0</v>
      </c>
      <c r="G661" s="30">
        <f>IF(F661=0, 0, INDEX(tbl_Vulnerability[[0 ft]:[10 ft]], MATCH(Simulation!C661, tbl_Vulnerability[Construction_Class], 0), MATCH(Simulation!F661,{0,1,2,3,5,8,10}, 1)))</f>
        <v>0</v>
      </c>
      <c r="H661" s="4">
        <f t="shared" si="43"/>
        <v>0</v>
      </c>
      <c r="I661" s="33">
        <f t="shared" si="44"/>
        <v>980697.70000000007</v>
      </c>
      <c r="J661" s="33">
        <f t="shared" si="45"/>
        <v>0</v>
      </c>
    </row>
    <row r="662" spans="1:10">
      <c r="A662" s="3">
        <v>10000653</v>
      </c>
      <c r="B662" s="3" t="str">
        <v>Jalpaiguri</v>
      </c>
      <c r="C662" s="3" t="str">
        <v>Unreinforced Masonry</v>
      </c>
      <c r="D662" s="3">
        <v>1</v>
      </c>
      <c r="E662" s="4">
        <v>1706081</v>
      </c>
      <c r="F662" s="3">
        <f t="shared" si="42"/>
        <v>0</v>
      </c>
      <c r="G662" s="30">
        <f>IF(F662=0, 0, INDEX(tbl_Vulnerability[[0 ft]:[10 ft]], MATCH(Simulation!C662, tbl_Vulnerability[Construction_Class], 0), MATCH(Simulation!F662,{0,1,2,3,5,8,10}, 1)))</f>
        <v>0</v>
      </c>
      <c r="H662" s="4">
        <f t="shared" si="43"/>
        <v>0</v>
      </c>
      <c r="I662" s="33">
        <f t="shared" si="44"/>
        <v>85304.05</v>
      </c>
      <c r="J662" s="33">
        <f t="shared" si="45"/>
        <v>0</v>
      </c>
    </row>
    <row r="663" spans="1:10">
      <c r="A663" s="3">
        <v>10000654</v>
      </c>
      <c r="B663" s="3" t="str">
        <v>Paschim Medinipur</v>
      </c>
      <c r="C663" s="3" t="str">
        <v>Unreinforced Masonry</v>
      </c>
      <c r="D663" s="3">
        <v>2</v>
      </c>
      <c r="E663" s="4">
        <v>19185968</v>
      </c>
      <c r="F663" s="3">
        <f t="shared" si="42"/>
        <v>0</v>
      </c>
      <c r="G663" s="30">
        <f>IF(F663=0, 0, INDEX(tbl_Vulnerability[[0 ft]:[10 ft]], MATCH(Simulation!C663, tbl_Vulnerability[Construction_Class], 0), MATCH(Simulation!F663,{0,1,2,3,5,8,10}, 1)))</f>
        <v>0</v>
      </c>
      <c r="H663" s="4">
        <f t="shared" si="43"/>
        <v>0</v>
      </c>
      <c r="I663" s="33">
        <f t="shared" si="44"/>
        <v>959298.4</v>
      </c>
      <c r="J663" s="33">
        <f t="shared" si="45"/>
        <v>0</v>
      </c>
    </row>
    <row r="664" spans="1:10">
      <c r="A664" s="3">
        <v>10000655</v>
      </c>
      <c r="B664" s="3" t="str">
        <v>South 24 Parganas</v>
      </c>
      <c r="C664" s="3" t="str">
        <v>Adobe / Light Timber</v>
      </c>
      <c r="D664" s="3">
        <v>1</v>
      </c>
      <c r="E664" s="4">
        <v>405332</v>
      </c>
      <c r="F664" s="3">
        <f t="shared" si="42"/>
        <v>0</v>
      </c>
      <c r="G664" s="30">
        <f>IF(F664=0, 0, INDEX(tbl_Vulnerability[[0 ft]:[10 ft]], MATCH(Simulation!C664, tbl_Vulnerability[Construction_Class], 0), MATCH(Simulation!F664,{0,1,2,3,5,8,10}, 1)))</f>
        <v>0</v>
      </c>
      <c r="H664" s="4">
        <f t="shared" si="43"/>
        <v>0</v>
      </c>
      <c r="I664" s="33">
        <f t="shared" si="44"/>
        <v>20266.600000000002</v>
      </c>
      <c r="J664" s="33">
        <f t="shared" si="45"/>
        <v>0</v>
      </c>
    </row>
    <row r="665" spans="1:10">
      <c r="A665" s="3">
        <v>10000656</v>
      </c>
      <c r="B665" s="3" t="str">
        <v>Hooghly</v>
      </c>
      <c r="C665" s="3" t="str">
        <v>Unreinforced Masonry</v>
      </c>
      <c r="D665" s="3">
        <v>0</v>
      </c>
      <c r="E665" s="4">
        <v>20120091</v>
      </c>
      <c r="F665" s="3">
        <f t="shared" si="42"/>
        <v>0</v>
      </c>
      <c r="G665" s="30">
        <f>IF(F665=0, 0, INDEX(tbl_Vulnerability[[0 ft]:[10 ft]], MATCH(Simulation!C665, tbl_Vulnerability[Construction_Class], 0), MATCH(Simulation!F665,{0,1,2,3,5,8,10}, 1)))</f>
        <v>0</v>
      </c>
      <c r="H665" s="4">
        <f t="shared" si="43"/>
        <v>0</v>
      </c>
      <c r="I665" s="33">
        <f t="shared" si="44"/>
        <v>1006004.55</v>
      </c>
      <c r="J665" s="33">
        <f t="shared" si="45"/>
        <v>0</v>
      </c>
    </row>
    <row r="666" spans="1:10">
      <c r="A666" s="3">
        <v>10000657</v>
      </c>
      <c r="B666" s="3" t="str">
        <v>Paschim Medinipur</v>
      </c>
      <c r="C666" s="3" t="str">
        <v>Reinforced Concrete</v>
      </c>
      <c r="D666" s="3">
        <v>4</v>
      </c>
      <c r="E666" s="4">
        <v>11023991</v>
      </c>
      <c r="F666" s="3">
        <f t="shared" si="42"/>
        <v>0</v>
      </c>
      <c r="G666" s="30">
        <f>IF(F666=0, 0, INDEX(tbl_Vulnerability[[0 ft]:[10 ft]], MATCH(Simulation!C666, tbl_Vulnerability[Construction_Class], 0), MATCH(Simulation!F666,{0,1,2,3,5,8,10}, 1)))</f>
        <v>0</v>
      </c>
      <c r="H666" s="4">
        <f t="shared" si="43"/>
        <v>0</v>
      </c>
      <c r="I666" s="33">
        <f t="shared" si="44"/>
        <v>551199.55000000005</v>
      </c>
      <c r="J666" s="33">
        <f t="shared" si="45"/>
        <v>0</v>
      </c>
    </row>
    <row r="667" spans="1:10">
      <c r="A667" s="3">
        <v>10000658</v>
      </c>
      <c r="B667" s="3" t="str">
        <v>South 24 Parganas</v>
      </c>
      <c r="C667" s="3" t="str">
        <v>Reinforced Concrete</v>
      </c>
      <c r="D667" s="3">
        <v>4</v>
      </c>
      <c r="E667" s="4">
        <v>18346530</v>
      </c>
      <c r="F667" s="3">
        <f t="shared" si="42"/>
        <v>0</v>
      </c>
      <c r="G667" s="30">
        <f>IF(F667=0, 0, INDEX(tbl_Vulnerability[[0 ft]:[10 ft]], MATCH(Simulation!C667, tbl_Vulnerability[Construction_Class], 0), MATCH(Simulation!F667,{0,1,2,3,5,8,10}, 1)))</f>
        <v>0</v>
      </c>
      <c r="H667" s="4">
        <f t="shared" si="43"/>
        <v>0</v>
      </c>
      <c r="I667" s="33">
        <f t="shared" si="44"/>
        <v>917326.5</v>
      </c>
      <c r="J667" s="33">
        <f t="shared" si="45"/>
        <v>0</v>
      </c>
    </row>
    <row r="668" spans="1:10">
      <c r="A668" s="3">
        <v>10000659</v>
      </c>
      <c r="B668" s="3" t="str">
        <v>Kolkata</v>
      </c>
      <c r="C668" s="3" t="str">
        <v>Reinforced Concrete</v>
      </c>
      <c r="D668" s="3">
        <v>4</v>
      </c>
      <c r="E668" s="4">
        <v>12633714</v>
      </c>
      <c r="F668" s="3">
        <f t="shared" si="42"/>
        <v>0</v>
      </c>
      <c r="G668" s="30">
        <f>IF(F668=0, 0, INDEX(tbl_Vulnerability[[0 ft]:[10 ft]], MATCH(Simulation!C668, tbl_Vulnerability[Construction_Class], 0), MATCH(Simulation!F668,{0,1,2,3,5,8,10}, 1)))</f>
        <v>0</v>
      </c>
      <c r="H668" s="4">
        <f t="shared" si="43"/>
        <v>0</v>
      </c>
      <c r="I668" s="33">
        <f t="shared" si="44"/>
        <v>631685.70000000007</v>
      </c>
      <c r="J668" s="33">
        <f t="shared" si="45"/>
        <v>0</v>
      </c>
    </row>
    <row r="669" spans="1:10">
      <c r="A669" s="3">
        <v>10000660</v>
      </c>
      <c r="B669" s="3" t="str">
        <v>Paschim Medinipur</v>
      </c>
      <c r="C669" s="3" t="str">
        <v>Reinforced Concrete</v>
      </c>
      <c r="D669" s="3">
        <v>4</v>
      </c>
      <c r="E669" s="4">
        <v>28562080</v>
      </c>
      <c r="F669" s="3">
        <f t="shared" si="42"/>
        <v>0</v>
      </c>
      <c r="G669" s="30">
        <f>IF(F669=0, 0, INDEX(tbl_Vulnerability[[0 ft]:[10 ft]], MATCH(Simulation!C669, tbl_Vulnerability[Construction_Class], 0), MATCH(Simulation!F669,{0,1,2,3,5,8,10}, 1)))</f>
        <v>0</v>
      </c>
      <c r="H669" s="4">
        <f t="shared" si="43"/>
        <v>0</v>
      </c>
      <c r="I669" s="33">
        <f t="shared" si="44"/>
        <v>1428104</v>
      </c>
      <c r="J669" s="33">
        <f t="shared" si="45"/>
        <v>0</v>
      </c>
    </row>
    <row r="670" spans="1:10">
      <c r="A670" s="3">
        <v>10000661</v>
      </c>
      <c r="B670" s="3" t="str">
        <v>Kolkata</v>
      </c>
      <c r="C670" s="3" t="str">
        <v>Reinforced Concrete</v>
      </c>
      <c r="D670" s="3">
        <v>4</v>
      </c>
      <c r="E670" s="4">
        <v>6310505</v>
      </c>
      <c r="F670" s="3">
        <f t="shared" si="42"/>
        <v>0</v>
      </c>
      <c r="G670" s="30">
        <f>IF(F670=0, 0, INDEX(tbl_Vulnerability[[0 ft]:[10 ft]], MATCH(Simulation!C670, tbl_Vulnerability[Construction_Class], 0), MATCH(Simulation!F670,{0,1,2,3,5,8,10}, 1)))</f>
        <v>0</v>
      </c>
      <c r="H670" s="4">
        <f t="shared" si="43"/>
        <v>0</v>
      </c>
      <c r="I670" s="33">
        <f t="shared" si="44"/>
        <v>315525.25</v>
      </c>
      <c r="J670" s="33">
        <f t="shared" si="45"/>
        <v>0</v>
      </c>
    </row>
    <row r="671" spans="1:10">
      <c r="A671" s="3">
        <v>10000662</v>
      </c>
      <c r="B671" s="3" t="str">
        <v>Kolkata</v>
      </c>
      <c r="C671" s="3" t="str">
        <v>Adobe / Light Timber</v>
      </c>
      <c r="D671" s="3">
        <v>0</v>
      </c>
      <c r="E671" s="4">
        <v>506289</v>
      </c>
      <c r="F671" s="3">
        <f t="shared" si="42"/>
        <v>0</v>
      </c>
      <c r="G671" s="30">
        <f>IF(F671=0, 0, INDEX(tbl_Vulnerability[[0 ft]:[10 ft]], MATCH(Simulation!C671, tbl_Vulnerability[Construction_Class], 0), MATCH(Simulation!F671,{0,1,2,3,5,8,10}, 1)))</f>
        <v>0</v>
      </c>
      <c r="H671" s="4">
        <f t="shared" si="43"/>
        <v>0</v>
      </c>
      <c r="I671" s="33">
        <f t="shared" si="44"/>
        <v>25314.45</v>
      </c>
      <c r="J671" s="33">
        <f t="shared" si="45"/>
        <v>0</v>
      </c>
    </row>
    <row r="672" spans="1:10">
      <c r="A672" s="3">
        <v>10000663</v>
      </c>
      <c r="B672" s="3" t="str">
        <v>Malda</v>
      </c>
      <c r="C672" s="3" t="str">
        <v>Unreinforced Masonry</v>
      </c>
      <c r="D672" s="3">
        <v>0</v>
      </c>
      <c r="E672" s="4">
        <v>4967957</v>
      </c>
      <c r="F672" s="3">
        <f t="shared" si="42"/>
        <v>10</v>
      </c>
      <c r="G672" s="30">
        <f>IF(F672=0, 0, INDEX(tbl_Vulnerability[[0 ft]:[10 ft]], MATCH(Simulation!C672, tbl_Vulnerability[Construction_Class], 0), MATCH(Simulation!F672,{0,1,2,3,5,8,10}, 1)))</f>
        <v>1</v>
      </c>
      <c r="H672" s="4">
        <f t="shared" si="43"/>
        <v>4967957</v>
      </c>
      <c r="I672" s="33">
        <f t="shared" si="44"/>
        <v>248397.85</v>
      </c>
      <c r="J672" s="33">
        <f t="shared" si="45"/>
        <v>4719559.1500000004</v>
      </c>
    </row>
    <row r="673" spans="1:10">
      <c r="A673" s="3">
        <v>10000664</v>
      </c>
      <c r="B673" s="3" t="str">
        <v>Hooghly</v>
      </c>
      <c r="C673" s="3" t="str">
        <v>Reinforced Concrete</v>
      </c>
      <c r="D673" s="3">
        <v>3</v>
      </c>
      <c r="E673" s="4">
        <v>41349619</v>
      </c>
      <c r="F673" s="3">
        <f t="shared" si="42"/>
        <v>0</v>
      </c>
      <c r="G673" s="30">
        <f>IF(F673=0, 0, INDEX(tbl_Vulnerability[[0 ft]:[10 ft]], MATCH(Simulation!C673, tbl_Vulnerability[Construction_Class], 0), MATCH(Simulation!F673,{0,1,2,3,5,8,10}, 1)))</f>
        <v>0</v>
      </c>
      <c r="H673" s="4">
        <f t="shared" si="43"/>
        <v>0</v>
      </c>
      <c r="I673" s="33">
        <f t="shared" si="44"/>
        <v>2067480.9500000002</v>
      </c>
      <c r="J673" s="33">
        <f t="shared" si="45"/>
        <v>0</v>
      </c>
    </row>
    <row r="674" spans="1:10">
      <c r="A674" s="3">
        <v>10000665</v>
      </c>
      <c r="B674" s="3" t="str">
        <v>Hooghly</v>
      </c>
      <c r="C674" s="3" t="str">
        <v>Reinforced Concrete</v>
      </c>
      <c r="D674" s="3">
        <v>5</v>
      </c>
      <c r="E674" s="4">
        <v>56880368</v>
      </c>
      <c r="F674" s="3">
        <f t="shared" si="42"/>
        <v>0</v>
      </c>
      <c r="G674" s="30">
        <f>IF(F674=0, 0, INDEX(tbl_Vulnerability[[0 ft]:[10 ft]], MATCH(Simulation!C674, tbl_Vulnerability[Construction_Class], 0), MATCH(Simulation!F674,{0,1,2,3,5,8,10}, 1)))</f>
        <v>0</v>
      </c>
      <c r="H674" s="4">
        <f t="shared" si="43"/>
        <v>0</v>
      </c>
      <c r="I674" s="33">
        <f t="shared" si="44"/>
        <v>2844018.4000000004</v>
      </c>
      <c r="J674" s="33">
        <f t="shared" si="45"/>
        <v>0</v>
      </c>
    </row>
    <row r="675" spans="1:10">
      <c r="A675" s="3">
        <v>10000666</v>
      </c>
      <c r="B675" s="3" t="str">
        <v>Hooghly</v>
      </c>
      <c r="C675" s="3" t="str">
        <v>Reinforced Concrete</v>
      </c>
      <c r="D675" s="3">
        <v>3</v>
      </c>
      <c r="E675" s="4">
        <v>17712227</v>
      </c>
      <c r="F675" s="3">
        <f t="shared" si="42"/>
        <v>0</v>
      </c>
      <c r="G675" s="30">
        <f>IF(F675=0, 0, INDEX(tbl_Vulnerability[[0 ft]:[10 ft]], MATCH(Simulation!C675, tbl_Vulnerability[Construction_Class], 0), MATCH(Simulation!F675,{0,1,2,3,5,8,10}, 1)))</f>
        <v>0</v>
      </c>
      <c r="H675" s="4">
        <f t="shared" si="43"/>
        <v>0</v>
      </c>
      <c r="I675" s="33">
        <f t="shared" si="44"/>
        <v>885611.35000000009</v>
      </c>
      <c r="J675" s="33">
        <f t="shared" si="45"/>
        <v>0</v>
      </c>
    </row>
    <row r="676" spans="1:10">
      <c r="A676" s="3">
        <v>10000667</v>
      </c>
      <c r="B676" s="3" t="str">
        <v>Malda</v>
      </c>
      <c r="C676" s="3" t="str">
        <v>Reinforced Concrete</v>
      </c>
      <c r="D676" s="3">
        <v>3</v>
      </c>
      <c r="E676" s="4">
        <v>69333515</v>
      </c>
      <c r="F676" s="3">
        <f t="shared" si="42"/>
        <v>7</v>
      </c>
      <c r="G676" s="30">
        <f>IF(F676=0, 0, INDEX(tbl_Vulnerability[[0 ft]:[10 ft]], MATCH(Simulation!C676, tbl_Vulnerability[Construction_Class], 0), MATCH(Simulation!F676,{0,1,2,3,5,8,10}, 1)))</f>
        <v>0.2</v>
      </c>
      <c r="H676" s="4">
        <f t="shared" si="43"/>
        <v>13866703</v>
      </c>
      <c r="I676" s="33">
        <f t="shared" si="44"/>
        <v>3466675.75</v>
      </c>
      <c r="J676" s="33">
        <f t="shared" si="45"/>
        <v>10400027.25</v>
      </c>
    </row>
    <row r="677" spans="1:10">
      <c r="A677" s="3">
        <v>10000668</v>
      </c>
      <c r="B677" s="3" t="str">
        <v>Kolkata</v>
      </c>
      <c r="C677" s="3" t="str">
        <v>Reinforced Concrete</v>
      </c>
      <c r="D677" s="3">
        <v>4</v>
      </c>
      <c r="E677" s="4">
        <v>59524114</v>
      </c>
      <c r="F677" s="3">
        <f t="shared" si="42"/>
        <v>0</v>
      </c>
      <c r="G677" s="30">
        <f>IF(F677=0, 0, INDEX(tbl_Vulnerability[[0 ft]:[10 ft]], MATCH(Simulation!C677, tbl_Vulnerability[Construction_Class], 0), MATCH(Simulation!F677,{0,1,2,3,5,8,10}, 1)))</f>
        <v>0</v>
      </c>
      <c r="H677" s="4">
        <f t="shared" si="43"/>
        <v>0</v>
      </c>
      <c r="I677" s="33">
        <f t="shared" si="44"/>
        <v>2976205.7</v>
      </c>
      <c r="J677" s="33">
        <f t="shared" si="45"/>
        <v>0</v>
      </c>
    </row>
    <row r="678" spans="1:10">
      <c r="A678" s="3">
        <v>10000669</v>
      </c>
      <c r="B678" s="3" t="str">
        <v>South 24 Parganas</v>
      </c>
      <c r="C678" s="3" t="str">
        <v>Unreinforced Masonry</v>
      </c>
      <c r="D678" s="3">
        <v>1</v>
      </c>
      <c r="E678" s="4">
        <v>2834112</v>
      </c>
      <c r="F678" s="3">
        <f t="shared" si="42"/>
        <v>0</v>
      </c>
      <c r="G678" s="30">
        <f>IF(F678=0, 0, INDEX(tbl_Vulnerability[[0 ft]:[10 ft]], MATCH(Simulation!C678, tbl_Vulnerability[Construction_Class], 0), MATCH(Simulation!F678,{0,1,2,3,5,8,10}, 1)))</f>
        <v>0</v>
      </c>
      <c r="H678" s="4">
        <f t="shared" si="43"/>
        <v>0</v>
      </c>
      <c r="I678" s="33">
        <f t="shared" si="44"/>
        <v>141705.60000000001</v>
      </c>
      <c r="J678" s="33">
        <f t="shared" si="45"/>
        <v>0</v>
      </c>
    </row>
    <row r="679" spans="1:10">
      <c r="A679" s="3">
        <v>10000670</v>
      </c>
      <c r="B679" s="3" t="str">
        <v>Malda</v>
      </c>
      <c r="C679" s="3" t="str">
        <v>Reinforced Concrete</v>
      </c>
      <c r="D679" s="3">
        <v>4</v>
      </c>
      <c r="E679" s="4">
        <v>5148048</v>
      </c>
      <c r="F679" s="3">
        <f t="shared" si="42"/>
        <v>6</v>
      </c>
      <c r="G679" s="30">
        <f>IF(F679=0, 0, INDEX(tbl_Vulnerability[[0 ft]:[10 ft]], MATCH(Simulation!C679, tbl_Vulnerability[Construction_Class], 0), MATCH(Simulation!F679,{0,1,2,3,5,8,10}, 1)))</f>
        <v>0.2</v>
      </c>
      <c r="H679" s="4">
        <f t="shared" si="43"/>
        <v>1029609.6000000001</v>
      </c>
      <c r="I679" s="33">
        <f t="shared" si="44"/>
        <v>257402.40000000002</v>
      </c>
      <c r="J679" s="33">
        <f t="shared" si="45"/>
        <v>772207.20000000007</v>
      </c>
    </row>
    <row r="680" spans="1:10">
      <c r="A680" s="3">
        <v>10000671</v>
      </c>
      <c r="B680" s="3" t="str">
        <v>Hooghly</v>
      </c>
      <c r="C680" s="3" t="str">
        <v>Reinforced Concrete</v>
      </c>
      <c r="D680" s="3">
        <v>3</v>
      </c>
      <c r="E680" s="4">
        <v>50188205</v>
      </c>
      <c r="F680" s="3">
        <f t="shared" si="42"/>
        <v>0</v>
      </c>
      <c r="G680" s="30">
        <f>IF(F680=0, 0, INDEX(tbl_Vulnerability[[0 ft]:[10 ft]], MATCH(Simulation!C680, tbl_Vulnerability[Construction_Class], 0), MATCH(Simulation!F680,{0,1,2,3,5,8,10}, 1)))</f>
        <v>0</v>
      </c>
      <c r="H680" s="4">
        <f t="shared" si="43"/>
        <v>0</v>
      </c>
      <c r="I680" s="33">
        <f t="shared" si="44"/>
        <v>2509410.25</v>
      </c>
      <c r="J680" s="33">
        <f t="shared" si="45"/>
        <v>0</v>
      </c>
    </row>
    <row r="681" spans="1:10">
      <c r="A681" s="3">
        <v>10000672</v>
      </c>
      <c r="B681" s="3" t="str">
        <v>South 24 Parganas</v>
      </c>
      <c r="C681" s="3" t="str">
        <v>Reinforced Concrete</v>
      </c>
      <c r="D681" s="3">
        <v>3</v>
      </c>
      <c r="E681" s="4">
        <v>55031309</v>
      </c>
      <c r="F681" s="3">
        <f t="shared" si="42"/>
        <v>0</v>
      </c>
      <c r="G681" s="30">
        <f>IF(F681=0, 0, INDEX(tbl_Vulnerability[[0 ft]:[10 ft]], MATCH(Simulation!C681, tbl_Vulnerability[Construction_Class], 0), MATCH(Simulation!F681,{0,1,2,3,5,8,10}, 1)))</f>
        <v>0</v>
      </c>
      <c r="H681" s="4">
        <f t="shared" si="43"/>
        <v>0</v>
      </c>
      <c r="I681" s="33">
        <f t="shared" si="44"/>
        <v>2751565.45</v>
      </c>
      <c r="J681" s="33">
        <f t="shared" si="45"/>
        <v>0</v>
      </c>
    </row>
    <row r="682" spans="1:10">
      <c r="A682" s="3">
        <v>10000673</v>
      </c>
      <c r="B682" s="3" t="str">
        <v>Kolkata</v>
      </c>
      <c r="C682" s="3" t="str">
        <v>Unreinforced Masonry</v>
      </c>
      <c r="D682" s="3">
        <v>1</v>
      </c>
      <c r="E682" s="4">
        <v>19875490</v>
      </c>
      <c r="F682" s="3">
        <f t="shared" si="42"/>
        <v>0</v>
      </c>
      <c r="G682" s="30">
        <f>IF(F682=0, 0, INDEX(tbl_Vulnerability[[0 ft]:[10 ft]], MATCH(Simulation!C682, tbl_Vulnerability[Construction_Class], 0), MATCH(Simulation!F682,{0,1,2,3,5,8,10}, 1)))</f>
        <v>0</v>
      </c>
      <c r="H682" s="4">
        <f t="shared" si="43"/>
        <v>0</v>
      </c>
      <c r="I682" s="33">
        <f t="shared" si="44"/>
        <v>993774.5</v>
      </c>
      <c r="J682" s="33">
        <f t="shared" si="45"/>
        <v>0</v>
      </c>
    </row>
    <row r="683" spans="1:10">
      <c r="A683" s="3">
        <v>10000674</v>
      </c>
      <c r="B683" s="3" t="str">
        <v>Hooghly</v>
      </c>
      <c r="C683" s="3" t="str">
        <v>Adobe / Light Timber</v>
      </c>
      <c r="D683" s="3">
        <v>1</v>
      </c>
      <c r="E683" s="4">
        <v>482469</v>
      </c>
      <c r="F683" s="3">
        <f t="shared" si="42"/>
        <v>0</v>
      </c>
      <c r="G683" s="30">
        <f>IF(F683=0, 0, INDEX(tbl_Vulnerability[[0 ft]:[10 ft]], MATCH(Simulation!C683, tbl_Vulnerability[Construction_Class], 0), MATCH(Simulation!F683,{0,1,2,3,5,8,10}, 1)))</f>
        <v>0</v>
      </c>
      <c r="H683" s="4">
        <f t="shared" si="43"/>
        <v>0</v>
      </c>
      <c r="I683" s="33">
        <f t="shared" si="44"/>
        <v>24123.45</v>
      </c>
      <c r="J683" s="33">
        <f t="shared" si="45"/>
        <v>0</v>
      </c>
    </row>
    <row r="684" spans="1:10">
      <c r="A684" s="3">
        <v>10000675</v>
      </c>
      <c r="B684" s="3" t="str">
        <v>Kolkata</v>
      </c>
      <c r="C684" s="3" t="str">
        <v>Reinforced Concrete</v>
      </c>
      <c r="D684" s="3">
        <v>5</v>
      </c>
      <c r="E684" s="4">
        <v>55272458</v>
      </c>
      <c r="F684" s="3">
        <f t="shared" si="42"/>
        <v>0</v>
      </c>
      <c r="G684" s="30">
        <f>IF(F684=0, 0, INDEX(tbl_Vulnerability[[0 ft]:[10 ft]], MATCH(Simulation!C684, tbl_Vulnerability[Construction_Class], 0), MATCH(Simulation!F684,{0,1,2,3,5,8,10}, 1)))</f>
        <v>0</v>
      </c>
      <c r="H684" s="4">
        <f t="shared" si="43"/>
        <v>0</v>
      </c>
      <c r="I684" s="33">
        <f t="shared" si="44"/>
        <v>2763622.9000000004</v>
      </c>
      <c r="J684" s="33">
        <f t="shared" si="45"/>
        <v>0</v>
      </c>
    </row>
    <row r="685" spans="1:10">
      <c r="A685" s="3">
        <v>10000676</v>
      </c>
      <c r="B685" s="3" t="str">
        <v>Paschim Medinipur</v>
      </c>
      <c r="C685" s="3" t="str">
        <v>Unreinforced Masonry</v>
      </c>
      <c r="D685" s="3">
        <v>2</v>
      </c>
      <c r="E685" s="4">
        <v>2864570</v>
      </c>
      <c r="F685" s="3">
        <f t="shared" si="42"/>
        <v>0</v>
      </c>
      <c r="G685" s="30">
        <f>IF(F685=0, 0, INDEX(tbl_Vulnerability[[0 ft]:[10 ft]], MATCH(Simulation!C685, tbl_Vulnerability[Construction_Class], 0), MATCH(Simulation!F685,{0,1,2,3,5,8,10}, 1)))</f>
        <v>0</v>
      </c>
      <c r="H685" s="4">
        <f t="shared" si="43"/>
        <v>0</v>
      </c>
      <c r="I685" s="33">
        <f t="shared" si="44"/>
        <v>143228.5</v>
      </c>
      <c r="J685" s="33">
        <f t="shared" si="45"/>
        <v>0</v>
      </c>
    </row>
    <row r="686" spans="1:10">
      <c r="A686" s="3">
        <v>10000677</v>
      </c>
      <c r="B686" s="3" t="str">
        <v>Malda</v>
      </c>
      <c r="C686" s="3" t="str">
        <v>Reinforced Concrete</v>
      </c>
      <c r="D686" s="3">
        <v>3</v>
      </c>
      <c r="E686" s="4">
        <v>18500325</v>
      </c>
      <c r="F686" s="3">
        <f t="shared" si="42"/>
        <v>7</v>
      </c>
      <c r="G686" s="30">
        <f>IF(F686=0, 0, INDEX(tbl_Vulnerability[[0 ft]:[10 ft]], MATCH(Simulation!C686, tbl_Vulnerability[Construction_Class], 0), MATCH(Simulation!F686,{0,1,2,3,5,8,10}, 1)))</f>
        <v>0.2</v>
      </c>
      <c r="H686" s="4">
        <f t="shared" si="43"/>
        <v>3700065</v>
      </c>
      <c r="I686" s="33">
        <f t="shared" si="44"/>
        <v>925016.25</v>
      </c>
      <c r="J686" s="33">
        <f t="shared" si="45"/>
        <v>2775048.75</v>
      </c>
    </row>
    <row r="687" spans="1:10">
      <c r="A687" s="3">
        <v>10000678</v>
      </c>
      <c r="B687" s="3" t="str">
        <v>Jalpaiguri</v>
      </c>
      <c r="C687" s="3" t="str">
        <v>Reinforced Concrete</v>
      </c>
      <c r="D687" s="3">
        <v>4</v>
      </c>
      <c r="E687" s="4">
        <v>19083587</v>
      </c>
      <c r="F687" s="3">
        <f t="shared" si="42"/>
        <v>0</v>
      </c>
      <c r="G687" s="30">
        <f>IF(F687=0, 0, INDEX(tbl_Vulnerability[[0 ft]:[10 ft]], MATCH(Simulation!C687, tbl_Vulnerability[Construction_Class], 0), MATCH(Simulation!F687,{0,1,2,3,5,8,10}, 1)))</f>
        <v>0</v>
      </c>
      <c r="H687" s="4">
        <f t="shared" si="43"/>
        <v>0</v>
      </c>
      <c r="I687" s="33">
        <f t="shared" si="44"/>
        <v>954179.35000000009</v>
      </c>
      <c r="J687" s="33">
        <f t="shared" si="45"/>
        <v>0</v>
      </c>
    </row>
    <row r="688" spans="1:10">
      <c r="A688" s="3">
        <v>10000679</v>
      </c>
      <c r="B688" s="3" t="str">
        <v>Paschim Medinipur</v>
      </c>
      <c r="C688" s="3" t="str">
        <v>Reinforced Concrete</v>
      </c>
      <c r="D688" s="3">
        <v>4</v>
      </c>
      <c r="E688" s="4">
        <v>5164491</v>
      </c>
      <c r="F688" s="3">
        <f t="shared" si="42"/>
        <v>0</v>
      </c>
      <c r="G688" s="30">
        <f>IF(F688=0, 0, INDEX(tbl_Vulnerability[[0 ft]:[10 ft]], MATCH(Simulation!C688, tbl_Vulnerability[Construction_Class], 0), MATCH(Simulation!F688,{0,1,2,3,5,8,10}, 1)))</f>
        <v>0</v>
      </c>
      <c r="H688" s="4">
        <f t="shared" si="43"/>
        <v>0</v>
      </c>
      <c r="I688" s="33">
        <f t="shared" si="44"/>
        <v>258224.55000000002</v>
      </c>
      <c r="J688" s="33">
        <f t="shared" si="45"/>
        <v>0</v>
      </c>
    </row>
    <row r="689" spans="1:10">
      <c r="A689" s="3">
        <v>10000680</v>
      </c>
      <c r="B689" s="3" t="str">
        <v>Jalpaiguri</v>
      </c>
      <c r="C689" s="3" t="str">
        <v>Adobe / Light Timber</v>
      </c>
      <c r="D689" s="3">
        <v>0</v>
      </c>
      <c r="E689" s="4">
        <v>552042</v>
      </c>
      <c r="F689" s="3">
        <f t="shared" si="42"/>
        <v>0</v>
      </c>
      <c r="G689" s="30">
        <f>IF(F689=0, 0, INDEX(tbl_Vulnerability[[0 ft]:[10 ft]], MATCH(Simulation!C689, tbl_Vulnerability[Construction_Class], 0), MATCH(Simulation!F689,{0,1,2,3,5,8,10}, 1)))</f>
        <v>0</v>
      </c>
      <c r="H689" s="4">
        <f t="shared" si="43"/>
        <v>0</v>
      </c>
      <c r="I689" s="33">
        <f t="shared" si="44"/>
        <v>27602.100000000002</v>
      </c>
      <c r="J689" s="33">
        <f t="shared" si="45"/>
        <v>0</v>
      </c>
    </row>
    <row r="690" spans="1:10">
      <c r="A690" s="3">
        <v>10000681</v>
      </c>
      <c r="B690" s="3" t="str">
        <v>Hooghly</v>
      </c>
      <c r="C690" s="3" t="str">
        <v>Reinforced Concrete</v>
      </c>
      <c r="D690" s="3">
        <v>5</v>
      </c>
      <c r="E690" s="4">
        <v>49991954</v>
      </c>
      <c r="F690" s="3">
        <f t="shared" si="42"/>
        <v>0</v>
      </c>
      <c r="G690" s="30">
        <f>IF(F690=0, 0, INDEX(tbl_Vulnerability[[0 ft]:[10 ft]], MATCH(Simulation!C690, tbl_Vulnerability[Construction_Class], 0), MATCH(Simulation!F690,{0,1,2,3,5,8,10}, 1)))</f>
        <v>0</v>
      </c>
      <c r="H690" s="4">
        <f t="shared" si="43"/>
        <v>0</v>
      </c>
      <c r="I690" s="33">
        <f t="shared" si="44"/>
        <v>2499597.7000000002</v>
      </c>
      <c r="J690" s="33">
        <f t="shared" si="45"/>
        <v>0</v>
      </c>
    </row>
    <row r="691" spans="1:10">
      <c r="A691" s="3">
        <v>10000682</v>
      </c>
      <c r="B691" s="3" t="str">
        <v>Jalpaiguri</v>
      </c>
      <c r="C691" s="3" t="str">
        <v>Reinforced Concrete</v>
      </c>
      <c r="D691" s="3">
        <v>4</v>
      </c>
      <c r="E691" s="4">
        <v>7555673</v>
      </c>
      <c r="F691" s="3">
        <f t="shared" si="42"/>
        <v>0</v>
      </c>
      <c r="G691" s="30">
        <f>IF(F691=0, 0, INDEX(tbl_Vulnerability[[0 ft]:[10 ft]], MATCH(Simulation!C691, tbl_Vulnerability[Construction_Class], 0), MATCH(Simulation!F691,{0,1,2,3,5,8,10}, 1)))</f>
        <v>0</v>
      </c>
      <c r="H691" s="4">
        <f t="shared" si="43"/>
        <v>0</v>
      </c>
      <c r="I691" s="33">
        <f t="shared" si="44"/>
        <v>377783.65</v>
      </c>
      <c r="J691" s="33">
        <f t="shared" si="45"/>
        <v>0</v>
      </c>
    </row>
    <row r="692" spans="1:10">
      <c r="A692" s="3">
        <v>10000683</v>
      </c>
      <c r="B692" s="3" t="str">
        <v>Malda</v>
      </c>
      <c r="C692" s="3" t="str">
        <v>Reinforced Concrete</v>
      </c>
      <c r="D692" s="3">
        <v>4</v>
      </c>
      <c r="E692" s="4">
        <v>54509664</v>
      </c>
      <c r="F692" s="3">
        <f t="shared" si="42"/>
        <v>6</v>
      </c>
      <c r="G692" s="30">
        <f>IF(F692=0, 0, INDEX(tbl_Vulnerability[[0 ft]:[10 ft]], MATCH(Simulation!C692, tbl_Vulnerability[Construction_Class], 0), MATCH(Simulation!F692,{0,1,2,3,5,8,10}, 1)))</f>
        <v>0.2</v>
      </c>
      <c r="H692" s="4">
        <f t="shared" si="43"/>
        <v>10901932.800000001</v>
      </c>
      <c r="I692" s="33">
        <f t="shared" si="44"/>
        <v>2725483.2</v>
      </c>
      <c r="J692" s="33">
        <f t="shared" si="45"/>
        <v>8176449.6000000006</v>
      </c>
    </row>
    <row r="693" spans="1:10">
      <c r="A693" s="3">
        <v>10000684</v>
      </c>
      <c r="B693" s="3" t="str">
        <v>Jalpaiguri</v>
      </c>
      <c r="C693" s="3" t="str">
        <v>Reinforced Concrete</v>
      </c>
      <c r="D693" s="3">
        <v>3</v>
      </c>
      <c r="E693" s="4">
        <v>9295627</v>
      </c>
      <c r="F693" s="3">
        <f t="shared" si="42"/>
        <v>0</v>
      </c>
      <c r="G693" s="30">
        <f>IF(F693=0, 0, INDEX(tbl_Vulnerability[[0 ft]:[10 ft]], MATCH(Simulation!C693, tbl_Vulnerability[Construction_Class], 0), MATCH(Simulation!F693,{0,1,2,3,5,8,10}, 1)))</f>
        <v>0</v>
      </c>
      <c r="H693" s="4">
        <f t="shared" si="43"/>
        <v>0</v>
      </c>
      <c r="I693" s="33">
        <f t="shared" si="44"/>
        <v>464781.35000000003</v>
      </c>
      <c r="J693" s="33">
        <f t="shared" si="45"/>
        <v>0</v>
      </c>
    </row>
    <row r="694" spans="1:10">
      <c r="A694" s="3">
        <v>10000685</v>
      </c>
      <c r="B694" s="3" t="str">
        <v>South 24 Parganas</v>
      </c>
      <c r="C694" s="3" t="str">
        <v>Adobe / Light Timber</v>
      </c>
      <c r="D694" s="3">
        <v>1</v>
      </c>
      <c r="E694" s="4">
        <v>467767</v>
      </c>
      <c r="F694" s="3">
        <f t="shared" si="42"/>
        <v>0</v>
      </c>
      <c r="G694" s="30">
        <f>IF(F694=0, 0, INDEX(tbl_Vulnerability[[0 ft]:[10 ft]], MATCH(Simulation!C694, tbl_Vulnerability[Construction_Class], 0), MATCH(Simulation!F694,{0,1,2,3,5,8,10}, 1)))</f>
        <v>0</v>
      </c>
      <c r="H694" s="4">
        <f t="shared" si="43"/>
        <v>0</v>
      </c>
      <c r="I694" s="33">
        <f t="shared" si="44"/>
        <v>23388.350000000002</v>
      </c>
      <c r="J694" s="33">
        <f t="shared" si="45"/>
        <v>0</v>
      </c>
    </row>
    <row r="695" spans="1:10">
      <c r="A695" s="3">
        <v>10000686</v>
      </c>
      <c r="B695" s="3" t="str">
        <v>Kolkata</v>
      </c>
      <c r="C695" s="3" t="str">
        <v>Unreinforced Masonry</v>
      </c>
      <c r="D695" s="3">
        <v>2</v>
      </c>
      <c r="E695" s="4">
        <v>6929754</v>
      </c>
      <c r="F695" s="3">
        <f t="shared" si="42"/>
        <v>0</v>
      </c>
      <c r="G695" s="30">
        <f>IF(F695=0, 0, INDEX(tbl_Vulnerability[[0 ft]:[10 ft]], MATCH(Simulation!C695, tbl_Vulnerability[Construction_Class], 0), MATCH(Simulation!F695,{0,1,2,3,5,8,10}, 1)))</f>
        <v>0</v>
      </c>
      <c r="H695" s="4">
        <f t="shared" si="43"/>
        <v>0</v>
      </c>
      <c r="I695" s="33">
        <f t="shared" si="44"/>
        <v>346487.7</v>
      </c>
      <c r="J695" s="33">
        <f t="shared" si="45"/>
        <v>0</v>
      </c>
    </row>
    <row r="696" spans="1:10">
      <c r="A696" s="3">
        <v>10000687</v>
      </c>
      <c r="B696" s="3" t="str">
        <v>Hooghly</v>
      </c>
      <c r="C696" s="3" t="str">
        <v>Reinforced Concrete</v>
      </c>
      <c r="D696" s="3">
        <v>3</v>
      </c>
      <c r="E696" s="4">
        <v>14673295</v>
      </c>
      <c r="F696" s="3">
        <f t="shared" si="42"/>
        <v>0</v>
      </c>
      <c r="G696" s="30">
        <f>IF(F696=0, 0, INDEX(tbl_Vulnerability[[0 ft]:[10 ft]], MATCH(Simulation!C696, tbl_Vulnerability[Construction_Class], 0), MATCH(Simulation!F696,{0,1,2,3,5,8,10}, 1)))</f>
        <v>0</v>
      </c>
      <c r="H696" s="4">
        <f t="shared" si="43"/>
        <v>0</v>
      </c>
      <c r="I696" s="33">
        <f t="shared" si="44"/>
        <v>733664.75</v>
      </c>
      <c r="J696" s="33">
        <f t="shared" si="45"/>
        <v>0</v>
      </c>
    </row>
    <row r="697" spans="1:10">
      <c r="A697" s="3">
        <v>10000688</v>
      </c>
      <c r="B697" s="3" t="str">
        <v>Hooghly</v>
      </c>
      <c r="C697" s="3" t="str">
        <v>Reinforced Concrete</v>
      </c>
      <c r="D697" s="3">
        <v>5</v>
      </c>
      <c r="E697" s="4">
        <v>58578698</v>
      </c>
      <c r="F697" s="3">
        <f t="shared" si="42"/>
        <v>0</v>
      </c>
      <c r="G697" s="30">
        <f>IF(F697=0, 0, INDEX(tbl_Vulnerability[[0 ft]:[10 ft]], MATCH(Simulation!C697, tbl_Vulnerability[Construction_Class], 0), MATCH(Simulation!F697,{0,1,2,3,5,8,10}, 1)))</f>
        <v>0</v>
      </c>
      <c r="H697" s="4">
        <f t="shared" si="43"/>
        <v>0</v>
      </c>
      <c r="I697" s="33">
        <f t="shared" si="44"/>
        <v>2928934.9000000004</v>
      </c>
      <c r="J697" s="33">
        <f t="shared" si="45"/>
        <v>0</v>
      </c>
    </row>
    <row r="698" spans="1:10">
      <c r="A698" s="3">
        <v>10000689</v>
      </c>
      <c r="B698" s="3" t="str">
        <v>Jalpaiguri</v>
      </c>
      <c r="C698" s="3" t="str">
        <v>Reinforced Concrete</v>
      </c>
      <c r="D698" s="3">
        <v>3</v>
      </c>
      <c r="E698" s="4">
        <v>15336644</v>
      </c>
      <c r="F698" s="3">
        <f t="shared" si="42"/>
        <v>0</v>
      </c>
      <c r="G698" s="30">
        <f>IF(F698=0, 0, INDEX(tbl_Vulnerability[[0 ft]:[10 ft]], MATCH(Simulation!C698, tbl_Vulnerability[Construction_Class], 0), MATCH(Simulation!F698,{0,1,2,3,5,8,10}, 1)))</f>
        <v>0</v>
      </c>
      <c r="H698" s="4">
        <f t="shared" si="43"/>
        <v>0</v>
      </c>
      <c r="I698" s="33">
        <f t="shared" si="44"/>
        <v>766832.20000000007</v>
      </c>
      <c r="J698" s="33">
        <f t="shared" si="45"/>
        <v>0</v>
      </c>
    </row>
    <row r="699" spans="1:10">
      <c r="A699" s="3">
        <v>10000690</v>
      </c>
      <c r="B699" s="3" t="str">
        <v>Paschim Medinipur</v>
      </c>
      <c r="C699" s="3" t="str">
        <v>Reinforced Concrete</v>
      </c>
      <c r="D699" s="3">
        <v>5</v>
      </c>
      <c r="E699" s="4">
        <v>3645926</v>
      </c>
      <c r="F699" s="3">
        <f t="shared" si="42"/>
        <v>0</v>
      </c>
      <c r="G699" s="30">
        <f>IF(F699=0, 0, INDEX(tbl_Vulnerability[[0 ft]:[10 ft]], MATCH(Simulation!C699, tbl_Vulnerability[Construction_Class], 0), MATCH(Simulation!F699,{0,1,2,3,5,8,10}, 1)))</f>
        <v>0</v>
      </c>
      <c r="H699" s="4">
        <f t="shared" si="43"/>
        <v>0</v>
      </c>
      <c r="I699" s="33">
        <f t="shared" si="44"/>
        <v>182296.30000000002</v>
      </c>
      <c r="J699" s="33">
        <f t="shared" si="45"/>
        <v>0</v>
      </c>
    </row>
    <row r="700" spans="1:10">
      <c r="A700" s="3">
        <v>10000691</v>
      </c>
      <c r="B700" s="3" t="str">
        <v>Paschim Medinipur</v>
      </c>
      <c r="C700" s="3" t="str">
        <v>Reinforced Concrete</v>
      </c>
      <c r="D700" s="3">
        <v>5</v>
      </c>
      <c r="E700" s="4">
        <v>37958392</v>
      </c>
      <c r="F700" s="3">
        <f t="shared" si="42"/>
        <v>0</v>
      </c>
      <c r="G700" s="30">
        <f>IF(F700=0, 0, INDEX(tbl_Vulnerability[[0 ft]:[10 ft]], MATCH(Simulation!C700, tbl_Vulnerability[Construction_Class], 0), MATCH(Simulation!F700,{0,1,2,3,5,8,10}, 1)))</f>
        <v>0</v>
      </c>
      <c r="H700" s="4">
        <f t="shared" si="43"/>
        <v>0</v>
      </c>
      <c r="I700" s="33">
        <f t="shared" si="44"/>
        <v>1897919.6</v>
      </c>
      <c r="J700" s="33">
        <f t="shared" si="45"/>
        <v>0</v>
      </c>
    </row>
    <row r="701" spans="1:10">
      <c r="A701" s="3">
        <v>10000692</v>
      </c>
      <c r="B701" s="3" t="str">
        <v>Jalpaiguri</v>
      </c>
      <c r="C701" s="3" t="str">
        <v>Reinforced Concrete</v>
      </c>
      <c r="D701" s="3">
        <v>3</v>
      </c>
      <c r="E701" s="4">
        <v>3257154</v>
      </c>
      <c r="F701" s="3">
        <f t="shared" si="42"/>
        <v>0</v>
      </c>
      <c r="G701" s="30">
        <f>IF(F701=0, 0, INDEX(tbl_Vulnerability[[0 ft]:[10 ft]], MATCH(Simulation!C701, tbl_Vulnerability[Construction_Class], 0), MATCH(Simulation!F701,{0,1,2,3,5,8,10}, 1)))</f>
        <v>0</v>
      </c>
      <c r="H701" s="4">
        <f t="shared" si="43"/>
        <v>0</v>
      </c>
      <c r="I701" s="33">
        <f t="shared" si="44"/>
        <v>162857.70000000001</v>
      </c>
      <c r="J701" s="33">
        <f t="shared" si="45"/>
        <v>0</v>
      </c>
    </row>
    <row r="702" spans="1:10">
      <c r="A702" s="3">
        <v>10000693</v>
      </c>
      <c r="B702" s="3" t="str">
        <v>Hooghly</v>
      </c>
      <c r="C702" s="3" t="str">
        <v>Unreinforced Masonry</v>
      </c>
      <c r="D702" s="3">
        <v>2</v>
      </c>
      <c r="E702" s="4">
        <v>12993995</v>
      </c>
      <c r="F702" s="3">
        <f t="shared" si="42"/>
        <v>0</v>
      </c>
      <c r="G702" s="30">
        <f>IF(F702=0, 0, INDEX(tbl_Vulnerability[[0 ft]:[10 ft]], MATCH(Simulation!C702, tbl_Vulnerability[Construction_Class], 0), MATCH(Simulation!F702,{0,1,2,3,5,8,10}, 1)))</f>
        <v>0</v>
      </c>
      <c r="H702" s="4">
        <f t="shared" si="43"/>
        <v>0</v>
      </c>
      <c r="I702" s="33">
        <f t="shared" si="44"/>
        <v>649699.75</v>
      </c>
      <c r="J702" s="33">
        <f t="shared" si="45"/>
        <v>0</v>
      </c>
    </row>
    <row r="703" spans="1:10">
      <c r="A703" s="3">
        <v>10000694</v>
      </c>
      <c r="B703" s="3" t="str">
        <v>Paschim Medinipur</v>
      </c>
      <c r="C703" s="3" t="str">
        <v>Unreinforced Masonry</v>
      </c>
      <c r="D703" s="3">
        <v>0</v>
      </c>
      <c r="E703" s="4">
        <v>2330494</v>
      </c>
      <c r="F703" s="3">
        <f t="shared" si="42"/>
        <v>0</v>
      </c>
      <c r="G703" s="30">
        <f>IF(F703=0, 0, INDEX(tbl_Vulnerability[[0 ft]:[10 ft]], MATCH(Simulation!C703, tbl_Vulnerability[Construction_Class], 0), MATCH(Simulation!F703,{0,1,2,3,5,8,10}, 1)))</f>
        <v>0</v>
      </c>
      <c r="H703" s="4">
        <f t="shared" si="43"/>
        <v>0</v>
      </c>
      <c r="I703" s="33">
        <f t="shared" si="44"/>
        <v>116524.70000000001</v>
      </c>
      <c r="J703" s="33">
        <f t="shared" si="45"/>
        <v>0</v>
      </c>
    </row>
    <row r="704" spans="1:10">
      <c r="A704" s="3">
        <v>10000695</v>
      </c>
      <c r="B704" s="3" t="str">
        <v>Hooghly</v>
      </c>
      <c r="C704" s="3" t="str">
        <v>Reinforced Concrete</v>
      </c>
      <c r="D704" s="3">
        <v>4</v>
      </c>
      <c r="E704" s="4">
        <v>49801687</v>
      </c>
      <c r="F704" s="3">
        <f t="shared" si="42"/>
        <v>0</v>
      </c>
      <c r="G704" s="30">
        <f>IF(F704=0, 0, INDEX(tbl_Vulnerability[[0 ft]:[10 ft]], MATCH(Simulation!C704, tbl_Vulnerability[Construction_Class], 0), MATCH(Simulation!F704,{0,1,2,3,5,8,10}, 1)))</f>
        <v>0</v>
      </c>
      <c r="H704" s="4">
        <f t="shared" si="43"/>
        <v>0</v>
      </c>
      <c r="I704" s="33">
        <f t="shared" si="44"/>
        <v>2490084.35</v>
      </c>
      <c r="J704" s="33">
        <f t="shared" si="45"/>
        <v>0</v>
      </c>
    </row>
    <row r="705" spans="1:10">
      <c r="A705" s="3">
        <v>10000696</v>
      </c>
      <c r="B705" s="3" t="str">
        <v>Paschim Medinipur</v>
      </c>
      <c r="C705" s="3" t="str">
        <v>Reinforced Concrete</v>
      </c>
      <c r="D705" s="3">
        <v>5</v>
      </c>
      <c r="E705" s="4">
        <v>21779467</v>
      </c>
      <c r="F705" s="3">
        <f t="shared" si="42"/>
        <v>0</v>
      </c>
      <c r="G705" s="30">
        <f>IF(F705=0, 0, INDEX(tbl_Vulnerability[[0 ft]:[10 ft]], MATCH(Simulation!C705, tbl_Vulnerability[Construction_Class], 0), MATCH(Simulation!F705,{0,1,2,3,5,8,10}, 1)))</f>
        <v>0</v>
      </c>
      <c r="H705" s="4">
        <f t="shared" si="43"/>
        <v>0</v>
      </c>
      <c r="I705" s="33">
        <f t="shared" si="44"/>
        <v>1088973.3500000001</v>
      </c>
      <c r="J705" s="33">
        <f t="shared" si="45"/>
        <v>0</v>
      </c>
    </row>
    <row r="706" spans="1:10">
      <c r="A706" s="3">
        <v>10000697</v>
      </c>
      <c r="B706" s="3" t="str">
        <v>Malda</v>
      </c>
      <c r="C706" s="3" t="str">
        <v>Reinforced Concrete</v>
      </c>
      <c r="D706" s="3">
        <v>4</v>
      </c>
      <c r="E706" s="4">
        <v>17146285</v>
      </c>
      <c r="F706" s="3">
        <f t="shared" si="42"/>
        <v>6</v>
      </c>
      <c r="G706" s="30">
        <f>IF(F706=0, 0, INDEX(tbl_Vulnerability[[0 ft]:[10 ft]], MATCH(Simulation!C706, tbl_Vulnerability[Construction_Class], 0), MATCH(Simulation!F706,{0,1,2,3,5,8,10}, 1)))</f>
        <v>0.2</v>
      </c>
      <c r="H706" s="4">
        <f t="shared" si="43"/>
        <v>3429257</v>
      </c>
      <c r="I706" s="33">
        <f t="shared" si="44"/>
        <v>857314.25</v>
      </c>
      <c r="J706" s="33">
        <f t="shared" si="45"/>
        <v>2571942.75</v>
      </c>
    </row>
    <row r="707" spans="1:10">
      <c r="A707" s="3">
        <v>10000698</v>
      </c>
      <c r="B707" s="3" t="str">
        <v>Malda</v>
      </c>
      <c r="C707" s="3" t="str">
        <v>Reinforced Concrete</v>
      </c>
      <c r="D707" s="3">
        <v>4</v>
      </c>
      <c r="E707" s="4">
        <v>25267392</v>
      </c>
      <c r="F707" s="3">
        <f t="shared" si="42"/>
        <v>6</v>
      </c>
      <c r="G707" s="30">
        <f>IF(F707=0, 0, INDEX(tbl_Vulnerability[[0 ft]:[10 ft]], MATCH(Simulation!C707, tbl_Vulnerability[Construction_Class], 0), MATCH(Simulation!F707,{0,1,2,3,5,8,10}, 1)))</f>
        <v>0.2</v>
      </c>
      <c r="H707" s="4">
        <f t="shared" si="43"/>
        <v>5053478.4000000004</v>
      </c>
      <c r="I707" s="33">
        <f t="shared" si="44"/>
        <v>1263369.6000000001</v>
      </c>
      <c r="J707" s="33">
        <f t="shared" si="45"/>
        <v>3790108.8000000003</v>
      </c>
    </row>
    <row r="708" spans="1:10">
      <c r="A708" s="3">
        <v>10000699</v>
      </c>
      <c r="B708" s="3" t="str">
        <v>Kolkata</v>
      </c>
      <c r="C708" s="3" t="str">
        <v>Unreinforced Masonry</v>
      </c>
      <c r="D708" s="3">
        <v>1</v>
      </c>
      <c r="E708" s="4">
        <v>3533632</v>
      </c>
      <c r="F708" s="3">
        <f t="shared" si="42"/>
        <v>0</v>
      </c>
      <c r="G708" s="30">
        <f>IF(F708=0, 0, INDEX(tbl_Vulnerability[[0 ft]:[10 ft]], MATCH(Simulation!C708, tbl_Vulnerability[Construction_Class], 0), MATCH(Simulation!F708,{0,1,2,3,5,8,10}, 1)))</f>
        <v>0</v>
      </c>
      <c r="H708" s="4">
        <f t="shared" si="43"/>
        <v>0</v>
      </c>
      <c r="I708" s="33">
        <f t="shared" si="44"/>
        <v>176681.60000000001</v>
      </c>
      <c r="J708" s="33">
        <f t="shared" si="45"/>
        <v>0</v>
      </c>
    </row>
    <row r="709" spans="1:10">
      <c r="A709" s="3">
        <v>10000700</v>
      </c>
      <c r="B709" s="3" t="str">
        <v>Paschim Medinipur</v>
      </c>
      <c r="C709" s="3" t="str">
        <v>Reinforced Concrete</v>
      </c>
      <c r="D709" s="3">
        <v>3</v>
      </c>
      <c r="E709" s="4">
        <v>3988119</v>
      </c>
      <c r="F709" s="3">
        <f t="shared" si="42"/>
        <v>0</v>
      </c>
      <c r="G709" s="30">
        <f>IF(F709=0, 0, INDEX(tbl_Vulnerability[[0 ft]:[10 ft]], MATCH(Simulation!C709, tbl_Vulnerability[Construction_Class], 0), MATCH(Simulation!F709,{0,1,2,3,5,8,10}, 1)))</f>
        <v>0</v>
      </c>
      <c r="H709" s="4">
        <f t="shared" si="43"/>
        <v>0</v>
      </c>
      <c r="I709" s="33">
        <f t="shared" si="44"/>
        <v>199405.95</v>
      </c>
      <c r="J709" s="33">
        <f t="shared" si="45"/>
        <v>0</v>
      </c>
    </row>
    <row r="710" spans="1:10">
      <c r="A710" s="3">
        <v>10000701</v>
      </c>
      <c r="B710" s="3" t="str">
        <v>Hooghly</v>
      </c>
      <c r="C710" s="3" t="str">
        <v>Unreinforced Masonry</v>
      </c>
      <c r="D710" s="3">
        <v>2</v>
      </c>
      <c r="E710" s="4">
        <v>200000</v>
      </c>
      <c r="F710" s="3">
        <f t="shared" si="42"/>
        <v>0</v>
      </c>
      <c r="G710" s="30">
        <f>IF(F710=0, 0, INDEX(tbl_Vulnerability[[0 ft]:[10 ft]], MATCH(Simulation!C710, tbl_Vulnerability[Construction_Class], 0), MATCH(Simulation!F710,{0,1,2,3,5,8,10}, 1)))</f>
        <v>0</v>
      </c>
      <c r="H710" s="4">
        <f t="shared" si="43"/>
        <v>0</v>
      </c>
      <c r="I710" s="33">
        <f t="shared" si="44"/>
        <v>10000</v>
      </c>
      <c r="J710" s="33">
        <f t="shared" si="45"/>
        <v>0</v>
      </c>
    </row>
    <row r="711" spans="1:10">
      <c r="A711" s="3">
        <v>10000702</v>
      </c>
      <c r="B711" s="3" t="str">
        <v>Jalpaiguri</v>
      </c>
      <c r="C711" s="3" t="str">
        <v>Unreinforced Masonry</v>
      </c>
      <c r="D711" s="3">
        <v>1</v>
      </c>
      <c r="E711" s="4">
        <v>1709778</v>
      </c>
      <c r="F711" s="3">
        <f t="shared" si="42"/>
        <v>0</v>
      </c>
      <c r="G711" s="30">
        <f>IF(F711=0, 0, INDEX(tbl_Vulnerability[[0 ft]:[10 ft]], MATCH(Simulation!C711, tbl_Vulnerability[Construction_Class], 0), MATCH(Simulation!F711,{0,1,2,3,5,8,10}, 1)))</f>
        <v>0</v>
      </c>
      <c r="H711" s="4">
        <f t="shared" si="43"/>
        <v>0</v>
      </c>
      <c r="I711" s="33">
        <f t="shared" si="44"/>
        <v>85488.900000000009</v>
      </c>
      <c r="J711" s="33">
        <f t="shared" si="45"/>
        <v>0</v>
      </c>
    </row>
    <row r="712" spans="1:10">
      <c r="A712" s="3">
        <v>10000703</v>
      </c>
      <c r="B712" s="3" t="str">
        <v>Jalpaiguri</v>
      </c>
      <c r="C712" s="3" t="str">
        <v>Unreinforced Masonry</v>
      </c>
      <c r="D712" s="3">
        <v>1</v>
      </c>
      <c r="E712" s="4">
        <v>18948474</v>
      </c>
      <c r="F712" s="3">
        <f t="shared" si="42"/>
        <v>0</v>
      </c>
      <c r="G712" s="30">
        <f>IF(F712=0, 0, INDEX(tbl_Vulnerability[[0 ft]:[10 ft]], MATCH(Simulation!C712, tbl_Vulnerability[Construction_Class], 0), MATCH(Simulation!F712,{0,1,2,3,5,8,10}, 1)))</f>
        <v>0</v>
      </c>
      <c r="H712" s="4">
        <f t="shared" si="43"/>
        <v>0</v>
      </c>
      <c r="I712" s="33">
        <f t="shared" si="44"/>
        <v>947423.70000000007</v>
      </c>
      <c r="J712" s="33">
        <f t="shared" si="45"/>
        <v>0</v>
      </c>
    </row>
    <row r="713" spans="1:10">
      <c r="A713" s="3">
        <v>10000704</v>
      </c>
      <c r="B713" s="3" t="str">
        <v>Paschim Medinipur</v>
      </c>
      <c r="C713" s="3" t="str">
        <v>Reinforced Concrete</v>
      </c>
      <c r="D713" s="3">
        <v>3</v>
      </c>
      <c r="E713" s="4">
        <v>2838057</v>
      </c>
      <c r="F713" s="3">
        <f t="shared" si="42"/>
        <v>0</v>
      </c>
      <c r="G713" s="30">
        <f>IF(F713=0, 0, INDEX(tbl_Vulnerability[[0 ft]:[10 ft]], MATCH(Simulation!C713, tbl_Vulnerability[Construction_Class], 0), MATCH(Simulation!F713,{0,1,2,3,5,8,10}, 1)))</f>
        <v>0</v>
      </c>
      <c r="H713" s="4">
        <f t="shared" si="43"/>
        <v>0</v>
      </c>
      <c r="I713" s="33">
        <f t="shared" si="44"/>
        <v>141902.85</v>
      </c>
      <c r="J713" s="33">
        <f t="shared" si="45"/>
        <v>0</v>
      </c>
    </row>
    <row r="714" spans="1:10">
      <c r="A714" s="3">
        <v>10000705</v>
      </c>
      <c r="B714" s="3" t="str">
        <v>Malda</v>
      </c>
      <c r="C714" s="3" t="str">
        <v>Unreinforced Masonry</v>
      </c>
      <c r="D714" s="3">
        <v>0</v>
      </c>
      <c r="E714" s="4">
        <v>3603470</v>
      </c>
      <c r="F714" s="3">
        <f t="shared" si="42"/>
        <v>10</v>
      </c>
      <c r="G714" s="30">
        <f>IF(F714=0, 0, INDEX(tbl_Vulnerability[[0 ft]:[10 ft]], MATCH(Simulation!C714, tbl_Vulnerability[Construction_Class], 0), MATCH(Simulation!F714,{0,1,2,3,5,8,10}, 1)))</f>
        <v>1</v>
      </c>
      <c r="H714" s="4">
        <f t="shared" si="43"/>
        <v>3603470</v>
      </c>
      <c r="I714" s="33">
        <f t="shared" si="44"/>
        <v>180173.5</v>
      </c>
      <c r="J714" s="33">
        <f t="shared" si="45"/>
        <v>3423296.5</v>
      </c>
    </row>
    <row r="715" spans="1:10">
      <c r="A715" s="3">
        <v>10000706</v>
      </c>
      <c r="B715" s="3" t="str">
        <v>Hooghly</v>
      </c>
      <c r="C715" s="3" t="str">
        <v>Unreinforced Masonry</v>
      </c>
      <c r="D715" s="3">
        <v>0</v>
      </c>
      <c r="E715" s="4">
        <v>18128288</v>
      </c>
      <c r="F715" s="3">
        <f t="shared" ref="F715:F778" si="46">IF(B715=$B$2, MAX(0, $B$3 - D715), 0)</f>
        <v>0</v>
      </c>
      <c r="G715" s="30">
        <f>IF(F715=0, 0, INDEX(tbl_Vulnerability[[0 ft]:[10 ft]], MATCH(Simulation!C715, tbl_Vulnerability[Construction_Class], 0), MATCH(Simulation!F715,{0,1,2,3,5,8,10}, 1)))</f>
        <v>0</v>
      </c>
      <c r="H715" s="4">
        <f t="shared" ref="H715:H778" si="47">E715*G715</f>
        <v>0</v>
      </c>
      <c r="I715" s="33">
        <f t="shared" ref="I715:I778" si="48">E715*$B$4</f>
        <v>906414.4</v>
      </c>
      <c r="J715" s="33">
        <f t="shared" ref="J715:J778" si="49">MAX(0, H715 - I715)</f>
        <v>0</v>
      </c>
    </row>
    <row r="716" spans="1:10">
      <c r="A716" s="3">
        <v>10000707</v>
      </c>
      <c r="B716" s="3" t="str">
        <v>Paschim Medinipur</v>
      </c>
      <c r="C716" s="3" t="str">
        <v>Reinforced Concrete</v>
      </c>
      <c r="D716" s="3">
        <v>3</v>
      </c>
      <c r="E716" s="4">
        <v>61240090</v>
      </c>
      <c r="F716" s="3">
        <f t="shared" si="46"/>
        <v>0</v>
      </c>
      <c r="G716" s="30">
        <f>IF(F716=0, 0, INDEX(tbl_Vulnerability[[0 ft]:[10 ft]], MATCH(Simulation!C716, tbl_Vulnerability[Construction_Class], 0), MATCH(Simulation!F716,{0,1,2,3,5,8,10}, 1)))</f>
        <v>0</v>
      </c>
      <c r="H716" s="4">
        <f t="shared" si="47"/>
        <v>0</v>
      </c>
      <c r="I716" s="33">
        <f t="shared" si="48"/>
        <v>3062004.5</v>
      </c>
      <c r="J716" s="33">
        <f t="shared" si="49"/>
        <v>0</v>
      </c>
    </row>
    <row r="717" spans="1:10">
      <c r="A717" s="3">
        <v>10000708</v>
      </c>
      <c r="B717" s="3" t="str">
        <v>Paschim Medinipur</v>
      </c>
      <c r="C717" s="3" t="str">
        <v>Reinforced Concrete</v>
      </c>
      <c r="D717" s="3">
        <v>3</v>
      </c>
      <c r="E717" s="4">
        <v>55175884</v>
      </c>
      <c r="F717" s="3">
        <f t="shared" si="46"/>
        <v>0</v>
      </c>
      <c r="G717" s="30">
        <f>IF(F717=0, 0, INDEX(tbl_Vulnerability[[0 ft]:[10 ft]], MATCH(Simulation!C717, tbl_Vulnerability[Construction_Class], 0), MATCH(Simulation!F717,{0,1,2,3,5,8,10}, 1)))</f>
        <v>0</v>
      </c>
      <c r="H717" s="4">
        <f t="shared" si="47"/>
        <v>0</v>
      </c>
      <c r="I717" s="33">
        <f t="shared" si="48"/>
        <v>2758794.2</v>
      </c>
      <c r="J717" s="33">
        <f t="shared" si="49"/>
        <v>0</v>
      </c>
    </row>
    <row r="718" spans="1:10">
      <c r="A718" s="3">
        <v>10000709</v>
      </c>
      <c r="B718" s="3" t="str">
        <v>Malda</v>
      </c>
      <c r="C718" s="3" t="str">
        <v>Unreinforced Masonry</v>
      </c>
      <c r="D718" s="3">
        <v>2</v>
      </c>
      <c r="E718" s="4">
        <v>2914501</v>
      </c>
      <c r="F718" s="3">
        <f t="shared" si="46"/>
        <v>8</v>
      </c>
      <c r="G718" s="30">
        <f>IF(F718=0, 0, INDEX(tbl_Vulnerability[[0 ft]:[10 ft]], MATCH(Simulation!C718, tbl_Vulnerability[Construction_Class], 0), MATCH(Simulation!F718,{0,1,2,3,5,8,10}, 1)))</f>
        <v>0.9</v>
      </c>
      <c r="H718" s="4">
        <f t="shared" si="47"/>
        <v>2623050.9</v>
      </c>
      <c r="I718" s="33">
        <f t="shared" si="48"/>
        <v>145725.05000000002</v>
      </c>
      <c r="J718" s="33">
        <f t="shared" si="49"/>
        <v>2477325.85</v>
      </c>
    </row>
    <row r="719" spans="1:10">
      <c r="A719" s="3">
        <v>10000710</v>
      </c>
      <c r="B719" s="3" t="str">
        <v>South 24 Parganas</v>
      </c>
      <c r="C719" s="3" t="str">
        <v>Reinforced Concrete</v>
      </c>
      <c r="D719" s="3">
        <v>5</v>
      </c>
      <c r="E719" s="4">
        <v>14942774</v>
      </c>
      <c r="F719" s="3">
        <f t="shared" si="46"/>
        <v>0</v>
      </c>
      <c r="G719" s="30">
        <f>IF(F719=0, 0, INDEX(tbl_Vulnerability[[0 ft]:[10 ft]], MATCH(Simulation!C719, tbl_Vulnerability[Construction_Class], 0), MATCH(Simulation!F719,{0,1,2,3,5,8,10}, 1)))</f>
        <v>0</v>
      </c>
      <c r="H719" s="4">
        <f t="shared" si="47"/>
        <v>0</v>
      </c>
      <c r="I719" s="33">
        <f t="shared" si="48"/>
        <v>747138.70000000007</v>
      </c>
      <c r="J719" s="33">
        <f t="shared" si="49"/>
        <v>0</v>
      </c>
    </row>
    <row r="720" spans="1:10">
      <c r="A720" s="3">
        <v>10000711</v>
      </c>
      <c r="B720" s="3" t="str">
        <v>Jalpaiguri</v>
      </c>
      <c r="C720" s="3" t="str">
        <v>Adobe / Light Timber</v>
      </c>
      <c r="D720" s="3">
        <v>0</v>
      </c>
      <c r="E720" s="4">
        <v>608527</v>
      </c>
      <c r="F720" s="3">
        <f t="shared" si="46"/>
        <v>0</v>
      </c>
      <c r="G720" s="30">
        <f>IF(F720=0, 0, INDEX(tbl_Vulnerability[[0 ft]:[10 ft]], MATCH(Simulation!C720, tbl_Vulnerability[Construction_Class], 0), MATCH(Simulation!F720,{0,1,2,3,5,8,10}, 1)))</f>
        <v>0</v>
      </c>
      <c r="H720" s="4">
        <f t="shared" si="47"/>
        <v>0</v>
      </c>
      <c r="I720" s="33">
        <f t="shared" si="48"/>
        <v>30426.350000000002</v>
      </c>
      <c r="J720" s="33">
        <f t="shared" si="49"/>
        <v>0</v>
      </c>
    </row>
    <row r="721" spans="1:10">
      <c r="A721" s="3">
        <v>10000712</v>
      </c>
      <c r="B721" s="3" t="str">
        <v>Hooghly</v>
      </c>
      <c r="C721" s="3" t="str">
        <v>Reinforced Concrete</v>
      </c>
      <c r="D721" s="3">
        <v>5</v>
      </c>
      <c r="E721" s="4">
        <v>56566549</v>
      </c>
      <c r="F721" s="3">
        <f t="shared" si="46"/>
        <v>0</v>
      </c>
      <c r="G721" s="30">
        <f>IF(F721=0, 0, INDEX(tbl_Vulnerability[[0 ft]:[10 ft]], MATCH(Simulation!C721, tbl_Vulnerability[Construction_Class], 0), MATCH(Simulation!F721,{0,1,2,3,5,8,10}, 1)))</f>
        <v>0</v>
      </c>
      <c r="H721" s="4">
        <f t="shared" si="47"/>
        <v>0</v>
      </c>
      <c r="I721" s="33">
        <f t="shared" si="48"/>
        <v>2828327.45</v>
      </c>
      <c r="J721" s="33">
        <f t="shared" si="49"/>
        <v>0</v>
      </c>
    </row>
    <row r="722" spans="1:10">
      <c r="A722" s="3">
        <v>10000713</v>
      </c>
      <c r="B722" s="3" t="str">
        <v>Malda</v>
      </c>
      <c r="C722" s="3" t="str">
        <v>Reinforced Concrete</v>
      </c>
      <c r="D722" s="3">
        <v>5</v>
      </c>
      <c r="E722" s="4">
        <v>59107602</v>
      </c>
      <c r="F722" s="3">
        <f t="shared" si="46"/>
        <v>5</v>
      </c>
      <c r="G722" s="30">
        <f>IF(F722=0, 0, INDEX(tbl_Vulnerability[[0 ft]:[10 ft]], MATCH(Simulation!C722, tbl_Vulnerability[Construction_Class], 0), MATCH(Simulation!F722,{0,1,2,3,5,8,10}, 1)))</f>
        <v>0.2</v>
      </c>
      <c r="H722" s="4">
        <f t="shared" si="47"/>
        <v>11821520.4</v>
      </c>
      <c r="I722" s="33">
        <f t="shared" si="48"/>
        <v>2955380.1</v>
      </c>
      <c r="J722" s="33">
        <f t="shared" si="49"/>
        <v>8866140.3000000007</v>
      </c>
    </row>
    <row r="723" spans="1:10">
      <c r="A723" s="3">
        <v>10000714</v>
      </c>
      <c r="B723" s="3" t="str">
        <v>Hooghly</v>
      </c>
      <c r="C723" s="3" t="str">
        <v>Reinforced Concrete</v>
      </c>
      <c r="D723" s="3">
        <v>3</v>
      </c>
      <c r="E723" s="4">
        <v>9529153</v>
      </c>
      <c r="F723" s="3">
        <f t="shared" si="46"/>
        <v>0</v>
      </c>
      <c r="G723" s="30">
        <f>IF(F723=0, 0, INDEX(tbl_Vulnerability[[0 ft]:[10 ft]], MATCH(Simulation!C723, tbl_Vulnerability[Construction_Class], 0), MATCH(Simulation!F723,{0,1,2,3,5,8,10}, 1)))</f>
        <v>0</v>
      </c>
      <c r="H723" s="4">
        <f t="shared" si="47"/>
        <v>0</v>
      </c>
      <c r="I723" s="33">
        <f t="shared" si="48"/>
        <v>476457.65</v>
      </c>
      <c r="J723" s="33">
        <f t="shared" si="49"/>
        <v>0</v>
      </c>
    </row>
    <row r="724" spans="1:10">
      <c r="A724" s="3">
        <v>10000715</v>
      </c>
      <c r="B724" s="3" t="str">
        <v>Malda</v>
      </c>
      <c r="C724" s="3" t="str">
        <v>Reinforced Concrete</v>
      </c>
      <c r="D724" s="3">
        <v>3</v>
      </c>
      <c r="E724" s="4">
        <v>20203465</v>
      </c>
      <c r="F724" s="3">
        <f t="shared" si="46"/>
        <v>7</v>
      </c>
      <c r="G724" s="30">
        <f>IF(F724=0, 0, INDEX(tbl_Vulnerability[[0 ft]:[10 ft]], MATCH(Simulation!C724, tbl_Vulnerability[Construction_Class], 0), MATCH(Simulation!F724,{0,1,2,3,5,8,10}, 1)))</f>
        <v>0.2</v>
      </c>
      <c r="H724" s="4">
        <f t="shared" si="47"/>
        <v>4040693</v>
      </c>
      <c r="I724" s="33">
        <f t="shared" si="48"/>
        <v>1010173.25</v>
      </c>
      <c r="J724" s="33">
        <f t="shared" si="49"/>
        <v>3030519.75</v>
      </c>
    </row>
    <row r="725" spans="1:10">
      <c r="A725" s="3">
        <v>10000716</v>
      </c>
      <c r="B725" s="3" t="str">
        <v>Hooghly</v>
      </c>
      <c r="C725" s="3" t="str">
        <v>Reinforced Concrete</v>
      </c>
      <c r="D725" s="3">
        <v>3</v>
      </c>
      <c r="E725" s="4">
        <v>49001012</v>
      </c>
      <c r="F725" s="3">
        <f t="shared" si="46"/>
        <v>0</v>
      </c>
      <c r="G725" s="30">
        <f>IF(F725=0, 0, INDEX(tbl_Vulnerability[[0 ft]:[10 ft]], MATCH(Simulation!C725, tbl_Vulnerability[Construction_Class], 0), MATCH(Simulation!F725,{0,1,2,3,5,8,10}, 1)))</f>
        <v>0</v>
      </c>
      <c r="H725" s="4">
        <f t="shared" si="47"/>
        <v>0</v>
      </c>
      <c r="I725" s="33">
        <f t="shared" si="48"/>
        <v>2450050.6</v>
      </c>
      <c r="J725" s="33">
        <f t="shared" si="49"/>
        <v>0</v>
      </c>
    </row>
    <row r="726" spans="1:10">
      <c r="A726" s="3">
        <v>10000717</v>
      </c>
      <c r="B726" s="3" t="str">
        <v>South 24 Parganas</v>
      </c>
      <c r="C726" s="3" t="str">
        <v>Unreinforced Masonry</v>
      </c>
      <c r="D726" s="3">
        <v>1</v>
      </c>
      <c r="E726" s="4">
        <v>13126328</v>
      </c>
      <c r="F726" s="3">
        <f t="shared" si="46"/>
        <v>0</v>
      </c>
      <c r="G726" s="30">
        <f>IF(F726=0, 0, INDEX(tbl_Vulnerability[[0 ft]:[10 ft]], MATCH(Simulation!C726, tbl_Vulnerability[Construction_Class], 0), MATCH(Simulation!F726,{0,1,2,3,5,8,10}, 1)))</f>
        <v>0</v>
      </c>
      <c r="H726" s="4">
        <f t="shared" si="47"/>
        <v>0</v>
      </c>
      <c r="I726" s="33">
        <f t="shared" si="48"/>
        <v>656316.4</v>
      </c>
      <c r="J726" s="33">
        <f t="shared" si="49"/>
        <v>0</v>
      </c>
    </row>
    <row r="727" spans="1:10">
      <c r="A727" s="3">
        <v>10000718</v>
      </c>
      <c r="B727" s="3" t="str">
        <v>Kolkata</v>
      </c>
      <c r="C727" s="3" t="str">
        <v>Reinforced Concrete</v>
      </c>
      <c r="D727" s="3">
        <v>5</v>
      </c>
      <c r="E727" s="4">
        <v>48730044</v>
      </c>
      <c r="F727" s="3">
        <f t="shared" si="46"/>
        <v>0</v>
      </c>
      <c r="G727" s="30">
        <f>IF(F727=0, 0, INDEX(tbl_Vulnerability[[0 ft]:[10 ft]], MATCH(Simulation!C727, tbl_Vulnerability[Construction_Class], 0), MATCH(Simulation!F727,{0,1,2,3,5,8,10}, 1)))</f>
        <v>0</v>
      </c>
      <c r="H727" s="4">
        <f t="shared" si="47"/>
        <v>0</v>
      </c>
      <c r="I727" s="33">
        <f t="shared" si="48"/>
        <v>2436502.2000000002</v>
      </c>
      <c r="J727" s="33">
        <f t="shared" si="49"/>
        <v>0</v>
      </c>
    </row>
    <row r="728" spans="1:10">
      <c r="A728" s="3">
        <v>10000719</v>
      </c>
      <c r="B728" s="3" t="str">
        <v>Malda</v>
      </c>
      <c r="C728" s="3" t="str">
        <v>Unreinforced Masonry</v>
      </c>
      <c r="D728" s="3">
        <v>0</v>
      </c>
      <c r="E728" s="4">
        <v>18265642</v>
      </c>
      <c r="F728" s="3">
        <f t="shared" si="46"/>
        <v>10</v>
      </c>
      <c r="G728" s="30">
        <f>IF(F728=0, 0, INDEX(tbl_Vulnerability[[0 ft]:[10 ft]], MATCH(Simulation!C728, tbl_Vulnerability[Construction_Class], 0), MATCH(Simulation!F728,{0,1,2,3,5,8,10}, 1)))</f>
        <v>1</v>
      </c>
      <c r="H728" s="4">
        <f t="shared" si="47"/>
        <v>18265642</v>
      </c>
      <c r="I728" s="33">
        <f t="shared" si="48"/>
        <v>913282.10000000009</v>
      </c>
      <c r="J728" s="33">
        <f t="shared" si="49"/>
        <v>17352359.899999999</v>
      </c>
    </row>
    <row r="729" spans="1:10">
      <c r="A729" s="3">
        <v>10000720</v>
      </c>
      <c r="B729" s="3" t="str">
        <v>Jalpaiguri</v>
      </c>
      <c r="C729" s="3" t="str">
        <v>Reinforced Concrete</v>
      </c>
      <c r="D729" s="3">
        <v>4</v>
      </c>
      <c r="E729" s="4">
        <v>17134816</v>
      </c>
      <c r="F729" s="3">
        <f t="shared" si="46"/>
        <v>0</v>
      </c>
      <c r="G729" s="30">
        <f>IF(F729=0, 0, INDEX(tbl_Vulnerability[[0 ft]:[10 ft]], MATCH(Simulation!C729, tbl_Vulnerability[Construction_Class], 0), MATCH(Simulation!F729,{0,1,2,3,5,8,10}, 1)))</f>
        <v>0</v>
      </c>
      <c r="H729" s="4">
        <f t="shared" si="47"/>
        <v>0</v>
      </c>
      <c r="I729" s="33">
        <f t="shared" si="48"/>
        <v>856740.8</v>
      </c>
      <c r="J729" s="33">
        <f t="shared" si="49"/>
        <v>0</v>
      </c>
    </row>
    <row r="730" spans="1:10">
      <c r="A730" s="3">
        <v>10000721</v>
      </c>
      <c r="B730" s="3" t="str">
        <v>Malda</v>
      </c>
      <c r="C730" s="3" t="str">
        <v>Adobe / Light Timber</v>
      </c>
      <c r="D730" s="3">
        <v>2</v>
      </c>
      <c r="E730" s="4">
        <v>674144</v>
      </c>
      <c r="F730" s="3">
        <f t="shared" si="46"/>
        <v>8</v>
      </c>
      <c r="G730" s="30">
        <f>IF(F730=0, 0, INDEX(tbl_Vulnerability[[0 ft]:[10 ft]], MATCH(Simulation!C730, tbl_Vulnerability[Construction_Class], 0), MATCH(Simulation!F730,{0,1,2,3,5,8,10}, 1)))</f>
        <v>1</v>
      </c>
      <c r="H730" s="4">
        <f t="shared" si="47"/>
        <v>674144</v>
      </c>
      <c r="I730" s="33">
        <f t="shared" si="48"/>
        <v>33707.200000000004</v>
      </c>
      <c r="J730" s="33">
        <f t="shared" si="49"/>
        <v>640436.80000000005</v>
      </c>
    </row>
    <row r="731" spans="1:10">
      <c r="A731" s="3">
        <v>10000722</v>
      </c>
      <c r="B731" s="3" t="str">
        <v>Paschim Medinipur</v>
      </c>
      <c r="C731" s="3" t="str">
        <v>Reinforced Concrete</v>
      </c>
      <c r="D731" s="3">
        <v>5</v>
      </c>
      <c r="E731" s="4">
        <v>58114957</v>
      </c>
      <c r="F731" s="3">
        <f t="shared" si="46"/>
        <v>0</v>
      </c>
      <c r="G731" s="30">
        <f>IF(F731=0, 0, INDEX(tbl_Vulnerability[[0 ft]:[10 ft]], MATCH(Simulation!C731, tbl_Vulnerability[Construction_Class], 0), MATCH(Simulation!F731,{0,1,2,3,5,8,10}, 1)))</f>
        <v>0</v>
      </c>
      <c r="H731" s="4">
        <f t="shared" si="47"/>
        <v>0</v>
      </c>
      <c r="I731" s="33">
        <f t="shared" si="48"/>
        <v>2905747.85</v>
      </c>
      <c r="J731" s="33">
        <f t="shared" si="49"/>
        <v>0</v>
      </c>
    </row>
    <row r="732" spans="1:10">
      <c r="A732" s="3">
        <v>10000723</v>
      </c>
      <c r="B732" s="3" t="str">
        <v>Paschim Medinipur</v>
      </c>
      <c r="C732" s="3" t="str">
        <v>Reinforced Concrete</v>
      </c>
      <c r="D732" s="3">
        <v>4</v>
      </c>
      <c r="E732" s="4">
        <v>55738862</v>
      </c>
      <c r="F732" s="3">
        <f t="shared" si="46"/>
        <v>0</v>
      </c>
      <c r="G732" s="30">
        <f>IF(F732=0, 0, INDEX(tbl_Vulnerability[[0 ft]:[10 ft]], MATCH(Simulation!C732, tbl_Vulnerability[Construction_Class], 0), MATCH(Simulation!F732,{0,1,2,3,5,8,10}, 1)))</f>
        <v>0</v>
      </c>
      <c r="H732" s="4">
        <f t="shared" si="47"/>
        <v>0</v>
      </c>
      <c r="I732" s="33">
        <f t="shared" si="48"/>
        <v>2786943.1</v>
      </c>
      <c r="J732" s="33">
        <f t="shared" si="49"/>
        <v>0</v>
      </c>
    </row>
    <row r="733" spans="1:10">
      <c r="A733" s="3">
        <v>10000724</v>
      </c>
      <c r="B733" s="3" t="str">
        <v>Malda</v>
      </c>
      <c r="C733" s="3" t="str">
        <v>Adobe / Light Timber</v>
      </c>
      <c r="D733" s="3">
        <v>0</v>
      </c>
      <c r="E733" s="4">
        <v>450826</v>
      </c>
      <c r="F733" s="3">
        <f t="shared" si="46"/>
        <v>10</v>
      </c>
      <c r="G733" s="30">
        <f>IF(F733=0, 0, INDEX(tbl_Vulnerability[[0 ft]:[10 ft]], MATCH(Simulation!C733, tbl_Vulnerability[Construction_Class], 0), MATCH(Simulation!F733,{0,1,2,3,5,8,10}, 1)))</f>
        <v>1</v>
      </c>
      <c r="H733" s="4">
        <f t="shared" si="47"/>
        <v>450826</v>
      </c>
      <c r="I733" s="33">
        <f t="shared" si="48"/>
        <v>22541.300000000003</v>
      </c>
      <c r="J733" s="33">
        <f t="shared" si="49"/>
        <v>428284.7</v>
      </c>
    </row>
    <row r="734" spans="1:10">
      <c r="A734" s="3">
        <v>10000725</v>
      </c>
      <c r="B734" s="3" t="str">
        <v>Paschim Medinipur</v>
      </c>
      <c r="C734" s="3" t="str">
        <v>Unreinforced Masonry</v>
      </c>
      <c r="D734" s="3">
        <v>1</v>
      </c>
      <c r="E734" s="4">
        <v>2648422</v>
      </c>
      <c r="F734" s="3">
        <f t="shared" si="46"/>
        <v>0</v>
      </c>
      <c r="G734" s="30">
        <f>IF(F734=0, 0, INDEX(tbl_Vulnerability[[0 ft]:[10 ft]], MATCH(Simulation!C734, tbl_Vulnerability[Construction_Class], 0), MATCH(Simulation!F734,{0,1,2,3,5,8,10}, 1)))</f>
        <v>0</v>
      </c>
      <c r="H734" s="4">
        <f t="shared" si="47"/>
        <v>0</v>
      </c>
      <c r="I734" s="33">
        <f t="shared" si="48"/>
        <v>132421.1</v>
      </c>
      <c r="J734" s="33">
        <f t="shared" si="49"/>
        <v>0</v>
      </c>
    </row>
    <row r="735" spans="1:10">
      <c r="A735" s="3">
        <v>10000726</v>
      </c>
      <c r="B735" s="3" t="str">
        <v>Kolkata</v>
      </c>
      <c r="C735" s="3" t="str">
        <v>Unreinforced Masonry</v>
      </c>
      <c r="D735" s="3">
        <v>0</v>
      </c>
      <c r="E735" s="4">
        <v>8646490</v>
      </c>
      <c r="F735" s="3">
        <f t="shared" si="46"/>
        <v>0</v>
      </c>
      <c r="G735" s="30">
        <f>IF(F735=0, 0, INDEX(tbl_Vulnerability[[0 ft]:[10 ft]], MATCH(Simulation!C735, tbl_Vulnerability[Construction_Class], 0), MATCH(Simulation!F735,{0,1,2,3,5,8,10}, 1)))</f>
        <v>0</v>
      </c>
      <c r="H735" s="4">
        <f t="shared" si="47"/>
        <v>0</v>
      </c>
      <c r="I735" s="33">
        <f t="shared" si="48"/>
        <v>432324.5</v>
      </c>
      <c r="J735" s="33">
        <f t="shared" si="49"/>
        <v>0</v>
      </c>
    </row>
    <row r="736" spans="1:10">
      <c r="A736" s="3">
        <v>10000727</v>
      </c>
      <c r="B736" s="3" t="str">
        <v>Jalpaiguri</v>
      </c>
      <c r="C736" s="3" t="str">
        <v>Reinforced Concrete</v>
      </c>
      <c r="D736" s="3">
        <v>3</v>
      </c>
      <c r="E736" s="4">
        <v>10405343</v>
      </c>
      <c r="F736" s="3">
        <f t="shared" si="46"/>
        <v>0</v>
      </c>
      <c r="G736" s="30">
        <f>IF(F736=0, 0, INDEX(tbl_Vulnerability[[0 ft]:[10 ft]], MATCH(Simulation!C736, tbl_Vulnerability[Construction_Class], 0), MATCH(Simulation!F736,{0,1,2,3,5,8,10}, 1)))</f>
        <v>0</v>
      </c>
      <c r="H736" s="4">
        <f t="shared" si="47"/>
        <v>0</v>
      </c>
      <c r="I736" s="33">
        <f t="shared" si="48"/>
        <v>520267.15</v>
      </c>
      <c r="J736" s="33">
        <f t="shared" si="49"/>
        <v>0</v>
      </c>
    </row>
    <row r="737" spans="1:10">
      <c r="A737" s="3">
        <v>10000728</v>
      </c>
      <c r="B737" s="3" t="str">
        <v>Paschim Medinipur</v>
      </c>
      <c r="C737" s="3" t="str">
        <v>Unreinforced Masonry</v>
      </c>
      <c r="D737" s="3">
        <v>0</v>
      </c>
      <c r="E737" s="4">
        <v>6484693</v>
      </c>
      <c r="F737" s="3">
        <f t="shared" si="46"/>
        <v>0</v>
      </c>
      <c r="G737" s="30">
        <f>IF(F737=0, 0, INDEX(tbl_Vulnerability[[0 ft]:[10 ft]], MATCH(Simulation!C737, tbl_Vulnerability[Construction_Class], 0), MATCH(Simulation!F737,{0,1,2,3,5,8,10}, 1)))</f>
        <v>0</v>
      </c>
      <c r="H737" s="4">
        <f t="shared" si="47"/>
        <v>0</v>
      </c>
      <c r="I737" s="33">
        <f t="shared" si="48"/>
        <v>324234.65000000002</v>
      </c>
      <c r="J737" s="33">
        <f t="shared" si="49"/>
        <v>0</v>
      </c>
    </row>
    <row r="738" spans="1:10">
      <c r="A738" s="3">
        <v>10000729</v>
      </c>
      <c r="B738" s="3" t="str">
        <v>Hooghly</v>
      </c>
      <c r="C738" s="3" t="str">
        <v>Reinforced Concrete</v>
      </c>
      <c r="D738" s="3">
        <v>3</v>
      </c>
      <c r="E738" s="4">
        <v>4010840</v>
      </c>
      <c r="F738" s="3">
        <f t="shared" si="46"/>
        <v>0</v>
      </c>
      <c r="G738" s="30">
        <f>IF(F738=0, 0, INDEX(tbl_Vulnerability[[0 ft]:[10 ft]], MATCH(Simulation!C738, tbl_Vulnerability[Construction_Class], 0), MATCH(Simulation!F738,{0,1,2,3,5,8,10}, 1)))</f>
        <v>0</v>
      </c>
      <c r="H738" s="4">
        <f t="shared" si="47"/>
        <v>0</v>
      </c>
      <c r="I738" s="33">
        <f t="shared" si="48"/>
        <v>200542</v>
      </c>
      <c r="J738" s="33">
        <f t="shared" si="49"/>
        <v>0</v>
      </c>
    </row>
    <row r="739" spans="1:10">
      <c r="A739" s="3">
        <v>10000730</v>
      </c>
      <c r="B739" s="3" t="str">
        <v>Kolkata</v>
      </c>
      <c r="C739" s="3" t="str">
        <v>Adobe / Light Timber</v>
      </c>
      <c r="D739" s="3">
        <v>1</v>
      </c>
      <c r="E739" s="4">
        <v>747820</v>
      </c>
      <c r="F739" s="3">
        <f t="shared" si="46"/>
        <v>0</v>
      </c>
      <c r="G739" s="30">
        <f>IF(F739=0, 0, INDEX(tbl_Vulnerability[[0 ft]:[10 ft]], MATCH(Simulation!C739, tbl_Vulnerability[Construction_Class], 0), MATCH(Simulation!F739,{0,1,2,3,5,8,10}, 1)))</f>
        <v>0</v>
      </c>
      <c r="H739" s="4">
        <f t="shared" si="47"/>
        <v>0</v>
      </c>
      <c r="I739" s="33">
        <f t="shared" si="48"/>
        <v>37391</v>
      </c>
      <c r="J739" s="33">
        <f t="shared" si="49"/>
        <v>0</v>
      </c>
    </row>
    <row r="740" spans="1:10">
      <c r="A740" s="3">
        <v>10000731</v>
      </c>
      <c r="B740" s="3" t="str">
        <v>Paschim Medinipur</v>
      </c>
      <c r="C740" s="3" t="str">
        <v>Unreinforced Masonry</v>
      </c>
      <c r="D740" s="3">
        <v>2</v>
      </c>
      <c r="E740" s="4">
        <v>12092494</v>
      </c>
      <c r="F740" s="3">
        <f t="shared" si="46"/>
        <v>0</v>
      </c>
      <c r="G740" s="30">
        <f>IF(F740=0, 0, INDEX(tbl_Vulnerability[[0 ft]:[10 ft]], MATCH(Simulation!C740, tbl_Vulnerability[Construction_Class], 0), MATCH(Simulation!F740,{0,1,2,3,5,8,10}, 1)))</f>
        <v>0</v>
      </c>
      <c r="H740" s="4">
        <f t="shared" si="47"/>
        <v>0</v>
      </c>
      <c r="I740" s="33">
        <f t="shared" si="48"/>
        <v>604624.70000000007</v>
      </c>
      <c r="J740" s="33">
        <f t="shared" si="49"/>
        <v>0</v>
      </c>
    </row>
    <row r="741" spans="1:10">
      <c r="A741" s="3">
        <v>10000732</v>
      </c>
      <c r="B741" s="3" t="str">
        <v>South 24 Parganas</v>
      </c>
      <c r="C741" s="3" t="str">
        <v>Unreinforced Masonry</v>
      </c>
      <c r="D741" s="3">
        <v>1</v>
      </c>
      <c r="E741" s="4">
        <v>3505574</v>
      </c>
      <c r="F741" s="3">
        <f t="shared" si="46"/>
        <v>0</v>
      </c>
      <c r="G741" s="30">
        <f>IF(F741=0, 0, INDEX(tbl_Vulnerability[[0 ft]:[10 ft]], MATCH(Simulation!C741, tbl_Vulnerability[Construction_Class], 0), MATCH(Simulation!F741,{0,1,2,3,5,8,10}, 1)))</f>
        <v>0</v>
      </c>
      <c r="H741" s="4">
        <f t="shared" si="47"/>
        <v>0</v>
      </c>
      <c r="I741" s="33">
        <f t="shared" si="48"/>
        <v>175278.7</v>
      </c>
      <c r="J741" s="33">
        <f t="shared" si="49"/>
        <v>0</v>
      </c>
    </row>
    <row r="742" spans="1:10">
      <c r="A742" s="3">
        <v>10000733</v>
      </c>
      <c r="B742" s="3" t="str">
        <v>South 24 Parganas</v>
      </c>
      <c r="C742" s="3" t="str">
        <v>Unreinforced Masonry</v>
      </c>
      <c r="D742" s="3">
        <v>0</v>
      </c>
      <c r="E742" s="4">
        <v>22165505</v>
      </c>
      <c r="F742" s="3">
        <f t="shared" si="46"/>
        <v>0</v>
      </c>
      <c r="G742" s="30">
        <f>IF(F742=0, 0, INDEX(tbl_Vulnerability[[0 ft]:[10 ft]], MATCH(Simulation!C742, tbl_Vulnerability[Construction_Class], 0), MATCH(Simulation!F742,{0,1,2,3,5,8,10}, 1)))</f>
        <v>0</v>
      </c>
      <c r="H742" s="4">
        <f t="shared" si="47"/>
        <v>0</v>
      </c>
      <c r="I742" s="33">
        <f t="shared" si="48"/>
        <v>1108275.25</v>
      </c>
      <c r="J742" s="33">
        <f t="shared" si="49"/>
        <v>0</v>
      </c>
    </row>
    <row r="743" spans="1:10">
      <c r="A743" s="3">
        <v>10000734</v>
      </c>
      <c r="B743" s="3" t="str">
        <v>Kolkata</v>
      </c>
      <c r="C743" s="3" t="str">
        <v>Unreinforced Masonry</v>
      </c>
      <c r="D743" s="3">
        <v>0</v>
      </c>
      <c r="E743" s="4">
        <v>14687379</v>
      </c>
      <c r="F743" s="3">
        <f t="shared" si="46"/>
        <v>0</v>
      </c>
      <c r="G743" s="30">
        <f>IF(F743=0, 0, INDEX(tbl_Vulnerability[[0 ft]:[10 ft]], MATCH(Simulation!C743, tbl_Vulnerability[Construction_Class], 0), MATCH(Simulation!F743,{0,1,2,3,5,8,10}, 1)))</f>
        <v>0</v>
      </c>
      <c r="H743" s="4">
        <f t="shared" si="47"/>
        <v>0</v>
      </c>
      <c r="I743" s="33">
        <f t="shared" si="48"/>
        <v>734368.95000000007</v>
      </c>
      <c r="J743" s="33">
        <f t="shared" si="49"/>
        <v>0</v>
      </c>
    </row>
    <row r="744" spans="1:10">
      <c r="A744" s="3">
        <v>10000735</v>
      </c>
      <c r="B744" s="3" t="str">
        <v>Paschim Medinipur</v>
      </c>
      <c r="C744" s="3" t="str">
        <v>Reinforced Concrete</v>
      </c>
      <c r="D744" s="3">
        <v>4</v>
      </c>
      <c r="E744" s="4">
        <v>16237909</v>
      </c>
      <c r="F744" s="3">
        <f t="shared" si="46"/>
        <v>0</v>
      </c>
      <c r="G744" s="30">
        <f>IF(F744=0, 0, INDEX(tbl_Vulnerability[[0 ft]:[10 ft]], MATCH(Simulation!C744, tbl_Vulnerability[Construction_Class], 0), MATCH(Simulation!F744,{0,1,2,3,5,8,10}, 1)))</f>
        <v>0</v>
      </c>
      <c r="H744" s="4">
        <f t="shared" si="47"/>
        <v>0</v>
      </c>
      <c r="I744" s="33">
        <f t="shared" si="48"/>
        <v>811895.45000000007</v>
      </c>
      <c r="J744" s="33">
        <f t="shared" si="49"/>
        <v>0</v>
      </c>
    </row>
    <row r="745" spans="1:10">
      <c r="A745" s="3">
        <v>10000736</v>
      </c>
      <c r="B745" s="3" t="str">
        <v>Paschim Medinipur</v>
      </c>
      <c r="C745" s="3" t="str">
        <v>Unreinforced Masonry</v>
      </c>
      <c r="D745" s="3">
        <v>2</v>
      </c>
      <c r="E745" s="4">
        <v>14801117</v>
      </c>
      <c r="F745" s="3">
        <f t="shared" si="46"/>
        <v>0</v>
      </c>
      <c r="G745" s="30">
        <f>IF(F745=0, 0, INDEX(tbl_Vulnerability[[0 ft]:[10 ft]], MATCH(Simulation!C745, tbl_Vulnerability[Construction_Class], 0), MATCH(Simulation!F745,{0,1,2,3,5,8,10}, 1)))</f>
        <v>0</v>
      </c>
      <c r="H745" s="4">
        <f t="shared" si="47"/>
        <v>0</v>
      </c>
      <c r="I745" s="33">
        <f t="shared" si="48"/>
        <v>740055.85000000009</v>
      </c>
      <c r="J745" s="33">
        <f t="shared" si="49"/>
        <v>0</v>
      </c>
    </row>
    <row r="746" spans="1:10">
      <c r="A746" s="3">
        <v>10000737</v>
      </c>
      <c r="B746" s="3" t="str">
        <v>Hooghly</v>
      </c>
      <c r="C746" s="3" t="str">
        <v>Reinforced Concrete</v>
      </c>
      <c r="D746" s="3">
        <v>5</v>
      </c>
      <c r="E746" s="4">
        <v>21700407</v>
      </c>
      <c r="F746" s="3">
        <f t="shared" si="46"/>
        <v>0</v>
      </c>
      <c r="G746" s="30">
        <f>IF(F746=0, 0, INDEX(tbl_Vulnerability[[0 ft]:[10 ft]], MATCH(Simulation!C746, tbl_Vulnerability[Construction_Class], 0), MATCH(Simulation!F746,{0,1,2,3,5,8,10}, 1)))</f>
        <v>0</v>
      </c>
      <c r="H746" s="4">
        <f t="shared" si="47"/>
        <v>0</v>
      </c>
      <c r="I746" s="33">
        <f t="shared" si="48"/>
        <v>1085020.3500000001</v>
      </c>
      <c r="J746" s="33">
        <f t="shared" si="49"/>
        <v>0</v>
      </c>
    </row>
    <row r="747" spans="1:10">
      <c r="A747" s="3">
        <v>10000738</v>
      </c>
      <c r="B747" s="3" t="str">
        <v>South 24 Parganas</v>
      </c>
      <c r="C747" s="3" t="str">
        <v>Reinforced Concrete</v>
      </c>
      <c r="D747" s="3">
        <v>3</v>
      </c>
      <c r="E747" s="4">
        <v>19287599</v>
      </c>
      <c r="F747" s="3">
        <f t="shared" si="46"/>
        <v>0</v>
      </c>
      <c r="G747" s="30">
        <f>IF(F747=0, 0, INDEX(tbl_Vulnerability[[0 ft]:[10 ft]], MATCH(Simulation!C747, tbl_Vulnerability[Construction_Class], 0), MATCH(Simulation!F747,{0,1,2,3,5,8,10}, 1)))</f>
        <v>0</v>
      </c>
      <c r="H747" s="4">
        <f t="shared" si="47"/>
        <v>0</v>
      </c>
      <c r="I747" s="33">
        <f t="shared" si="48"/>
        <v>964379.95000000007</v>
      </c>
      <c r="J747" s="33">
        <f t="shared" si="49"/>
        <v>0</v>
      </c>
    </row>
    <row r="748" spans="1:10">
      <c r="A748" s="3">
        <v>10000739</v>
      </c>
      <c r="B748" s="3" t="str">
        <v>Kolkata</v>
      </c>
      <c r="C748" s="3" t="str">
        <v>Reinforced Concrete</v>
      </c>
      <c r="D748" s="3">
        <v>5</v>
      </c>
      <c r="E748" s="4">
        <v>3643380</v>
      </c>
      <c r="F748" s="3">
        <f t="shared" si="46"/>
        <v>0</v>
      </c>
      <c r="G748" s="30">
        <f>IF(F748=0, 0, INDEX(tbl_Vulnerability[[0 ft]:[10 ft]], MATCH(Simulation!C748, tbl_Vulnerability[Construction_Class], 0), MATCH(Simulation!F748,{0,1,2,3,5,8,10}, 1)))</f>
        <v>0</v>
      </c>
      <c r="H748" s="4">
        <f t="shared" si="47"/>
        <v>0</v>
      </c>
      <c r="I748" s="33">
        <f t="shared" si="48"/>
        <v>182169</v>
      </c>
      <c r="J748" s="33">
        <f t="shared" si="49"/>
        <v>0</v>
      </c>
    </row>
    <row r="749" spans="1:10">
      <c r="A749" s="3">
        <v>10000740</v>
      </c>
      <c r="B749" s="3" t="str">
        <v>Hooghly</v>
      </c>
      <c r="C749" s="3" t="str">
        <v>Unreinforced Masonry</v>
      </c>
      <c r="D749" s="3">
        <v>2</v>
      </c>
      <c r="E749" s="4">
        <v>16718936</v>
      </c>
      <c r="F749" s="3">
        <f t="shared" si="46"/>
        <v>0</v>
      </c>
      <c r="G749" s="30">
        <f>IF(F749=0, 0, INDEX(tbl_Vulnerability[[0 ft]:[10 ft]], MATCH(Simulation!C749, tbl_Vulnerability[Construction_Class], 0), MATCH(Simulation!F749,{0,1,2,3,5,8,10}, 1)))</f>
        <v>0</v>
      </c>
      <c r="H749" s="4">
        <f t="shared" si="47"/>
        <v>0</v>
      </c>
      <c r="I749" s="33">
        <f t="shared" si="48"/>
        <v>835946.8</v>
      </c>
      <c r="J749" s="33">
        <f t="shared" si="49"/>
        <v>0</v>
      </c>
    </row>
    <row r="750" spans="1:10">
      <c r="A750" s="3">
        <v>10000741</v>
      </c>
      <c r="B750" s="3" t="str">
        <v>Kolkata</v>
      </c>
      <c r="C750" s="3" t="str">
        <v>Reinforced Concrete</v>
      </c>
      <c r="D750" s="3">
        <v>3</v>
      </c>
      <c r="E750" s="4">
        <v>4020357</v>
      </c>
      <c r="F750" s="3">
        <f t="shared" si="46"/>
        <v>0</v>
      </c>
      <c r="G750" s="30">
        <f>IF(F750=0, 0, INDEX(tbl_Vulnerability[[0 ft]:[10 ft]], MATCH(Simulation!C750, tbl_Vulnerability[Construction_Class], 0), MATCH(Simulation!F750,{0,1,2,3,5,8,10}, 1)))</f>
        <v>0</v>
      </c>
      <c r="H750" s="4">
        <f t="shared" si="47"/>
        <v>0</v>
      </c>
      <c r="I750" s="33">
        <f t="shared" si="48"/>
        <v>201017.85</v>
      </c>
      <c r="J750" s="33">
        <f t="shared" si="49"/>
        <v>0</v>
      </c>
    </row>
    <row r="751" spans="1:10">
      <c r="A751" s="3">
        <v>10000742</v>
      </c>
      <c r="B751" s="3" t="str">
        <v>Kolkata</v>
      </c>
      <c r="C751" s="3" t="str">
        <v>Reinforced Concrete</v>
      </c>
      <c r="D751" s="3">
        <v>4</v>
      </c>
      <c r="E751" s="4">
        <v>52420179</v>
      </c>
      <c r="F751" s="3">
        <f t="shared" si="46"/>
        <v>0</v>
      </c>
      <c r="G751" s="30">
        <f>IF(F751=0, 0, INDEX(tbl_Vulnerability[[0 ft]:[10 ft]], MATCH(Simulation!C751, tbl_Vulnerability[Construction_Class], 0), MATCH(Simulation!F751,{0,1,2,3,5,8,10}, 1)))</f>
        <v>0</v>
      </c>
      <c r="H751" s="4">
        <f t="shared" si="47"/>
        <v>0</v>
      </c>
      <c r="I751" s="33">
        <f t="shared" si="48"/>
        <v>2621008.9500000002</v>
      </c>
      <c r="J751" s="33">
        <f t="shared" si="49"/>
        <v>0</v>
      </c>
    </row>
    <row r="752" spans="1:10">
      <c r="A752" s="3">
        <v>10000743</v>
      </c>
      <c r="B752" s="3" t="str">
        <v>Kolkata</v>
      </c>
      <c r="C752" s="3" t="str">
        <v>Reinforced Concrete</v>
      </c>
      <c r="D752" s="3">
        <v>5</v>
      </c>
      <c r="E752" s="4">
        <v>41691115</v>
      </c>
      <c r="F752" s="3">
        <f t="shared" si="46"/>
        <v>0</v>
      </c>
      <c r="G752" s="30">
        <f>IF(F752=0, 0, INDEX(tbl_Vulnerability[[0 ft]:[10 ft]], MATCH(Simulation!C752, tbl_Vulnerability[Construction_Class], 0), MATCH(Simulation!F752,{0,1,2,3,5,8,10}, 1)))</f>
        <v>0</v>
      </c>
      <c r="H752" s="4">
        <f t="shared" si="47"/>
        <v>0</v>
      </c>
      <c r="I752" s="33">
        <f t="shared" si="48"/>
        <v>2084555.75</v>
      </c>
      <c r="J752" s="33">
        <f t="shared" si="49"/>
        <v>0</v>
      </c>
    </row>
    <row r="753" spans="1:10">
      <c r="A753" s="3">
        <v>10000744</v>
      </c>
      <c r="B753" s="3" t="str">
        <v>Paschim Medinipur</v>
      </c>
      <c r="C753" s="3" t="str">
        <v>Reinforced Concrete</v>
      </c>
      <c r="D753" s="3">
        <v>3</v>
      </c>
      <c r="E753" s="4">
        <v>58096474</v>
      </c>
      <c r="F753" s="3">
        <f t="shared" si="46"/>
        <v>0</v>
      </c>
      <c r="G753" s="30">
        <f>IF(F753=0, 0, INDEX(tbl_Vulnerability[[0 ft]:[10 ft]], MATCH(Simulation!C753, tbl_Vulnerability[Construction_Class], 0), MATCH(Simulation!F753,{0,1,2,3,5,8,10}, 1)))</f>
        <v>0</v>
      </c>
      <c r="H753" s="4">
        <f t="shared" si="47"/>
        <v>0</v>
      </c>
      <c r="I753" s="33">
        <f t="shared" si="48"/>
        <v>2904823.7</v>
      </c>
      <c r="J753" s="33">
        <f t="shared" si="49"/>
        <v>0</v>
      </c>
    </row>
    <row r="754" spans="1:10">
      <c r="A754" s="3">
        <v>10000745</v>
      </c>
      <c r="B754" s="3" t="str">
        <v>Kolkata</v>
      </c>
      <c r="C754" s="3" t="str">
        <v>Reinforced Concrete</v>
      </c>
      <c r="D754" s="3">
        <v>3</v>
      </c>
      <c r="E754" s="4">
        <v>64473404</v>
      </c>
      <c r="F754" s="3">
        <f t="shared" si="46"/>
        <v>0</v>
      </c>
      <c r="G754" s="30">
        <f>IF(F754=0, 0, INDEX(tbl_Vulnerability[[0 ft]:[10 ft]], MATCH(Simulation!C754, tbl_Vulnerability[Construction_Class], 0), MATCH(Simulation!F754,{0,1,2,3,5,8,10}, 1)))</f>
        <v>0</v>
      </c>
      <c r="H754" s="4">
        <f t="shared" si="47"/>
        <v>0</v>
      </c>
      <c r="I754" s="33">
        <f t="shared" si="48"/>
        <v>3223670.2</v>
      </c>
      <c r="J754" s="33">
        <f t="shared" si="49"/>
        <v>0</v>
      </c>
    </row>
    <row r="755" spans="1:10">
      <c r="A755" s="3">
        <v>10000746</v>
      </c>
      <c r="B755" s="3" t="str">
        <v>Paschim Medinipur</v>
      </c>
      <c r="C755" s="3" t="str">
        <v>Reinforced Concrete</v>
      </c>
      <c r="D755" s="3">
        <v>4</v>
      </c>
      <c r="E755" s="4">
        <v>51230571</v>
      </c>
      <c r="F755" s="3">
        <f t="shared" si="46"/>
        <v>0</v>
      </c>
      <c r="G755" s="30">
        <f>IF(F755=0, 0, INDEX(tbl_Vulnerability[[0 ft]:[10 ft]], MATCH(Simulation!C755, tbl_Vulnerability[Construction_Class], 0), MATCH(Simulation!F755,{0,1,2,3,5,8,10}, 1)))</f>
        <v>0</v>
      </c>
      <c r="H755" s="4">
        <f t="shared" si="47"/>
        <v>0</v>
      </c>
      <c r="I755" s="33">
        <f t="shared" si="48"/>
        <v>2561528.5500000003</v>
      </c>
      <c r="J755" s="33">
        <f t="shared" si="49"/>
        <v>0</v>
      </c>
    </row>
    <row r="756" spans="1:10">
      <c r="A756" s="3">
        <v>10000747</v>
      </c>
      <c r="B756" s="3" t="str">
        <v>Jalpaiguri</v>
      </c>
      <c r="C756" s="3" t="str">
        <v>Unreinforced Masonry</v>
      </c>
      <c r="D756" s="3">
        <v>2</v>
      </c>
      <c r="E756" s="4">
        <v>13663903</v>
      </c>
      <c r="F756" s="3">
        <f t="shared" si="46"/>
        <v>0</v>
      </c>
      <c r="G756" s="30">
        <f>IF(F756=0, 0, INDEX(tbl_Vulnerability[[0 ft]:[10 ft]], MATCH(Simulation!C756, tbl_Vulnerability[Construction_Class], 0), MATCH(Simulation!F756,{0,1,2,3,5,8,10}, 1)))</f>
        <v>0</v>
      </c>
      <c r="H756" s="4">
        <f t="shared" si="47"/>
        <v>0</v>
      </c>
      <c r="I756" s="33">
        <f t="shared" si="48"/>
        <v>683195.15</v>
      </c>
      <c r="J756" s="33">
        <f t="shared" si="49"/>
        <v>0</v>
      </c>
    </row>
    <row r="757" spans="1:10">
      <c r="A757" s="3">
        <v>10000748</v>
      </c>
      <c r="B757" s="3" t="str">
        <v>Paschim Medinipur</v>
      </c>
      <c r="C757" s="3" t="str">
        <v>Reinforced Concrete</v>
      </c>
      <c r="D757" s="3">
        <v>5</v>
      </c>
      <c r="E757" s="4">
        <v>5879608</v>
      </c>
      <c r="F757" s="3">
        <f t="shared" si="46"/>
        <v>0</v>
      </c>
      <c r="G757" s="30">
        <f>IF(F757=0, 0, INDEX(tbl_Vulnerability[[0 ft]:[10 ft]], MATCH(Simulation!C757, tbl_Vulnerability[Construction_Class], 0), MATCH(Simulation!F757,{0,1,2,3,5,8,10}, 1)))</f>
        <v>0</v>
      </c>
      <c r="H757" s="4">
        <f t="shared" si="47"/>
        <v>0</v>
      </c>
      <c r="I757" s="33">
        <f t="shared" si="48"/>
        <v>293980.40000000002</v>
      </c>
      <c r="J757" s="33">
        <f t="shared" si="49"/>
        <v>0</v>
      </c>
    </row>
    <row r="758" spans="1:10">
      <c r="A758" s="3">
        <v>10000749</v>
      </c>
      <c r="B758" s="3" t="str">
        <v>Paschim Medinipur</v>
      </c>
      <c r="C758" s="3" t="str">
        <v>Reinforced Concrete</v>
      </c>
      <c r="D758" s="3">
        <v>5</v>
      </c>
      <c r="E758" s="4">
        <v>4104759</v>
      </c>
      <c r="F758" s="3">
        <f t="shared" si="46"/>
        <v>0</v>
      </c>
      <c r="G758" s="30">
        <f>IF(F758=0, 0, INDEX(tbl_Vulnerability[[0 ft]:[10 ft]], MATCH(Simulation!C758, tbl_Vulnerability[Construction_Class], 0), MATCH(Simulation!F758,{0,1,2,3,5,8,10}, 1)))</f>
        <v>0</v>
      </c>
      <c r="H758" s="4">
        <f t="shared" si="47"/>
        <v>0</v>
      </c>
      <c r="I758" s="33">
        <f t="shared" si="48"/>
        <v>205237.95</v>
      </c>
      <c r="J758" s="33">
        <f t="shared" si="49"/>
        <v>0</v>
      </c>
    </row>
    <row r="759" spans="1:10">
      <c r="A759" s="3">
        <v>10000750</v>
      </c>
      <c r="B759" s="3" t="str">
        <v>Jalpaiguri</v>
      </c>
      <c r="C759" s="3" t="str">
        <v>Reinforced Concrete</v>
      </c>
      <c r="D759" s="3">
        <v>5</v>
      </c>
      <c r="E759" s="4">
        <v>42916379</v>
      </c>
      <c r="F759" s="3">
        <f t="shared" si="46"/>
        <v>0</v>
      </c>
      <c r="G759" s="30">
        <f>IF(F759=0, 0, INDEX(tbl_Vulnerability[[0 ft]:[10 ft]], MATCH(Simulation!C759, tbl_Vulnerability[Construction_Class], 0), MATCH(Simulation!F759,{0,1,2,3,5,8,10}, 1)))</f>
        <v>0</v>
      </c>
      <c r="H759" s="4">
        <f t="shared" si="47"/>
        <v>0</v>
      </c>
      <c r="I759" s="33">
        <f t="shared" si="48"/>
        <v>2145818.9500000002</v>
      </c>
      <c r="J759" s="33">
        <f t="shared" si="49"/>
        <v>0</v>
      </c>
    </row>
    <row r="760" spans="1:10">
      <c r="A760" s="3">
        <v>10000751</v>
      </c>
      <c r="B760" s="3" t="str">
        <v>Kolkata</v>
      </c>
      <c r="C760" s="3" t="str">
        <v>Unreinforced Masonry</v>
      </c>
      <c r="D760" s="3">
        <v>0</v>
      </c>
      <c r="E760" s="4">
        <v>6062539</v>
      </c>
      <c r="F760" s="3">
        <f t="shared" si="46"/>
        <v>0</v>
      </c>
      <c r="G760" s="30">
        <f>IF(F760=0, 0, INDEX(tbl_Vulnerability[[0 ft]:[10 ft]], MATCH(Simulation!C760, tbl_Vulnerability[Construction_Class], 0), MATCH(Simulation!F760,{0,1,2,3,5,8,10}, 1)))</f>
        <v>0</v>
      </c>
      <c r="H760" s="4">
        <f t="shared" si="47"/>
        <v>0</v>
      </c>
      <c r="I760" s="33">
        <f t="shared" si="48"/>
        <v>303126.95</v>
      </c>
      <c r="J760" s="33">
        <f t="shared" si="49"/>
        <v>0</v>
      </c>
    </row>
    <row r="761" spans="1:10">
      <c r="A761" s="3">
        <v>10000752</v>
      </c>
      <c r="B761" s="3" t="str">
        <v>South 24 Parganas</v>
      </c>
      <c r="C761" s="3" t="str">
        <v>Adobe / Light Timber</v>
      </c>
      <c r="D761" s="3">
        <v>2</v>
      </c>
      <c r="E761" s="4">
        <v>398781</v>
      </c>
      <c r="F761" s="3">
        <f t="shared" si="46"/>
        <v>0</v>
      </c>
      <c r="G761" s="30">
        <f>IF(F761=0, 0, INDEX(tbl_Vulnerability[[0 ft]:[10 ft]], MATCH(Simulation!C761, tbl_Vulnerability[Construction_Class], 0), MATCH(Simulation!F761,{0,1,2,3,5,8,10}, 1)))</f>
        <v>0</v>
      </c>
      <c r="H761" s="4">
        <f t="shared" si="47"/>
        <v>0</v>
      </c>
      <c r="I761" s="33">
        <f t="shared" si="48"/>
        <v>19939.050000000003</v>
      </c>
      <c r="J761" s="33">
        <f t="shared" si="49"/>
        <v>0</v>
      </c>
    </row>
    <row r="762" spans="1:10">
      <c r="A762" s="3">
        <v>10000753</v>
      </c>
      <c r="B762" s="3" t="str">
        <v>Jalpaiguri</v>
      </c>
      <c r="C762" s="3" t="str">
        <v>Reinforced Concrete</v>
      </c>
      <c r="D762" s="3">
        <v>3</v>
      </c>
      <c r="E762" s="4">
        <v>36863701</v>
      </c>
      <c r="F762" s="3">
        <f t="shared" si="46"/>
        <v>0</v>
      </c>
      <c r="G762" s="30">
        <f>IF(F762=0, 0, INDEX(tbl_Vulnerability[[0 ft]:[10 ft]], MATCH(Simulation!C762, tbl_Vulnerability[Construction_Class], 0), MATCH(Simulation!F762,{0,1,2,3,5,8,10}, 1)))</f>
        <v>0</v>
      </c>
      <c r="H762" s="4">
        <f t="shared" si="47"/>
        <v>0</v>
      </c>
      <c r="I762" s="33">
        <f t="shared" si="48"/>
        <v>1843185.05</v>
      </c>
      <c r="J762" s="33">
        <f t="shared" si="49"/>
        <v>0</v>
      </c>
    </row>
    <row r="763" spans="1:10">
      <c r="A763" s="3">
        <v>10000754</v>
      </c>
      <c r="B763" s="3" t="str">
        <v>Malda</v>
      </c>
      <c r="C763" s="3" t="str">
        <v>Reinforced Concrete</v>
      </c>
      <c r="D763" s="3">
        <v>4</v>
      </c>
      <c r="E763" s="4">
        <v>36019402</v>
      </c>
      <c r="F763" s="3">
        <f t="shared" si="46"/>
        <v>6</v>
      </c>
      <c r="G763" s="30">
        <f>IF(F763=0, 0, INDEX(tbl_Vulnerability[[0 ft]:[10 ft]], MATCH(Simulation!C763, tbl_Vulnerability[Construction_Class], 0), MATCH(Simulation!F763,{0,1,2,3,5,8,10}, 1)))</f>
        <v>0.2</v>
      </c>
      <c r="H763" s="4">
        <f t="shared" si="47"/>
        <v>7203880.4000000004</v>
      </c>
      <c r="I763" s="33">
        <f t="shared" si="48"/>
        <v>1800970.1</v>
      </c>
      <c r="J763" s="33">
        <f t="shared" si="49"/>
        <v>5402910.3000000007</v>
      </c>
    </row>
    <row r="764" spans="1:10">
      <c r="A764" s="3">
        <v>10000755</v>
      </c>
      <c r="B764" s="3" t="str">
        <v>Hooghly</v>
      </c>
      <c r="C764" s="3" t="str">
        <v>Reinforced Concrete</v>
      </c>
      <c r="D764" s="3">
        <v>5</v>
      </c>
      <c r="E764" s="4">
        <v>16852188</v>
      </c>
      <c r="F764" s="3">
        <f t="shared" si="46"/>
        <v>0</v>
      </c>
      <c r="G764" s="30">
        <f>IF(F764=0, 0, INDEX(tbl_Vulnerability[[0 ft]:[10 ft]], MATCH(Simulation!C764, tbl_Vulnerability[Construction_Class], 0), MATCH(Simulation!F764,{0,1,2,3,5,8,10}, 1)))</f>
        <v>0</v>
      </c>
      <c r="H764" s="4">
        <f t="shared" si="47"/>
        <v>0</v>
      </c>
      <c r="I764" s="33">
        <f t="shared" si="48"/>
        <v>842609.4</v>
      </c>
      <c r="J764" s="33">
        <f t="shared" si="49"/>
        <v>0</v>
      </c>
    </row>
    <row r="765" spans="1:10">
      <c r="A765" s="3">
        <v>10000756</v>
      </c>
      <c r="B765" s="3" t="str">
        <v>South 24 Parganas</v>
      </c>
      <c r="C765" s="3" t="str">
        <v>Unreinforced Masonry</v>
      </c>
      <c r="D765" s="3">
        <v>1</v>
      </c>
      <c r="E765" s="4">
        <v>17950260</v>
      </c>
      <c r="F765" s="3">
        <f t="shared" si="46"/>
        <v>0</v>
      </c>
      <c r="G765" s="30">
        <f>IF(F765=0, 0, INDEX(tbl_Vulnerability[[0 ft]:[10 ft]], MATCH(Simulation!C765, tbl_Vulnerability[Construction_Class], 0), MATCH(Simulation!F765,{0,1,2,3,5,8,10}, 1)))</f>
        <v>0</v>
      </c>
      <c r="H765" s="4">
        <f t="shared" si="47"/>
        <v>0</v>
      </c>
      <c r="I765" s="33">
        <f t="shared" si="48"/>
        <v>897513</v>
      </c>
      <c r="J765" s="33">
        <f t="shared" si="49"/>
        <v>0</v>
      </c>
    </row>
    <row r="766" spans="1:10">
      <c r="A766" s="3">
        <v>10000757</v>
      </c>
      <c r="B766" s="3" t="str">
        <v>Jalpaiguri</v>
      </c>
      <c r="C766" s="3" t="str">
        <v>Adobe / Light Timber</v>
      </c>
      <c r="D766" s="3">
        <v>2</v>
      </c>
      <c r="E766" s="4">
        <v>488724</v>
      </c>
      <c r="F766" s="3">
        <f t="shared" si="46"/>
        <v>0</v>
      </c>
      <c r="G766" s="30">
        <f>IF(F766=0, 0, INDEX(tbl_Vulnerability[[0 ft]:[10 ft]], MATCH(Simulation!C766, tbl_Vulnerability[Construction_Class], 0), MATCH(Simulation!F766,{0,1,2,3,5,8,10}, 1)))</f>
        <v>0</v>
      </c>
      <c r="H766" s="4">
        <f t="shared" si="47"/>
        <v>0</v>
      </c>
      <c r="I766" s="33">
        <f t="shared" si="48"/>
        <v>24436.2</v>
      </c>
      <c r="J766" s="33">
        <f t="shared" si="49"/>
        <v>0</v>
      </c>
    </row>
    <row r="767" spans="1:10">
      <c r="A767" s="3">
        <v>10000758</v>
      </c>
      <c r="B767" s="3" t="str">
        <v>Kolkata</v>
      </c>
      <c r="C767" s="3" t="str">
        <v>Reinforced Concrete</v>
      </c>
      <c r="D767" s="3">
        <v>5</v>
      </c>
      <c r="E767" s="4">
        <v>17436441</v>
      </c>
      <c r="F767" s="3">
        <f t="shared" si="46"/>
        <v>0</v>
      </c>
      <c r="G767" s="30">
        <f>IF(F767=0, 0, INDEX(tbl_Vulnerability[[0 ft]:[10 ft]], MATCH(Simulation!C767, tbl_Vulnerability[Construction_Class], 0), MATCH(Simulation!F767,{0,1,2,3,5,8,10}, 1)))</f>
        <v>0</v>
      </c>
      <c r="H767" s="4">
        <f t="shared" si="47"/>
        <v>0</v>
      </c>
      <c r="I767" s="33">
        <f t="shared" si="48"/>
        <v>871822.05</v>
      </c>
      <c r="J767" s="33">
        <f t="shared" si="49"/>
        <v>0</v>
      </c>
    </row>
    <row r="768" spans="1:10">
      <c r="A768" s="3">
        <v>10000759</v>
      </c>
      <c r="B768" s="3" t="str">
        <v>South 24 Parganas</v>
      </c>
      <c r="C768" s="3" t="str">
        <v>Adobe / Light Timber</v>
      </c>
      <c r="D768" s="3">
        <v>2</v>
      </c>
      <c r="E768" s="4">
        <v>538231</v>
      </c>
      <c r="F768" s="3">
        <f t="shared" si="46"/>
        <v>0</v>
      </c>
      <c r="G768" s="30">
        <f>IF(F768=0, 0, INDEX(tbl_Vulnerability[[0 ft]:[10 ft]], MATCH(Simulation!C768, tbl_Vulnerability[Construction_Class], 0), MATCH(Simulation!F768,{0,1,2,3,5,8,10}, 1)))</f>
        <v>0</v>
      </c>
      <c r="H768" s="4">
        <f t="shared" si="47"/>
        <v>0</v>
      </c>
      <c r="I768" s="33">
        <f t="shared" si="48"/>
        <v>26911.550000000003</v>
      </c>
      <c r="J768" s="33">
        <f t="shared" si="49"/>
        <v>0</v>
      </c>
    </row>
    <row r="769" spans="1:10">
      <c r="A769" s="3">
        <v>10000760</v>
      </c>
      <c r="B769" s="3" t="str">
        <v>Kolkata</v>
      </c>
      <c r="C769" s="3" t="str">
        <v>Unreinforced Masonry</v>
      </c>
      <c r="D769" s="3">
        <v>2</v>
      </c>
      <c r="E769" s="4">
        <v>12746441</v>
      </c>
      <c r="F769" s="3">
        <f t="shared" si="46"/>
        <v>0</v>
      </c>
      <c r="G769" s="30">
        <f>IF(F769=0, 0, INDEX(tbl_Vulnerability[[0 ft]:[10 ft]], MATCH(Simulation!C769, tbl_Vulnerability[Construction_Class], 0), MATCH(Simulation!F769,{0,1,2,3,5,8,10}, 1)))</f>
        <v>0</v>
      </c>
      <c r="H769" s="4">
        <f t="shared" si="47"/>
        <v>0</v>
      </c>
      <c r="I769" s="33">
        <f t="shared" si="48"/>
        <v>637322.05000000005</v>
      </c>
      <c r="J769" s="33">
        <f t="shared" si="49"/>
        <v>0</v>
      </c>
    </row>
    <row r="770" spans="1:10">
      <c r="A770" s="3">
        <v>10000761</v>
      </c>
      <c r="B770" s="3" t="str">
        <v>Hooghly</v>
      </c>
      <c r="C770" s="3" t="str">
        <v>Reinforced Concrete</v>
      </c>
      <c r="D770" s="3">
        <v>5</v>
      </c>
      <c r="E770" s="4">
        <v>46890328</v>
      </c>
      <c r="F770" s="3">
        <f t="shared" si="46"/>
        <v>0</v>
      </c>
      <c r="G770" s="30">
        <f>IF(F770=0, 0, INDEX(tbl_Vulnerability[[0 ft]:[10 ft]], MATCH(Simulation!C770, tbl_Vulnerability[Construction_Class], 0), MATCH(Simulation!F770,{0,1,2,3,5,8,10}, 1)))</f>
        <v>0</v>
      </c>
      <c r="H770" s="4">
        <f t="shared" si="47"/>
        <v>0</v>
      </c>
      <c r="I770" s="33">
        <f t="shared" si="48"/>
        <v>2344516.4</v>
      </c>
      <c r="J770" s="33">
        <f t="shared" si="49"/>
        <v>0</v>
      </c>
    </row>
    <row r="771" spans="1:10">
      <c r="A771" s="3">
        <v>10000762</v>
      </c>
      <c r="B771" s="3" t="str">
        <v>Paschim Medinipur</v>
      </c>
      <c r="C771" s="3" t="str">
        <v>Reinforced Concrete</v>
      </c>
      <c r="D771" s="3">
        <v>5</v>
      </c>
      <c r="E771" s="4">
        <v>19703599</v>
      </c>
      <c r="F771" s="3">
        <f t="shared" si="46"/>
        <v>0</v>
      </c>
      <c r="G771" s="30">
        <f>IF(F771=0, 0, INDEX(tbl_Vulnerability[[0 ft]:[10 ft]], MATCH(Simulation!C771, tbl_Vulnerability[Construction_Class], 0), MATCH(Simulation!F771,{0,1,2,3,5,8,10}, 1)))</f>
        <v>0</v>
      </c>
      <c r="H771" s="4">
        <f t="shared" si="47"/>
        <v>0</v>
      </c>
      <c r="I771" s="33">
        <f t="shared" si="48"/>
        <v>985179.95000000007</v>
      </c>
      <c r="J771" s="33">
        <f t="shared" si="49"/>
        <v>0</v>
      </c>
    </row>
    <row r="772" spans="1:10">
      <c r="A772" s="3">
        <v>10000763</v>
      </c>
      <c r="B772" s="3" t="str">
        <v>Malda</v>
      </c>
      <c r="C772" s="3" t="str">
        <v>Unreinforced Masonry</v>
      </c>
      <c r="D772" s="3">
        <v>1</v>
      </c>
      <c r="E772" s="4">
        <v>19847539</v>
      </c>
      <c r="F772" s="3">
        <f t="shared" si="46"/>
        <v>9</v>
      </c>
      <c r="G772" s="30">
        <f>IF(F772=0, 0, INDEX(tbl_Vulnerability[[0 ft]:[10 ft]], MATCH(Simulation!C772, tbl_Vulnerability[Construction_Class], 0), MATCH(Simulation!F772,{0,1,2,3,5,8,10}, 1)))</f>
        <v>0.9</v>
      </c>
      <c r="H772" s="4">
        <f t="shared" si="47"/>
        <v>17862785.100000001</v>
      </c>
      <c r="I772" s="33">
        <f t="shared" si="48"/>
        <v>992376.95000000007</v>
      </c>
      <c r="J772" s="33">
        <f t="shared" si="49"/>
        <v>16870408.150000002</v>
      </c>
    </row>
    <row r="773" spans="1:10">
      <c r="A773" s="3">
        <v>10000764</v>
      </c>
      <c r="B773" s="3" t="str">
        <v>Paschim Medinipur</v>
      </c>
      <c r="C773" s="3" t="str">
        <v>Reinforced Concrete</v>
      </c>
      <c r="D773" s="3">
        <v>4</v>
      </c>
      <c r="E773" s="4">
        <v>67463137</v>
      </c>
      <c r="F773" s="3">
        <f t="shared" si="46"/>
        <v>0</v>
      </c>
      <c r="G773" s="30">
        <f>IF(F773=0, 0, INDEX(tbl_Vulnerability[[0 ft]:[10 ft]], MATCH(Simulation!C773, tbl_Vulnerability[Construction_Class], 0), MATCH(Simulation!F773,{0,1,2,3,5,8,10}, 1)))</f>
        <v>0</v>
      </c>
      <c r="H773" s="4">
        <f t="shared" si="47"/>
        <v>0</v>
      </c>
      <c r="I773" s="33">
        <f t="shared" si="48"/>
        <v>3373156.85</v>
      </c>
      <c r="J773" s="33">
        <f t="shared" si="49"/>
        <v>0</v>
      </c>
    </row>
    <row r="774" spans="1:10">
      <c r="A774" s="3">
        <v>10000765</v>
      </c>
      <c r="B774" s="3" t="str">
        <v>Paschim Medinipur</v>
      </c>
      <c r="C774" s="3" t="str">
        <v>Reinforced Concrete</v>
      </c>
      <c r="D774" s="3">
        <v>4</v>
      </c>
      <c r="E774" s="4">
        <v>43845211</v>
      </c>
      <c r="F774" s="3">
        <f t="shared" si="46"/>
        <v>0</v>
      </c>
      <c r="G774" s="30">
        <f>IF(F774=0, 0, INDEX(tbl_Vulnerability[[0 ft]:[10 ft]], MATCH(Simulation!C774, tbl_Vulnerability[Construction_Class], 0), MATCH(Simulation!F774,{0,1,2,3,5,8,10}, 1)))</f>
        <v>0</v>
      </c>
      <c r="H774" s="4">
        <f t="shared" si="47"/>
        <v>0</v>
      </c>
      <c r="I774" s="33">
        <f t="shared" si="48"/>
        <v>2192260.5500000003</v>
      </c>
      <c r="J774" s="33">
        <f t="shared" si="49"/>
        <v>0</v>
      </c>
    </row>
    <row r="775" spans="1:10">
      <c r="A775" s="3">
        <v>10000766</v>
      </c>
      <c r="B775" s="3" t="str">
        <v>Paschim Medinipur</v>
      </c>
      <c r="C775" s="3" t="str">
        <v>Unreinforced Masonry</v>
      </c>
      <c r="D775" s="3">
        <v>0</v>
      </c>
      <c r="E775" s="4">
        <v>12830071</v>
      </c>
      <c r="F775" s="3">
        <f t="shared" si="46"/>
        <v>0</v>
      </c>
      <c r="G775" s="30">
        <f>IF(F775=0, 0, INDEX(tbl_Vulnerability[[0 ft]:[10 ft]], MATCH(Simulation!C775, tbl_Vulnerability[Construction_Class], 0), MATCH(Simulation!F775,{0,1,2,3,5,8,10}, 1)))</f>
        <v>0</v>
      </c>
      <c r="H775" s="4">
        <f t="shared" si="47"/>
        <v>0</v>
      </c>
      <c r="I775" s="33">
        <f t="shared" si="48"/>
        <v>641503.55000000005</v>
      </c>
      <c r="J775" s="33">
        <f t="shared" si="49"/>
        <v>0</v>
      </c>
    </row>
    <row r="776" spans="1:10">
      <c r="A776" s="3">
        <v>10000767</v>
      </c>
      <c r="B776" s="3" t="str">
        <v>Jalpaiguri</v>
      </c>
      <c r="C776" s="3" t="str">
        <v>Adobe / Light Timber</v>
      </c>
      <c r="D776" s="3">
        <v>1</v>
      </c>
      <c r="E776" s="4">
        <v>546959</v>
      </c>
      <c r="F776" s="3">
        <f t="shared" si="46"/>
        <v>0</v>
      </c>
      <c r="G776" s="30">
        <f>IF(F776=0, 0, INDEX(tbl_Vulnerability[[0 ft]:[10 ft]], MATCH(Simulation!C776, tbl_Vulnerability[Construction_Class], 0), MATCH(Simulation!F776,{0,1,2,3,5,8,10}, 1)))</f>
        <v>0</v>
      </c>
      <c r="H776" s="4">
        <f t="shared" si="47"/>
        <v>0</v>
      </c>
      <c r="I776" s="33">
        <f t="shared" si="48"/>
        <v>27347.95</v>
      </c>
      <c r="J776" s="33">
        <f t="shared" si="49"/>
        <v>0</v>
      </c>
    </row>
    <row r="777" spans="1:10">
      <c r="A777" s="3">
        <v>10000768</v>
      </c>
      <c r="B777" s="3" t="str">
        <v>Paschim Medinipur</v>
      </c>
      <c r="C777" s="3" t="str">
        <v>Unreinforced Masonry</v>
      </c>
      <c r="D777" s="3">
        <v>0</v>
      </c>
      <c r="E777" s="4">
        <v>13592691</v>
      </c>
      <c r="F777" s="3">
        <f t="shared" si="46"/>
        <v>0</v>
      </c>
      <c r="G777" s="30">
        <f>IF(F777=0, 0, INDEX(tbl_Vulnerability[[0 ft]:[10 ft]], MATCH(Simulation!C777, tbl_Vulnerability[Construction_Class], 0), MATCH(Simulation!F777,{0,1,2,3,5,8,10}, 1)))</f>
        <v>0</v>
      </c>
      <c r="H777" s="4">
        <f t="shared" si="47"/>
        <v>0</v>
      </c>
      <c r="I777" s="33">
        <f t="shared" si="48"/>
        <v>679634.55</v>
      </c>
      <c r="J777" s="33">
        <f t="shared" si="49"/>
        <v>0</v>
      </c>
    </row>
    <row r="778" spans="1:10">
      <c r="A778" s="3">
        <v>10000769</v>
      </c>
      <c r="B778" s="3" t="str">
        <v>South 24 Parganas</v>
      </c>
      <c r="C778" s="3" t="str">
        <v>Adobe / Light Timber</v>
      </c>
      <c r="D778" s="3">
        <v>2</v>
      </c>
      <c r="E778" s="4">
        <v>458742</v>
      </c>
      <c r="F778" s="3">
        <f t="shared" si="46"/>
        <v>0</v>
      </c>
      <c r="G778" s="30">
        <f>IF(F778=0, 0, INDEX(tbl_Vulnerability[[0 ft]:[10 ft]], MATCH(Simulation!C778, tbl_Vulnerability[Construction_Class], 0), MATCH(Simulation!F778,{0,1,2,3,5,8,10}, 1)))</f>
        <v>0</v>
      </c>
      <c r="H778" s="4">
        <f t="shared" si="47"/>
        <v>0</v>
      </c>
      <c r="I778" s="33">
        <f t="shared" si="48"/>
        <v>22937.100000000002</v>
      </c>
      <c r="J778" s="33">
        <f t="shared" si="49"/>
        <v>0</v>
      </c>
    </row>
    <row r="779" spans="1:10">
      <c r="A779" s="3">
        <v>10000770</v>
      </c>
      <c r="B779" s="3" t="str">
        <v>Malda</v>
      </c>
      <c r="C779" s="3" t="str">
        <v>Reinforced Concrete</v>
      </c>
      <c r="D779" s="3">
        <v>3</v>
      </c>
      <c r="E779" s="4">
        <v>22955743</v>
      </c>
      <c r="F779" s="3">
        <f t="shared" ref="F779:F842" si="50">IF(B779=$B$2, MAX(0, $B$3 - D779), 0)</f>
        <v>7</v>
      </c>
      <c r="G779" s="30">
        <f>IF(F779=0, 0, INDEX(tbl_Vulnerability[[0 ft]:[10 ft]], MATCH(Simulation!C779, tbl_Vulnerability[Construction_Class], 0), MATCH(Simulation!F779,{0,1,2,3,5,8,10}, 1)))</f>
        <v>0.2</v>
      </c>
      <c r="H779" s="4">
        <f t="shared" ref="H779:H842" si="51">E779*G779</f>
        <v>4591148.6000000006</v>
      </c>
      <c r="I779" s="33">
        <f t="shared" ref="I779:I842" si="52">E779*$B$4</f>
        <v>1147787.1500000001</v>
      </c>
      <c r="J779" s="33">
        <f t="shared" ref="J779:J842" si="53">MAX(0, H779 - I779)</f>
        <v>3443361.45</v>
      </c>
    </row>
    <row r="780" spans="1:10">
      <c r="A780" s="3">
        <v>10000771</v>
      </c>
      <c r="B780" s="3" t="str">
        <v>Paschim Medinipur</v>
      </c>
      <c r="C780" s="3" t="str">
        <v>Unreinforced Masonry</v>
      </c>
      <c r="D780" s="3">
        <v>1</v>
      </c>
      <c r="E780" s="4">
        <v>4853645</v>
      </c>
      <c r="F780" s="3">
        <f t="shared" si="50"/>
        <v>0</v>
      </c>
      <c r="G780" s="30">
        <f>IF(F780=0, 0, INDEX(tbl_Vulnerability[[0 ft]:[10 ft]], MATCH(Simulation!C780, tbl_Vulnerability[Construction_Class], 0), MATCH(Simulation!F780,{0,1,2,3,5,8,10}, 1)))</f>
        <v>0</v>
      </c>
      <c r="H780" s="4">
        <f t="shared" si="51"/>
        <v>0</v>
      </c>
      <c r="I780" s="33">
        <f t="shared" si="52"/>
        <v>242682.25</v>
      </c>
      <c r="J780" s="33">
        <f t="shared" si="53"/>
        <v>0</v>
      </c>
    </row>
    <row r="781" spans="1:10">
      <c r="A781" s="3">
        <v>10000772</v>
      </c>
      <c r="B781" s="3" t="str">
        <v>Hooghly</v>
      </c>
      <c r="C781" s="3" t="str">
        <v>Unreinforced Masonry</v>
      </c>
      <c r="D781" s="3">
        <v>0</v>
      </c>
      <c r="E781" s="4">
        <v>4302273</v>
      </c>
      <c r="F781" s="3">
        <f t="shared" si="50"/>
        <v>0</v>
      </c>
      <c r="G781" s="30">
        <f>IF(F781=0, 0, INDEX(tbl_Vulnerability[[0 ft]:[10 ft]], MATCH(Simulation!C781, tbl_Vulnerability[Construction_Class], 0), MATCH(Simulation!F781,{0,1,2,3,5,8,10}, 1)))</f>
        <v>0</v>
      </c>
      <c r="H781" s="4">
        <f t="shared" si="51"/>
        <v>0</v>
      </c>
      <c r="I781" s="33">
        <f t="shared" si="52"/>
        <v>215113.65000000002</v>
      </c>
      <c r="J781" s="33">
        <f t="shared" si="53"/>
        <v>0</v>
      </c>
    </row>
    <row r="782" spans="1:10">
      <c r="A782" s="3">
        <v>10000773</v>
      </c>
      <c r="B782" s="3" t="str">
        <v>Malda</v>
      </c>
      <c r="C782" s="3" t="str">
        <v>Unreinforced Masonry</v>
      </c>
      <c r="D782" s="3">
        <v>2</v>
      </c>
      <c r="E782" s="4">
        <v>4928177</v>
      </c>
      <c r="F782" s="3">
        <f t="shared" si="50"/>
        <v>8</v>
      </c>
      <c r="G782" s="30">
        <f>IF(F782=0, 0, INDEX(tbl_Vulnerability[[0 ft]:[10 ft]], MATCH(Simulation!C782, tbl_Vulnerability[Construction_Class], 0), MATCH(Simulation!F782,{0,1,2,3,5,8,10}, 1)))</f>
        <v>0.9</v>
      </c>
      <c r="H782" s="4">
        <f t="shared" si="51"/>
        <v>4435359.3</v>
      </c>
      <c r="I782" s="33">
        <f t="shared" si="52"/>
        <v>246408.85</v>
      </c>
      <c r="J782" s="33">
        <f t="shared" si="53"/>
        <v>4188950.4499999997</v>
      </c>
    </row>
    <row r="783" spans="1:10">
      <c r="A783" s="3">
        <v>10000774</v>
      </c>
      <c r="B783" s="3" t="str">
        <v>South 24 Parganas</v>
      </c>
      <c r="C783" s="3" t="str">
        <v>Reinforced Concrete</v>
      </c>
      <c r="D783" s="3">
        <v>4</v>
      </c>
      <c r="E783" s="4">
        <v>3738383</v>
      </c>
      <c r="F783" s="3">
        <f t="shared" si="50"/>
        <v>0</v>
      </c>
      <c r="G783" s="30">
        <f>IF(F783=0, 0, INDEX(tbl_Vulnerability[[0 ft]:[10 ft]], MATCH(Simulation!C783, tbl_Vulnerability[Construction_Class], 0), MATCH(Simulation!F783,{0,1,2,3,5,8,10}, 1)))</f>
        <v>0</v>
      </c>
      <c r="H783" s="4">
        <f t="shared" si="51"/>
        <v>0</v>
      </c>
      <c r="I783" s="33">
        <f t="shared" si="52"/>
        <v>186919.15000000002</v>
      </c>
      <c r="J783" s="33">
        <f t="shared" si="53"/>
        <v>0</v>
      </c>
    </row>
    <row r="784" spans="1:10">
      <c r="A784" s="3">
        <v>10000775</v>
      </c>
      <c r="B784" s="3" t="str">
        <v>South 24 Parganas</v>
      </c>
      <c r="C784" s="3" t="str">
        <v>Reinforced Concrete</v>
      </c>
      <c r="D784" s="3">
        <v>4</v>
      </c>
      <c r="E784" s="4">
        <v>38059443</v>
      </c>
      <c r="F784" s="3">
        <f t="shared" si="50"/>
        <v>0</v>
      </c>
      <c r="G784" s="30">
        <f>IF(F784=0, 0, INDEX(tbl_Vulnerability[[0 ft]:[10 ft]], MATCH(Simulation!C784, tbl_Vulnerability[Construction_Class], 0), MATCH(Simulation!F784,{0,1,2,3,5,8,10}, 1)))</f>
        <v>0</v>
      </c>
      <c r="H784" s="4">
        <f t="shared" si="51"/>
        <v>0</v>
      </c>
      <c r="I784" s="33">
        <f t="shared" si="52"/>
        <v>1902972.1500000001</v>
      </c>
      <c r="J784" s="33">
        <f t="shared" si="53"/>
        <v>0</v>
      </c>
    </row>
    <row r="785" spans="1:10">
      <c r="A785" s="3">
        <v>10000776</v>
      </c>
      <c r="B785" s="3" t="str">
        <v>Paschim Medinipur</v>
      </c>
      <c r="C785" s="3" t="str">
        <v>Unreinforced Masonry</v>
      </c>
      <c r="D785" s="3">
        <v>2</v>
      </c>
      <c r="E785" s="4">
        <v>2442244</v>
      </c>
      <c r="F785" s="3">
        <f t="shared" si="50"/>
        <v>0</v>
      </c>
      <c r="G785" s="30">
        <f>IF(F785=0, 0, INDEX(tbl_Vulnerability[[0 ft]:[10 ft]], MATCH(Simulation!C785, tbl_Vulnerability[Construction_Class], 0), MATCH(Simulation!F785,{0,1,2,3,5,8,10}, 1)))</f>
        <v>0</v>
      </c>
      <c r="H785" s="4">
        <f t="shared" si="51"/>
        <v>0</v>
      </c>
      <c r="I785" s="33">
        <f t="shared" si="52"/>
        <v>122112.20000000001</v>
      </c>
      <c r="J785" s="33">
        <f t="shared" si="53"/>
        <v>0</v>
      </c>
    </row>
    <row r="786" spans="1:10">
      <c r="A786" s="3">
        <v>10000777</v>
      </c>
      <c r="B786" s="3" t="str">
        <v>Malda</v>
      </c>
      <c r="C786" s="3" t="str">
        <v>Reinforced Concrete</v>
      </c>
      <c r="D786" s="3">
        <v>3</v>
      </c>
      <c r="E786" s="4">
        <v>22102195</v>
      </c>
      <c r="F786" s="3">
        <f t="shared" si="50"/>
        <v>7</v>
      </c>
      <c r="G786" s="30">
        <f>IF(F786=0, 0, INDEX(tbl_Vulnerability[[0 ft]:[10 ft]], MATCH(Simulation!C786, tbl_Vulnerability[Construction_Class], 0), MATCH(Simulation!F786,{0,1,2,3,5,8,10}, 1)))</f>
        <v>0.2</v>
      </c>
      <c r="H786" s="4">
        <f t="shared" si="51"/>
        <v>4420439</v>
      </c>
      <c r="I786" s="33">
        <f t="shared" si="52"/>
        <v>1105109.75</v>
      </c>
      <c r="J786" s="33">
        <f t="shared" si="53"/>
        <v>3315329.25</v>
      </c>
    </row>
    <row r="787" spans="1:10">
      <c r="A787" s="3">
        <v>10000778</v>
      </c>
      <c r="B787" s="3" t="str">
        <v>Paschim Medinipur</v>
      </c>
      <c r="C787" s="3" t="str">
        <v>Reinforced Concrete</v>
      </c>
      <c r="D787" s="3">
        <v>5</v>
      </c>
      <c r="E787" s="4">
        <v>13838918</v>
      </c>
      <c r="F787" s="3">
        <f t="shared" si="50"/>
        <v>0</v>
      </c>
      <c r="G787" s="30">
        <f>IF(F787=0, 0, INDEX(tbl_Vulnerability[[0 ft]:[10 ft]], MATCH(Simulation!C787, tbl_Vulnerability[Construction_Class], 0), MATCH(Simulation!F787,{0,1,2,3,5,8,10}, 1)))</f>
        <v>0</v>
      </c>
      <c r="H787" s="4">
        <f t="shared" si="51"/>
        <v>0</v>
      </c>
      <c r="I787" s="33">
        <f t="shared" si="52"/>
        <v>691945.9</v>
      </c>
      <c r="J787" s="33">
        <f t="shared" si="53"/>
        <v>0</v>
      </c>
    </row>
    <row r="788" spans="1:10">
      <c r="A788" s="3">
        <v>10000779</v>
      </c>
      <c r="B788" s="3" t="str">
        <v>Kolkata</v>
      </c>
      <c r="C788" s="3" t="str">
        <v>Reinforced Concrete</v>
      </c>
      <c r="D788" s="3">
        <v>4</v>
      </c>
      <c r="E788" s="4">
        <v>2377457</v>
      </c>
      <c r="F788" s="3">
        <f t="shared" si="50"/>
        <v>0</v>
      </c>
      <c r="G788" s="30">
        <f>IF(F788=0, 0, INDEX(tbl_Vulnerability[[0 ft]:[10 ft]], MATCH(Simulation!C788, tbl_Vulnerability[Construction_Class], 0), MATCH(Simulation!F788,{0,1,2,3,5,8,10}, 1)))</f>
        <v>0</v>
      </c>
      <c r="H788" s="4">
        <f t="shared" si="51"/>
        <v>0</v>
      </c>
      <c r="I788" s="33">
        <f t="shared" si="52"/>
        <v>118872.85</v>
      </c>
      <c r="J788" s="33">
        <f t="shared" si="53"/>
        <v>0</v>
      </c>
    </row>
    <row r="789" spans="1:10">
      <c r="A789" s="3">
        <v>10000780</v>
      </c>
      <c r="B789" s="3" t="str">
        <v>Kolkata</v>
      </c>
      <c r="C789" s="3" t="str">
        <v>Unreinforced Masonry</v>
      </c>
      <c r="D789" s="3">
        <v>2</v>
      </c>
      <c r="E789" s="4">
        <v>3918436</v>
      </c>
      <c r="F789" s="3">
        <f t="shared" si="50"/>
        <v>0</v>
      </c>
      <c r="G789" s="30">
        <f>IF(F789=0, 0, INDEX(tbl_Vulnerability[[0 ft]:[10 ft]], MATCH(Simulation!C789, tbl_Vulnerability[Construction_Class], 0), MATCH(Simulation!F789,{0,1,2,3,5,8,10}, 1)))</f>
        <v>0</v>
      </c>
      <c r="H789" s="4">
        <f t="shared" si="51"/>
        <v>0</v>
      </c>
      <c r="I789" s="33">
        <f t="shared" si="52"/>
        <v>195921.80000000002</v>
      </c>
      <c r="J789" s="33">
        <f t="shared" si="53"/>
        <v>0</v>
      </c>
    </row>
    <row r="790" spans="1:10">
      <c r="A790" s="3">
        <v>10000781</v>
      </c>
      <c r="B790" s="3" t="str">
        <v>South 24 Parganas</v>
      </c>
      <c r="C790" s="3" t="str">
        <v>Unreinforced Masonry</v>
      </c>
      <c r="D790" s="3">
        <v>1</v>
      </c>
      <c r="E790" s="4">
        <v>17256474</v>
      </c>
      <c r="F790" s="3">
        <f t="shared" si="50"/>
        <v>0</v>
      </c>
      <c r="G790" s="30">
        <f>IF(F790=0, 0, INDEX(tbl_Vulnerability[[0 ft]:[10 ft]], MATCH(Simulation!C790, tbl_Vulnerability[Construction_Class], 0), MATCH(Simulation!F790,{0,1,2,3,5,8,10}, 1)))</f>
        <v>0</v>
      </c>
      <c r="H790" s="4">
        <f t="shared" si="51"/>
        <v>0</v>
      </c>
      <c r="I790" s="33">
        <f t="shared" si="52"/>
        <v>862823.70000000007</v>
      </c>
      <c r="J790" s="33">
        <f t="shared" si="53"/>
        <v>0</v>
      </c>
    </row>
    <row r="791" spans="1:10">
      <c r="A791" s="3">
        <v>10000782</v>
      </c>
      <c r="B791" s="3" t="str">
        <v>Paschim Medinipur</v>
      </c>
      <c r="C791" s="3" t="str">
        <v>Unreinforced Masonry</v>
      </c>
      <c r="D791" s="3">
        <v>1</v>
      </c>
      <c r="E791" s="4">
        <v>13151951</v>
      </c>
      <c r="F791" s="3">
        <f t="shared" si="50"/>
        <v>0</v>
      </c>
      <c r="G791" s="30">
        <f>IF(F791=0, 0, INDEX(tbl_Vulnerability[[0 ft]:[10 ft]], MATCH(Simulation!C791, tbl_Vulnerability[Construction_Class], 0), MATCH(Simulation!F791,{0,1,2,3,5,8,10}, 1)))</f>
        <v>0</v>
      </c>
      <c r="H791" s="4">
        <f t="shared" si="51"/>
        <v>0</v>
      </c>
      <c r="I791" s="33">
        <f t="shared" si="52"/>
        <v>657597.55000000005</v>
      </c>
      <c r="J791" s="33">
        <f t="shared" si="53"/>
        <v>0</v>
      </c>
    </row>
    <row r="792" spans="1:10">
      <c r="A792" s="3">
        <v>10000783</v>
      </c>
      <c r="B792" s="3" t="str">
        <v>South 24 Parganas</v>
      </c>
      <c r="C792" s="3" t="str">
        <v>Reinforced Concrete</v>
      </c>
      <c r="D792" s="3">
        <v>5</v>
      </c>
      <c r="E792" s="4">
        <v>54724497</v>
      </c>
      <c r="F792" s="3">
        <f t="shared" si="50"/>
        <v>0</v>
      </c>
      <c r="G792" s="30">
        <f>IF(F792=0, 0, INDEX(tbl_Vulnerability[[0 ft]:[10 ft]], MATCH(Simulation!C792, tbl_Vulnerability[Construction_Class], 0), MATCH(Simulation!F792,{0,1,2,3,5,8,10}, 1)))</f>
        <v>0</v>
      </c>
      <c r="H792" s="4">
        <f t="shared" si="51"/>
        <v>0</v>
      </c>
      <c r="I792" s="33">
        <f t="shared" si="52"/>
        <v>2736224.85</v>
      </c>
      <c r="J792" s="33">
        <f t="shared" si="53"/>
        <v>0</v>
      </c>
    </row>
    <row r="793" spans="1:10">
      <c r="A793" s="3">
        <v>10000784</v>
      </c>
      <c r="B793" s="3" t="str">
        <v>South 24 Parganas</v>
      </c>
      <c r="C793" s="3" t="str">
        <v>Reinforced Concrete</v>
      </c>
      <c r="D793" s="3">
        <v>5</v>
      </c>
      <c r="E793" s="4">
        <v>54825782</v>
      </c>
      <c r="F793" s="3">
        <f t="shared" si="50"/>
        <v>0</v>
      </c>
      <c r="G793" s="30">
        <f>IF(F793=0, 0, INDEX(tbl_Vulnerability[[0 ft]:[10 ft]], MATCH(Simulation!C793, tbl_Vulnerability[Construction_Class], 0), MATCH(Simulation!F793,{0,1,2,3,5,8,10}, 1)))</f>
        <v>0</v>
      </c>
      <c r="H793" s="4">
        <f t="shared" si="51"/>
        <v>0</v>
      </c>
      <c r="I793" s="33">
        <f t="shared" si="52"/>
        <v>2741289.1</v>
      </c>
      <c r="J793" s="33">
        <f t="shared" si="53"/>
        <v>0</v>
      </c>
    </row>
    <row r="794" spans="1:10">
      <c r="A794" s="3">
        <v>10000785</v>
      </c>
      <c r="B794" s="3" t="str">
        <v>Hooghly</v>
      </c>
      <c r="C794" s="3" t="str">
        <v>Adobe / Light Timber</v>
      </c>
      <c r="D794" s="3">
        <v>2</v>
      </c>
      <c r="E794" s="4">
        <v>561468</v>
      </c>
      <c r="F794" s="3">
        <f t="shared" si="50"/>
        <v>0</v>
      </c>
      <c r="G794" s="30">
        <f>IF(F794=0, 0, INDEX(tbl_Vulnerability[[0 ft]:[10 ft]], MATCH(Simulation!C794, tbl_Vulnerability[Construction_Class], 0), MATCH(Simulation!F794,{0,1,2,3,5,8,10}, 1)))</f>
        <v>0</v>
      </c>
      <c r="H794" s="4">
        <f t="shared" si="51"/>
        <v>0</v>
      </c>
      <c r="I794" s="33">
        <f t="shared" si="52"/>
        <v>28073.4</v>
      </c>
      <c r="J794" s="33">
        <f t="shared" si="53"/>
        <v>0</v>
      </c>
    </row>
    <row r="795" spans="1:10">
      <c r="A795" s="3">
        <v>10000786</v>
      </c>
      <c r="B795" s="3" t="str">
        <v>Kolkata</v>
      </c>
      <c r="C795" s="3" t="str">
        <v>Reinforced Concrete</v>
      </c>
      <c r="D795" s="3">
        <v>5</v>
      </c>
      <c r="E795" s="4">
        <v>48288537</v>
      </c>
      <c r="F795" s="3">
        <f t="shared" si="50"/>
        <v>0</v>
      </c>
      <c r="G795" s="30">
        <f>IF(F795=0, 0, INDEX(tbl_Vulnerability[[0 ft]:[10 ft]], MATCH(Simulation!C795, tbl_Vulnerability[Construction_Class], 0), MATCH(Simulation!F795,{0,1,2,3,5,8,10}, 1)))</f>
        <v>0</v>
      </c>
      <c r="H795" s="4">
        <f t="shared" si="51"/>
        <v>0</v>
      </c>
      <c r="I795" s="33">
        <f t="shared" si="52"/>
        <v>2414426.85</v>
      </c>
      <c r="J795" s="33">
        <f t="shared" si="53"/>
        <v>0</v>
      </c>
    </row>
    <row r="796" spans="1:10">
      <c r="A796" s="3">
        <v>10000787</v>
      </c>
      <c r="B796" s="3" t="str">
        <v>South 24 Parganas</v>
      </c>
      <c r="C796" s="3" t="str">
        <v>Reinforced Concrete</v>
      </c>
      <c r="D796" s="3">
        <v>4</v>
      </c>
      <c r="E796" s="4">
        <v>3210712</v>
      </c>
      <c r="F796" s="3">
        <f t="shared" si="50"/>
        <v>0</v>
      </c>
      <c r="G796" s="30">
        <f>IF(F796=0, 0, INDEX(tbl_Vulnerability[[0 ft]:[10 ft]], MATCH(Simulation!C796, tbl_Vulnerability[Construction_Class], 0), MATCH(Simulation!F796,{0,1,2,3,5,8,10}, 1)))</f>
        <v>0</v>
      </c>
      <c r="H796" s="4">
        <f t="shared" si="51"/>
        <v>0</v>
      </c>
      <c r="I796" s="33">
        <f t="shared" si="52"/>
        <v>160535.6</v>
      </c>
      <c r="J796" s="33">
        <f t="shared" si="53"/>
        <v>0</v>
      </c>
    </row>
    <row r="797" spans="1:10">
      <c r="A797" s="3">
        <v>10000788</v>
      </c>
      <c r="B797" s="3" t="str">
        <v>Paschim Medinipur</v>
      </c>
      <c r="C797" s="3" t="str">
        <v>Reinforced Concrete</v>
      </c>
      <c r="D797" s="3">
        <v>3</v>
      </c>
      <c r="E797" s="4">
        <v>51547707</v>
      </c>
      <c r="F797" s="3">
        <f t="shared" si="50"/>
        <v>0</v>
      </c>
      <c r="G797" s="30">
        <f>IF(F797=0, 0, INDEX(tbl_Vulnerability[[0 ft]:[10 ft]], MATCH(Simulation!C797, tbl_Vulnerability[Construction_Class], 0), MATCH(Simulation!F797,{0,1,2,3,5,8,10}, 1)))</f>
        <v>0</v>
      </c>
      <c r="H797" s="4">
        <f t="shared" si="51"/>
        <v>0</v>
      </c>
      <c r="I797" s="33">
        <f t="shared" si="52"/>
        <v>2577385.35</v>
      </c>
      <c r="J797" s="33">
        <f t="shared" si="53"/>
        <v>0</v>
      </c>
    </row>
    <row r="798" spans="1:10">
      <c r="A798" s="3">
        <v>10000789</v>
      </c>
      <c r="B798" s="3" t="str">
        <v>Kolkata</v>
      </c>
      <c r="C798" s="3" t="str">
        <v>Unreinforced Masonry</v>
      </c>
      <c r="D798" s="3">
        <v>2</v>
      </c>
      <c r="E798" s="4">
        <v>6006377</v>
      </c>
      <c r="F798" s="3">
        <f t="shared" si="50"/>
        <v>0</v>
      </c>
      <c r="G798" s="30">
        <f>IF(F798=0, 0, INDEX(tbl_Vulnerability[[0 ft]:[10 ft]], MATCH(Simulation!C798, tbl_Vulnerability[Construction_Class], 0), MATCH(Simulation!F798,{0,1,2,3,5,8,10}, 1)))</f>
        <v>0</v>
      </c>
      <c r="H798" s="4">
        <f t="shared" si="51"/>
        <v>0</v>
      </c>
      <c r="I798" s="33">
        <f t="shared" si="52"/>
        <v>300318.85000000003</v>
      </c>
      <c r="J798" s="33">
        <f t="shared" si="53"/>
        <v>0</v>
      </c>
    </row>
    <row r="799" spans="1:10">
      <c r="A799" s="3">
        <v>10000790</v>
      </c>
      <c r="B799" s="3" t="str">
        <v>Kolkata</v>
      </c>
      <c r="C799" s="3" t="str">
        <v>Reinforced Concrete</v>
      </c>
      <c r="D799" s="3">
        <v>4</v>
      </c>
      <c r="E799" s="4">
        <v>44620450</v>
      </c>
      <c r="F799" s="3">
        <f t="shared" si="50"/>
        <v>0</v>
      </c>
      <c r="G799" s="30">
        <f>IF(F799=0, 0, INDEX(tbl_Vulnerability[[0 ft]:[10 ft]], MATCH(Simulation!C799, tbl_Vulnerability[Construction_Class], 0), MATCH(Simulation!F799,{0,1,2,3,5,8,10}, 1)))</f>
        <v>0</v>
      </c>
      <c r="H799" s="4">
        <f t="shared" si="51"/>
        <v>0</v>
      </c>
      <c r="I799" s="33">
        <f t="shared" si="52"/>
        <v>2231022.5</v>
      </c>
      <c r="J799" s="33">
        <f t="shared" si="53"/>
        <v>0</v>
      </c>
    </row>
    <row r="800" spans="1:10">
      <c r="A800" s="3">
        <v>10000791</v>
      </c>
      <c r="B800" s="3" t="str">
        <v>Paschim Medinipur</v>
      </c>
      <c r="C800" s="3" t="str">
        <v>Reinforced Concrete</v>
      </c>
      <c r="D800" s="3">
        <v>4</v>
      </c>
      <c r="E800" s="4">
        <v>63880972</v>
      </c>
      <c r="F800" s="3">
        <f t="shared" si="50"/>
        <v>0</v>
      </c>
      <c r="G800" s="30">
        <f>IF(F800=0, 0, INDEX(tbl_Vulnerability[[0 ft]:[10 ft]], MATCH(Simulation!C800, tbl_Vulnerability[Construction_Class], 0), MATCH(Simulation!F800,{0,1,2,3,5,8,10}, 1)))</f>
        <v>0</v>
      </c>
      <c r="H800" s="4">
        <f t="shared" si="51"/>
        <v>0</v>
      </c>
      <c r="I800" s="33">
        <f t="shared" si="52"/>
        <v>3194048.6</v>
      </c>
      <c r="J800" s="33">
        <f t="shared" si="53"/>
        <v>0</v>
      </c>
    </row>
    <row r="801" spans="1:10">
      <c r="A801" s="3">
        <v>10000792</v>
      </c>
      <c r="B801" s="3" t="str">
        <v>Paschim Medinipur</v>
      </c>
      <c r="C801" s="3" t="str">
        <v>Reinforced Concrete</v>
      </c>
      <c r="D801" s="3">
        <v>5</v>
      </c>
      <c r="E801" s="4">
        <v>4890643</v>
      </c>
      <c r="F801" s="3">
        <f t="shared" si="50"/>
        <v>0</v>
      </c>
      <c r="G801" s="30">
        <f>IF(F801=0, 0, INDEX(tbl_Vulnerability[[0 ft]:[10 ft]], MATCH(Simulation!C801, tbl_Vulnerability[Construction_Class], 0), MATCH(Simulation!F801,{0,1,2,3,5,8,10}, 1)))</f>
        <v>0</v>
      </c>
      <c r="H801" s="4">
        <f t="shared" si="51"/>
        <v>0</v>
      </c>
      <c r="I801" s="33">
        <f t="shared" si="52"/>
        <v>244532.15000000002</v>
      </c>
      <c r="J801" s="33">
        <f t="shared" si="53"/>
        <v>0</v>
      </c>
    </row>
    <row r="802" spans="1:10">
      <c r="A802" s="3">
        <v>10000793</v>
      </c>
      <c r="B802" s="3" t="str">
        <v>Jalpaiguri</v>
      </c>
      <c r="C802" s="3" t="str">
        <v>Unreinforced Masonry</v>
      </c>
      <c r="D802" s="3">
        <v>2</v>
      </c>
      <c r="E802" s="4">
        <v>6152364</v>
      </c>
      <c r="F802" s="3">
        <f t="shared" si="50"/>
        <v>0</v>
      </c>
      <c r="G802" s="30">
        <f>IF(F802=0, 0, INDEX(tbl_Vulnerability[[0 ft]:[10 ft]], MATCH(Simulation!C802, tbl_Vulnerability[Construction_Class], 0), MATCH(Simulation!F802,{0,1,2,3,5,8,10}, 1)))</f>
        <v>0</v>
      </c>
      <c r="H802" s="4">
        <f t="shared" si="51"/>
        <v>0</v>
      </c>
      <c r="I802" s="33">
        <f t="shared" si="52"/>
        <v>307618.2</v>
      </c>
      <c r="J802" s="33">
        <f t="shared" si="53"/>
        <v>0</v>
      </c>
    </row>
    <row r="803" spans="1:10">
      <c r="A803" s="3">
        <v>10000794</v>
      </c>
      <c r="B803" s="3" t="str">
        <v>Hooghly</v>
      </c>
      <c r="C803" s="3" t="str">
        <v>Adobe / Light Timber</v>
      </c>
      <c r="D803" s="3">
        <v>2</v>
      </c>
      <c r="E803" s="4">
        <v>396783</v>
      </c>
      <c r="F803" s="3">
        <f t="shared" si="50"/>
        <v>0</v>
      </c>
      <c r="G803" s="30">
        <f>IF(F803=0, 0, INDEX(tbl_Vulnerability[[0 ft]:[10 ft]], MATCH(Simulation!C803, tbl_Vulnerability[Construction_Class], 0), MATCH(Simulation!F803,{0,1,2,3,5,8,10}, 1)))</f>
        <v>0</v>
      </c>
      <c r="H803" s="4">
        <f t="shared" si="51"/>
        <v>0</v>
      </c>
      <c r="I803" s="33">
        <f t="shared" si="52"/>
        <v>19839.150000000001</v>
      </c>
      <c r="J803" s="33">
        <f t="shared" si="53"/>
        <v>0</v>
      </c>
    </row>
    <row r="804" spans="1:10">
      <c r="A804" s="3">
        <v>10000795</v>
      </c>
      <c r="B804" s="3" t="str">
        <v>Hooghly</v>
      </c>
      <c r="C804" s="3" t="str">
        <v>Unreinforced Masonry</v>
      </c>
      <c r="D804" s="3">
        <v>1</v>
      </c>
      <c r="E804" s="4">
        <v>14281686</v>
      </c>
      <c r="F804" s="3">
        <f t="shared" si="50"/>
        <v>0</v>
      </c>
      <c r="G804" s="30">
        <f>IF(F804=0, 0, INDEX(tbl_Vulnerability[[0 ft]:[10 ft]], MATCH(Simulation!C804, tbl_Vulnerability[Construction_Class], 0), MATCH(Simulation!F804,{0,1,2,3,5,8,10}, 1)))</f>
        <v>0</v>
      </c>
      <c r="H804" s="4">
        <f t="shared" si="51"/>
        <v>0</v>
      </c>
      <c r="I804" s="33">
        <f t="shared" si="52"/>
        <v>714084.3</v>
      </c>
      <c r="J804" s="33">
        <f t="shared" si="53"/>
        <v>0</v>
      </c>
    </row>
    <row r="805" spans="1:10">
      <c r="A805" s="3">
        <v>10000796</v>
      </c>
      <c r="B805" s="3" t="str">
        <v>Jalpaiguri</v>
      </c>
      <c r="C805" s="3" t="str">
        <v>Adobe / Light Timber</v>
      </c>
      <c r="D805" s="3">
        <v>0</v>
      </c>
      <c r="E805" s="4">
        <v>445125</v>
      </c>
      <c r="F805" s="3">
        <f t="shared" si="50"/>
        <v>0</v>
      </c>
      <c r="G805" s="30">
        <f>IF(F805=0, 0, INDEX(tbl_Vulnerability[[0 ft]:[10 ft]], MATCH(Simulation!C805, tbl_Vulnerability[Construction_Class], 0), MATCH(Simulation!F805,{0,1,2,3,5,8,10}, 1)))</f>
        <v>0</v>
      </c>
      <c r="H805" s="4">
        <f t="shared" si="51"/>
        <v>0</v>
      </c>
      <c r="I805" s="33">
        <f t="shared" si="52"/>
        <v>22256.25</v>
      </c>
      <c r="J805" s="33">
        <f t="shared" si="53"/>
        <v>0</v>
      </c>
    </row>
    <row r="806" spans="1:10">
      <c r="A806" s="3">
        <v>10000797</v>
      </c>
      <c r="B806" s="3" t="str">
        <v>Malda</v>
      </c>
      <c r="C806" s="3" t="str">
        <v>Reinforced Concrete</v>
      </c>
      <c r="D806" s="3">
        <v>3</v>
      </c>
      <c r="E806" s="4">
        <v>62286564</v>
      </c>
      <c r="F806" s="3">
        <f t="shared" si="50"/>
        <v>7</v>
      </c>
      <c r="G806" s="30">
        <f>IF(F806=0, 0, INDEX(tbl_Vulnerability[[0 ft]:[10 ft]], MATCH(Simulation!C806, tbl_Vulnerability[Construction_Class], 0), MATCH(Simulation!F806,{0,1,2,3,5,8,10}, 1)))</f>
        <v>0.2</v>
      </c>
      <c r="H806" s="4">
        <f t="shared" si="51"/>
        <v>12457312.800000001</v>
      </c>
      <c r="I806" s="33">
        <f t="shared" si="52"/>
        <v>3114328.2</v>
      </c>
      <c r="J806" s="33">
        <f t="shared" si="53"/>
        <v>9342984.6000000015</v>
      </c>
    </row>
    <row r="807" spans="1:10">
      <c r="A807" s="3">
        <v>10000798</v>
      </c>
      <c r="B807" s="3" t="str">
        <v>South 24 Parganas</v>
      </c>
      <c r="C807" s="3" t="str">
        <v>Reinforced Concrete</v>
      </c>
      <c r="D807" s="3">
        <v>3</v>
      </c>
      <c r="E807" s="4">
        <v>38474067</v>
      </c>
      <c r="F807" s="3">
        <f t="shared" si="50"/>
        <v>0</v>
      </c>
      <c r="G807" s="30">
        <f>IF(F807=0, 0, INDEX(tbl_Vulnerability[[0 ft]:[10 ft]], MATCH(Simulation!C807, tbl_Vulnerability[Construction_Class], 0), MATCH(Simulation!F807,{0,1,2,3,5,8,10}, 1)))</f>
        <v>0</v>
      </c>
      <c r="H807" s="4">
        <f t="shared" si="51"/>
        <v>0</v>
      </c>
      <c r="I807" s="33">
        <f t="shared" si="52"/>
        <v>1923703.35</v>
      </c>
      <c r="J807" s="33">
        <f t="shared" si="53"/>
        <v>0</v>
      </c>
    </row>
    <row r="808" spans="1:10">
      <c r="A808" s="3">
        <v>10000799</v>
      </c>
      <c r="B808" s="3" t="str">
        <v>South 24 Parganas</v>
      </c>
      <c r="C808" s="3" t="str">
        <v>Reinforced Concrete</v>
      </c>
      <c r="D808" s="3">
        <v>4</v>
      </c>
      <c r="E808" s="4">
        <v>3528167</v>
      </c>
      <c r="F808" s="3">
        <f t="shared" si="50"/>
        <v>0</v>
      </c>
      <c r="G808" s="30">
        <f>IF(F808=0, 0, INDEX(tbl_Vulnerability[[0 ft]:[10 ft]], MATCH(Simulation!C808, tbl_Vulnerability[Construction_Class], 0), MATCH(Simulation!F808,{0,1,2,3,5,8,10}, 1)))</f>
        <v>0</v>
      </c>
      <c r="H808" s="4">
        <f t="shared" si="51"/>
        <v>0</v>
      </c>
      <c r="I808" s="33">
        <f t="shared" si="52"/>
        <v>176408.35</v>
      </c>
      <c r="J808" s="33">
        <f t="shared" si="53"/>
        <v>0</v>
      </c>
    </row>
    <row r="809" spans="1:10">
      <c r="A809" s="3">
        <v>10000800</v>
      </c>
      <c r="B809" s="3" t="str">
        <v>Kolkata</v>
      </c>
      <c r="C809" s="3" t="str">
        <v>Reinforced Concrete</v>
      </c>
      <c r="D809" s="3">
        <v>3</v>
      </c>
      <c r="E809" s="4">
        <v>3891216</v>
      </c>
      <c r="F809" s="3">
        <f t="shared" si="50"/>
        <v>0</v>
      </c>
      <c r="G809" s="30">
        <f>IF(F809=0, 0, INDEX(tbl_Vulnerability[[0 ft]:[10 ft]], MATCH(Simulation!C809, tbl_Vulnerability[Construction_Class], 0), MATCH(Simulation!F809,{0,1,2,3,5,8,10}, 1)))</f>
        <v>0</v>
      </c>
      <c r="H809" s="4">
        <f t="shared" si="51"/>
        <v>0</v>
      </c>
      <c r="I809" s="33">
        <f t="shared" si="52"/>
        <v>194560.80000000002</v>
      </c>
      <c r="J809" s="33">
        <f t="shared" si="53"/>
        <v>0</v>
      </c>
    </row>
    <row r="810" spans="1:10">
      <c r="A810" s="3">
        <v>10000801</v>
      </c>
      <c r="B810" s="3" t="str">
        <v>Paschim Medinipur</v>
      </c>
      <c r="C810" s="3" t="str">
        <v>Adobe / Light Timber</v>
      </c>
      <c r="D810" s="3">
        <v>0</v>
      </c>
      <c r="E810" s="4">
        <v>529472</v>
      </c>
      <c r="F810" s="3">
        <f t="shared" si="50"/>
        <v>0</v>
      </c>
      <c r="G810" s="30">
        <f>IF(F810=0, 0, INDEX(tbl_Vulnerability[[0 ft]:[10 ft]], MATCH(Simulation!C810, tbl_Vulnerability[Construction_Class], 0), MATCH(Simulation!F810,{0,1,2,3,5,8,10}, 1)))</f>
        <v>0</v>
      </c>
      <c r="H810" s="4">
        <f t="shared" si="51"/>
        <v>0</v>
      </c>
      <c r="I810" s="33">
        <f t="shared" si="52"/>
        <v>26473.600000000002</v>
      </c>
      <c r="J810" s="33">
        <f t="shared" si="53"/>
        <v>0</v>
      </c>
    </row>
    <row r="811" spans="1:10">
      <c r="A811" s="3">
        <v>10000802</v>
      </c>
      <c r="B811" s="3" t="str">
        <v>Paschim Medinipur</v>
      </c>
      <c r="C811" s="3" t="str">
        <v>Reinforced Concrete</v>
      </c>
      <c r="D811" s="3">
        <v>5</v>
      </c>
      <c r="E811" s="4">
        <v>55370615</v>
      </c>
      <c r="F811" s="3">
        <f t="shared" si="50"/>
        <v>0</v>
      </c>
      <c r="G811" s="30">
        <f>IF(F811=0, 0, INDEX(tbl_Vulnerability[[0 ft]:[10 ft]], MATCH(Simulation!C811, tbl_Vulnerability[Construction_Class], 0), MATCH(Simulation!F811,{0,1,2,3,5,8,10}, 1)))</f>
        <v>0</v>
      </c>
      <c r="H811" s="4">
        <f t="shared" si="51"/>
        <v>0</v>
      </c>
      <c r="I811" s="33">
        <f t="shared" si="52"/>
        <v>2768530.75</v>
      </c>
      <c r="J811" s="33">
        <f t="shared" si="53"/>
        <v>0</v>
      </c>
    </row>
    <row r="812" spans="1:10">
      <c r="A812" s="3">
        <v>10000803</v>
      </c>
      <c r="B812" s="3" t="str">
        <v>Paschim Medinipur</v>
      </c>
      <c r="C812" s="3" t="str">
        <v>Reinforced Concrete</v>
      </c>
      <c r="D812" s="3">
        <v>5</v>
      </c>
      <c r="E812" s="4">
        <v>40129636</v>
      </c>
      <c r="F812" s="3">
        <f t="shared" si="50"/>
        <v>0</v>
      </c>
      <c r="G812" s="30">
        <f>IF(F812=0, 0, INDEX(tbl_Vulnerability[[0 ft]:[10 ft]], MATCH(Simulation!C812, tbl_Vulnerability[Construction_Class], 0), MATCH(Simulation!F812,{0,1,2,3,5,8,10}, 1)))</f>
        <v>0</v>
      </c>
      <c r="H812" s="4">
        <f t="shared" si="51"/>
        <v>0</v>
      </c>
      <c r="I812" s="33">
        <f t="shared" si="52"/>
        <v>2006481.8</v>
      </c>
      <c r="J812" s="33">
        <f t="shared" si="53"/>
        <v>0</v>
      </c>
    </row>
    <row r="813" spans="1:10">
      <c r="A813" s="3">
        <v>10000804</v>
      </c>
      <c r="B813" s="3" t="str">
        <v>South 24 Parganas</v>
      </c>
      <c r="C813" s="3" t="str">
        <v>Reinforced Concrete</v>
      </c>
      <c r="D813" s="3">
        <v>4</v>
      </c>
      <c r="E813" s="4">
        <v>5920728</v>
      </c>
      <c r="F813" s="3">
        <f t="shared" si="50"/>
        <v>0</v>
      </c>
      <c r="G813" s="30">
        <f>IF(F813=0, 0, INDEX(tbl_Vulnerability[[0 ft]:[10 ft]], MATCH(Simulation!C813, tbl_Vulnerability[Construction_Class], 0), MATCH(Simulation!F813,{0,1,2,3,5,8,10}, 1)))</f>
        <v>0</v>
      </c>
      <c r="H813" s="4">
        <f t="shared" si="51"/>
        <v>0</v>
      </c>
      <c r="I813" s="33">
        <f t="shared" si="52"/>
        <v>296036.40000000002</v>
      </c>
      <c r="J813" s="33">
        <f t="shared" si="53"/>
        <v>0</v>
      </c>
    </row>
    <row r="814" spans="1:10">
      <c r="A814" s="3">
        <v>10000805</v>
      </c>
      <c r="B814" s="3" t="str">
        <v>Jalpaiguri</v>
      </c>
      <c r="C814" s="3" t="str">
        <v>Reinforced Concrete</v>
      </c>
      <c r="D814" s="3">
        <v>5</v>
      </c>
      <c r="E814" s="4">
        <v>5296106</v>
      </c>
      <c r="F814" s="3">
        <f t="shared" si="50"/>
        <v>0</v>
      </c>
      <c r="G814" s="30">
        <f>IF(F814=0, 0, INDEX(tbl_Vulnerability[[0 ft]:[10 ft]], MATCH(Simulation!C814, tbl_Vulnerability[Construction_Class], 0), MATCH(Simulation!F814,{0,1,2,3,5,8,10}, 1)))</f>
        <v>0</v>
      </c>
      <c r="H814" s="4">
        <f t="shared" si="51"/>
        <v>0</v>
      </c>
      <c r="I814" s="33">
        <f t="shared" si="52"/>
        <v>264805.3</v>
      </c>
      <c r="J814" s="33">
        <f t="shared" si="53"/>
        <v>0</v>
      </c>
    </row>
    <row r="815" spans="1:10">
      <c r="A815" s="3">
        <v>10000806</v>
      </c>
      <c r="B815" s="3" t="str">
        <v>Paschim Medinipur</v>
      </c>
      <c r="C815" s="3" t="str">
        <v>Reinforced Concrete</v>
      </c>
      <c r="D815" s="3">
        <v>3</v>
      </c>
      <c r="E815" s="4">
        <v>50139603</v>
      </c>
      <c r="F815" s="3">
        <f t="shared" si="50"/>
        <v>0</v>
      </c>
      <c r="G815" s="30">
        <f>IF(F815=0, 0, INDEX(tbl_Vulnerability[[0 ft]:[10 ft]], MATCH(Simulation!C815, tbl_Vulnerability[Construction_Class], 0), MATCH(Simulation!F815,{0,1,2,3,5,8,10}, 1)))</f>
        <v>0</v>
      </c>
      <c r="H815" s="4">
        <f t="shared" si="51"/>
        <v>0</v>
      </c>
      <c r="I815" s="33">
        <f t="shared" si="52"/>
        <v>2506980.15</v>
      </c>
      <c r="J815" s="33">
        <f t="shared" si="53"/>
        <v>0</v>
      </c>
    </row>
    <row r="816" spans="1:10">
      <c r="A816" s="3">
        <v>10000807</v>
      </c>
      <c r="B816" s="3" t="str">
        <v>Paschim Medinipur</v>
      </c>
      <c r="C816" s="3" t="str">
        <v>Unreinforced Masonry</v>
      </c>
      <c r="D816" s="3">
        <v>0</v>
      </c>
      <c r="E816" s="4">
        <v>14943809</v>
      </c>
      <c r="F816" s="3">
        <f t="shared" si="50"/>
        <v>0</v>
      </c>
      <c r="G816" s="30">
        <f>IF(F816=0, 0, INDEX(tbl_Vulnerability[[0 ft]:[10 ft]], MATCH(Simulation!C816, tbl_Vulnerability[Construction_Class], 0), MATCH(Simulation!F816,{0,1,2,3,5,8,10}, 1)))</f>
        <v>0</v>
      </c>
      <c r="H816" s="4">
        <f t="shared" si="51"/>
        <v>0</v>
      </c>
      <c r="I816" s="33">
        <f t="shared" si="52"/>
        <v>747190.45000000007</v>
      </c>
      <c r="J816" s="33">
        <f t="shared" si="53"/>
        <v>0</v>
      </c>
    </row>
    <row r="817" spans="1:10">
      <c r="A817" s="3">
        <v>10000808</v>
      </c>
      <c r="B817" s="3" t="str">
        <v>Jalpaiguri</v>
      </c>
      <c r="C817" s="3" t="str">
        <v>Reinforced Concrete</v>
      </c>
      <c r="D817" s="3">
        <v>4</v>
      </c>
      <c r="E817" s="4">
        <v>68046294</v>
      </c>
      <c r="F817" s="3">
        <f t="shared" si="50"/>
        <v>0</v>
      </c>
      <c r="G817" s="30">
        <f>IF(F817=0, 0, INDEX(tbl_Vulnerability[[0 ft]:[10 ft]], MATCH(Simulation!C817, tbl_Vulnerability[Construction_Class], 0), MATCH(Simulation!F817,{0,1,2,3,5,8,10}, 1)))</f>
        <v>0</v>
      </c>
      <c r="H817" s="4">
        <f t="shared" si="51"/>
        <v>0</v>
      </c>
      <c r="I817" s="33">
        <f t="shared" si="52"/>
        <v>3402314.7</v>
      </c>
      <c r="J817" s="33">
        <f t="shared" si="53"/>
        <v>0</v>
      </c>
    </row>
    <row r="818" spans="1:10">
      <c r="A818" s="3">
        <v>10000809</v>
      </c>
      <c r="B818" s="3" t="str">
        <v>South 24 Parganas</v>
      </c>
      <c r="C818" s="3" t="str">
        <v>Reinforced Concrete</v>
      </c>
      <c r="D818" s="3">
        <v>5</v>
      </c>
      <c r="E818" s="4">
        <v>4139830</v>
      </c>
      <c r="F818" s="3">
        <f t="shared" si="50"/>
        <v>0</v>
      </c>
      <c r="G818" s="30">
        <f>IF(F818=0, 0, INDEX(tbl_Vulnerability[[0 ft]:[10 ft]], MATCH(Simulation!C818, tbl_Vulnerability[Construction_Class], 0), MATCH(Simulation!F818,{0,1,2,3,5,8,10}, 1)))</f>
        <v>0</v>
      </c>
      <c r="H818" s="4">
        <f t="shared" si="51"/>
        <v>0</v>
      </c>
      <c r="I818" s="33">
        <f t="shared" si="52"/>
        <v>206991.5</v>
      </c>
      <c r="J818" s="33">
        <f t="shared" si="53"/>
        <v>0</v>
      </c>
    </row>
    <row r="819" spans="1:10">
      <c r="A819" s="3">
        <v>10000810</v>
      </c>
      <c r="B819" s="3" t="str">
        <v>Malda</v>
      </c>
      <c r="C819" s="3" t="str">
        <v>Reinforced Concrete</v>
      </c>
      <c r="D819" s="3">
        <v>3</v>
      </c>
      <c r="E819" s="4">
        <v>36241983</v>
      </c>
      <c r="F819" s="3">
        <f t="shared" si="50"/>
        <v>7</v>
      </c>
      <c r="G819" s="30">
        <f>IF(F819=0, 0, INDEX(tbl_Vulnerability[[0 ft]:[10 ft]], MATCH(Simulation!C819, tbl_Vulnerability[Construction_Class], 0), MATCH(Simulation!F819,{0,1,2,3,5,8,10}, 1)))</f>
        <v>0.2</v>
      </c>
      <c r="H819" s="4">
        <f t="shared" si="51"/>
        <v>7248396.6000000006</v>
      </c>
      <c r="I819" s="33">
        <f t="shared" si="52"/>
        <v>1812099.1500000001</v>
      </c>
      <c r="J819" s="33">
        <f t="shared" si="53"/>
        <v>5436297.4500000002</v>
      </c>
    </row>
    <row r="820" spans="1:10">
      <c r="A820" s="3">
        <v>10000811</v>
      </c>
      <c r="B820" s="3" t="str">
        <v>Malda</v>
      </c>
      <c r="C820" s="3" t="str">
        <v>Unreinforced Masonry</v>
      </c>
      <c r="D820" s="3">
        <v>2</v>
      </c>
      <c r="E820" s="4">
        <v>5723894</v>
      </c>
      <c r="F820" s="3">
        <f t="shared" si="50"/>
        <v>8</v>
      </c>
      <c r="G820" s="30">
        <f>IF(F820=0, 0, INDEX(tbl_Vulnerability[[0 ft]:[10 ft]], MATCH(Simulation!C820, tbl_Vulnerability[Construction_Class], 0), MATCH(Simulation!F820,{0,1,2,3,5,8,10}, 1)))</f>
        <v>0.9</v>
      </c>
      <c r="H820" s="4">
        <f t="shared" si="51"/>
        <v>5151504.6000000006</v>
      </c>
      <c r="I820" s="33">
        <f t="shared" si="52"/>
        <v>286194.7</v>
      </c>
      <c r="J820" s="33">
        <f t="shared" si="53"/>
        <v>4865309.9000000004</v>
      </c>
    </row>
    <row r="821" spans="1:10">
      <c r="A821" s="3">
        <v>10000812</v>
      </c>
      <c r="B821" s="3" t="str">
        <v>Jalpaiguri</v>
      </c>
      <c r="C821" s="3" t="str">
        <v>Reinforced Concrete</v>
      </c>
      <c r="D821" s="3">
        <v>4</v>
      </c>
      <c r="E821" s="4">
        <v>51657256</v>
      </c>
      <c r="F821" s="3">
        <f t="shared" si="50"/>
        <v>0</v>
      </c>
      <c r="G821" s="30">
        <f>IF(F821=0, 0, INDEX(tbl_Vulnerability[[0 ft]:[10 ft]], MATCH(Simulation!C821, tbl_Vulnerability[Construction_Class], 0), MATCH(Simulation!F821,{0,1,2,3,5,8,10}, 1)))</f>
        <v>0</v>
      </c>
      <c r="H821" s="4">
        <f t="shared" si="51"/>
        <v>0</v>
      </c>
      <c r="I821" s="33">
        <f t="shared" si="52"/>
        <v>2582862.8000000003</v>
      </c>
      <c r="J821" s="33">
        <f t="shared" si="53"/>
        <v>0</v>
      </c>
    </row>
    <row r="822" spans="1:10">
      <c r="A822" s="3">
        <v>10000813</v>
      </c>
      <c r="B822" s="3" t="str">
        <v>South 24 Parganas</v>
      </c>
      <c r="C822" s="3" t="str">
        <v>Reinforced Concrete</v>
      </c>
      <c r="D822" s="3">
        <v>3</v>
      </c>
      <c r="E822" s="4">
        <v>5067710</v>
      </c>
      <c r="F822" s="3">
        <f t="shared" si="50"/>
        <v>0</v>
      </c>
      <c r="G822" s="30">
        <f>IF(F822=0, 0, INDEX(tbl_Vulnerability[[0 ft]:[10 ft]], MATCH(Simulation!C822, tbl_Vulnerability[Construction_Class], 0), MATCH(Simulation!F822,{0,1,2,3,5,8,10}, 1)))</f>
        <v>0</v>
      </c>
      <c r="H822" s="4">
        <f t="shared" si="51"/>
        <v>0</v>
      </c>
      <c r="I822" s="33">
        <f t="shared" si="52"/>
        <v>253385.5</v>
      </c>
      <c r="J822" s="33">
        <f t="shared" si="53"/>
        <v>0</v>
      </c>
    </row>
    <row r="823" spans="1:10">
      <c r="A823" s="3">
        <v>10000814</v>
      </c>
      <c r="B823" s="3" t="str">
        <v>Paschim Medinipur</v>
      </c>
      <c r="C823" s="3" t="str">
        <v>Reinforced Concrete</v>
      </c>
      <c r="D823" s="3">
        <v>5</v>
      </c>
      <c r="E823" s="4">
        <v>4157362</v>
      </c>
      <c r="F823" s="3">
        <f t="shared" si="50"/>
        <v>0</v>
      </c>
      <c r="G823" s="30">
        <f>IF(F823=0, 0, INDEX(tbl_Vulnerability[[0 ft]:[10 ft]], MATCH(Simulation!C823, tbl_Vulnerability[Construction_Class], 0), MATCH(Simulation!F823,{0,1,2,3,5,8,10}, 1)))</f>
        <v>0</v>
      </c>
      <c r="H823" s="4">
        <f t="shared" si="51"/>
        <v>0</v>
      </c>
      <c r="I823" s="33">
        <f t="shared" si="52"/>
        <v>207868.1</v>
      </c>
      <c r="J823" s="33">
        <f t="shared" si="53"/>
        <v>0</v>
      </c>
    </row>
    <row r="824" spans="1:10">
      <c r="A824" s="3">
        <v>10000815</v>
      </c>
      <c r="B824" s="3" t="str">
        <v>Hooghly</v>
      </c>
      <c r="C824" s="3" t="str">
        <v>Reinforced Concrete</v>
      </c>
      <c r="D824" s="3">
        <v>3</v>
      </c>
      <c r="E824" s="4">
        <v>9109746</v>
      </c>
      <c r="F824" s="3">
        <f t="shared" si="50"/>
        <v>0</v>
      </c>
      <c r="G824" s="30">
        <f>IF(F824=0, 0, INDEX(tbl_Vulnerability[[0 ft]:[10 ft]], MATCH(Simulation!C824, tbl_Vulnerability[Construction_Class], 0), MATCH(Simulation!F824,{0,1,2,3,5,8,10}, 1)))</f>
        <v>0</v>
      </c>
      <c r="H824" s="4">
        <f t="shared" si="51"/>
        <v>0</v>
      </c>
      <c r="I824" s="33">
        <f t="shared" si="52"/>
        <v>455487.30000000005</v>
      </c>
      <c r="J824" s="33">
        <f t="shared" si="53"/>
        <v>0</v>
      </c>
    </row>
    <row r="825" spans="1:10">
      <c r="A825" s="3">
        <v>10000816</v>
      </c>
      <c r="B825" s="3" t="str">
        <v>Malda</v>
      </c>
      <c r="C825" s="3" t="str">
        <v>Reinforced Concrete</v>
      </c>
      <c r="D825" s="3">
        <v>3</v>
      </c>
      <c r="E825" s="4">
        <v>15657739</v>
      </c>
      <c r="F825" s="3">
        <f t="shared" si="50"/>
        <v>7</v>
      </c>
      <c r="G825" s="30">
        <f>IF(F825=0, 0, INDEX(tbl_Vulnerability[[0 ft]:[10 ft]], MATCH(Simulation!C825, tbl_Vulnerability[Construction_Class], 0), MATCH(Simulation!F825,{0,1,2,3,5,8,10}, 1)))</f>
        <v>0.2</v>
      </c>
      <c r="H825" s="4">
        <f t="shared" si="51"/>
        <v>3131547.8000000003</v>
      </c>
      <c r="I825" s="33">
        <f t="shared" si="52"/>
        <v>782886.95000000007</v>
      </c>
      <c r="J825" s="33">
        <f t="shared" si="53"/>
        <v>2348660.85</v>
      </c>
    </row>
    <row r="826" spans="1:10">
      <c r="A826" s="3">
        <v>10000817</v>
      </c>
      <c r="B826" s="3" t="str">
        <v>Paschim Medinipur</v>
      </c>
      <c r="C826" s="3" t="str">
        <v>Reinforced Concrete</v>
      </c>
      <c r="D826" s="3">
        <v>3</v>
      </c>
      <c r="E826" s="4">
        <v>43797024</v>
      </c>
      <c r="F826" s="3">
        <f t="shared" si="50"/>
        <v>0</v>
      </c>
      <c r="G826" s="30">
        <f>IF(F826=0, 0, INDEX(tbl_Vulnerability[[0 ft]:[10 ft]], MATCH(Simulation!C826, tbl_Vulnerability[Construction_Class], 0), MATCH(Simulation!F826,{0,1,2,3,5,8,10}, 1)))</f>
        <v>0</v>
      </c>
      <c r="H826" s="4">
        <f t="shared" si="51"/>
        <v>0</v>
      </c>
      <c r="I826" s="33">
        <f t="shared" si="52"/>
        <v>2189851.2000000002</v>
      </c>
      <c r="J826" s="33">
        <f t="shared" si="53"/>
        <v>0</v>
      </c>
    </row>
    <row r="827" spans="1:10">
      <c r="A827" s="3">
        <v>10000818</v>
      </c>
      <c r="B827" s="3" t="str">
        <v>South 24 Parganas</v>
      </c>
      <c r="C827" s="3" t="str">
        <v>Unreinforced Masonry</v>
      </c>
      <c r="D827" s="3">
        <v>2</v>
      </c>
      <c r="E827" s="4">
        <v>12791022</v>
      </c>
      <c r="F827" s="3">
        <f t="shared" si="50"/>
        <v>0</v>
      </c>
      <c r="G827" s="30">
        <f>IF(F827=0, 0, INDEX(tbl_Vulnerability[[0 ft]:[10 ft]], MATCH(Simulation!C827, tbl_Vulnerability[Construction_Class], 0), MATCH(Simulation!F827,{0,1,2,3,5,8,10}, 1)))</f>
        <v>0</v>
      </c>
      <c r="H827" s="4">
        <f t="shared" si="51"/>
        <v>0</v>
      </c>
      <c r="I827" s="33">
        <f t="shared" si="52"/>
        <v>639551.10000000009</v>
      </c>
      <c r="J827" s="33">
        <f t="shared" si="53"/>
        <v>0</v>
      </c>
    </row>
    <row r="828" spans="1:10">
      <c r="A828" s="3">
        <v>10000819</v>
      </c>
      <c r="B828" s="3" t="str">
        <v>Malda</v>
      </c>
      <c r="C828" s="3" t="str">
        <v>Unreinforced Masonry</v>
      </c>
      <c r="D828" s="3">
        <v>2</v>
      </c>
      <c r="E828" s="4">
        <v>2999084</v>
      </c>
      <c r="F828" s="3">
        <f t="shared" si="50"/>
        <v>8</v>
      </c>
      <c r="G828" s="30">
        <f>IF(F828=0, 0, INDEX(tbl_Vulnerability[[0 ft]:[10 ft]], MATCH(Simulation!C828, tbl_Vulnerability[Construction_Class], 0), MATCH(Simulation!F828,{0,1,2,3,5,8,10}, 1)))</f>
        <v>0.9</v>
      </c>
      <c r="H828" s="4">
        <f t="shared" si="51"/>
        <v>2699175.6</v>
      </c>
      <c r="I828" s="33">
        <f t="shared" si="52"/>
        <v>149954.20000000001</v>
      </c>
      <c r="J828" s="33">
        <f t="shared" si="53"/>
        <v>2549221.4</v>
      </c>
    </row>
    <row r="829" spans="1:10">
      <c r="A829" s="3">
        <v>10000820</v>
      </c>
      <c r="B829" s="3" t="str">
        <v>Paschim Medinipur</v>
      </c>
      <c r="C829" s="3" t="str">
        <v>Unreinforced Masonry</v>
      </c>
      <c r="D829" s="3">
        <v>0</v>
      </c>
      <c r="E829" s="4">
        <v>4760117</v>
      </c>
      <c r="F829" s="3">
        <f t="shared" si="50"/>
        <v>0</v>
      </c>
      <c r="G829" s="30">
        <f>IF(F829=0, 0, INDEX(tbl_Vulnerability[[0 ft]:[10 ft]], MATCH(Simulation!C829, tbl_Vulnerability[Construction_Class], 0), MATCH(Simulation!F829,{0,1,2,3,5,8,10}, 1)))</f>
        <v>0</v>
      </c>
      <c r="H829" s="4">
        <f t="shared" si="51"/>
        <v>0</v>
      </c>
      <c r="I829" s="33">
        <f t="shared" si="52"/>
        <v>238005.85</v>
      </c>
      <c r="J829" s="33">
        <f t="shared" si="53"/>
        <v>0</v>
      </c>
    </row>
    <row r="830" spans="1:10">
      <c r="A830" s="3">
        <v>10000821</v>
      </c>
      <c r="B830" s="3" t="str">
        <v>Kolkata</v>
      </c>
      <c r="C830" s="3" t="str">
        <v>Reinforced Concrete</v>
      </c>
      <c r="D830" s="3">
        <v>3</v>
      </c>
      <c r="E830" s="4">
        <v>1201749</v>
      </c>
      <c r="F830" s="3">
        <f t="shared" si="50"/>
        <v>0</v>
      </c>
      <c r="G830" s="30">
        <f>IF(F830=0, 0, INDEX(tbl_Vulnerability[[0 ft]:[10 ft]], MATCH(Simulation!C830, tbl_Vulnerability[Construction_Class], 0), MATCH(Simulation!F830,{0,1,2,3,5,8,10}, 1)))</f>
        <v>0</v>
      </c>
      <c r="H830" s="4">
        <f t="shared" si="51"/>
        <v>0</v>
      </c>
      <c r="I830" s="33">
        <f t="shared" si="52"/>
        <v>60087.450000000004</v>
      </c>
      <c r="J830" s="33">
        <f t="shared" si="53"/>
        <v>0</v>
      </c>
    </row>
    <row r="831" spans="1:10">
      <c r="A831" s="3">
        <v>10000822</v>
      </c>
      <c r="B831" s="3" t="str">
        <v>Malda</v>
      </c>
      <c r="C831" s="3" t="str">
        <v>Reinforced Concrete</v>
      </c>
      <c r="D831" s="3">
        <v>4</v>
      </c>
      <c r="E831" s="4">
        <v>52831370</v>
      </c>
      <c r="F831" s="3">
        <f t="shared" si="50"/>
        <v>6</v>
      </c>
      <c r="G831" s="30">
        <f>IF(F831=0, 0, INDEX(tbl_Vulnerability[[0 ft]:[10 ft]], MATCH(Simulation!C831, tbl_Vulnerability[Construction_Class], 0), MATCH(Simulation!F831,{0,1,2,3,5,8,10}, 1)))</f>
        <v>0.2</v>
      </c>
      <c r="H831" s="4">
        <f t="shared" si="51"/>
        <v>10566274</v>
      </c>
      <c r="I831" s="33">
        <f t="shared" si="52"/>
        <v>2641568.5</v>
      </c>
      <c r="J831" s="33">
        <f t="shared" si="53"/>
        <v>7924705.5</v>
      </c>
    </row>
    <row r="832" spans="1:10">
      <c r="A832" s="3">
        <v>10000823</v>
      </c>
      <c r="B832" s="3" t="str">
        <v>Paschim Medinipur</v>
      </c>
      <c r="C832" s="3" t="str">
        <v>Reinforced Concrete</v>
      </c>
      <c r="D832" s="3">
        <v>5</v>
      </c>
      <c r="E832" s="4">
        <v>47639894</v>
      </c>
      <c r="F832" s="3">
        <f t="shared" si="50"/>
        <v>0</v>
      </c>
      <c r="G832" s="30">
        <f>IF(F832=0, 0, INDEX(tbl_Vulnerability[[0 ft]:[10 ft]], MATCH(Simulation!C832, tbl_Vulnerability[Construction_Class], 0), MATCH(Simulation!F832,{0,1,2,3,5,8,10}, 1)))</f>
        <v>0</v>
      </c>
      <c r="H832" s="4">
        <f t="shared" si="51"/>
        <v>0</v>
      </c>
      <c r="I832" s="33">
        <f t="shared" si="52"/>
        <v>2381994.7000000002</v>
      </c>
      <c r="J832" s="33">
        <f t="shared" si="53"/>
        <v>0</v>
      </c>
    </row>
    <row r="833" spans="1:10">
      <c r="A833" s="3">
        <v>10000824</v>
      </c>
      <c r="B833" s="3" t="str">
        <v>Kolkata</v>
      </c>
      <c r="C833" s="3" t="str">
        <v>Reinforced Concrete</v>
      </c>
      <c r="D833" s="3">
        <v>5</v>
      </c>
      <c r="E833" s="4">
        <v>50811738</v>
      </c>
      <c r="F833" s="3">
        <f t="shared" si="50"/>
        <v>0</v>
      </c>
      <c r="G833" s="30">
        <f>IF(F833=0, 0, INDEX(tbl_Vulnerability[[0 ft]:[10 ft]], MATCH(Simulation!C833, tbl_Vulnerability[Construction_Class], 0), MATCH(Simulation!F833,{0,1,2,3,5,8,10}, 1)))</f>
        <v>0</v>
      </c>
      <c r="H833" s="4">
        <f t="shared" si="51"/>
        <v>0</v>
      </c>
      <c r="I833" s="33">
        <f t="shared" si="52"/>
        <v>2540586.9000000004</v>
      </c>
      <c r="J833" s="33">
        <f t="shared" si="53"/>
        <v>0</v>
      </c>
    </row>
    <row r="834" spans="1:10">
      <c r="A834" s="3">
        <v>10000825</v>
      </c>
      <c r="B834" s="3" t="str">
        <v>Hooghly</v>
      </c>
      <c r="C834" s="3" t="str">
        <v>Adobe / Light Timber</v>
      </c>
      <c r="D834" s="3">
        <v>2</v>
      </c>
      <c r="E834" s="4">
        <v>431951</v>
      </c>
      <c r="F834" s="3">
        <f t="shared" si="50"/>
        <v>0</v>
      </c>
      <c r="G834" s="30">
        <f>IF(F834=0, 0, INDEX(tbl_Vulnerability[[0 ft]:[10 ft]], MATCH(Simulation!C834, tbl_Vulnerability[Construction_Class], 0), MATCH(Simulation!F834,{0,1,2,3,5,8,10}, 1)))</f>
        <v>0</v>
      </c>
      <c r="H834" s="4">
        <f t="shared" si="51"/>
        <v>0</v>
      </c>
      <c r="I834" s="33">
        <f t="shared" si="52"/>
        <v>21597.550000000003</v>
      </c>
      <c r="J834" s="33">
        <f t="shared" si="53"/>
        <v>0</v>
      </c>
    </row>
    <row r="835" spans="1:10">
      <c r="A835" s="3">
        <v>10000826</v>
      </c>
      <c r="B835" s="3" t="str">
        <v>Jalpaiguri</v>
      </c>
      <c r="C835" s="3" t="str">
        <v>Reinforced Concrete</v>
      </c>
      <c r="D835" s="3">
        <v>3</v>
      </c>
      <c r="E835" s="4">
        <v>3442289</v>
      </c>
      <c r="F835" s="3">
        <f t="shared" si="50"/>
        <v>0</v>
      </c>
      <c r="G835" s="30">
        <f>IF(F835=0, 0, INDEX(tbl_Vulnerability[[0 ft]:[10 ft]], MATCH(Simulation!C835, tbl_Vulnerability[Construction_Class], 0), MATCH(Simulation!F835,{0,1,2,3,5,8,10}, 1)))</f>
        <v>0</v>
      </c>
      <c r="H835" s="4">
        <f t="shared" si="51"/>
        <v>0</v>
      </c>
      <c r="I835" s="33">
        <f t="shared" si="52"/>
        <v>172114.45</v>
      </c>
      <c r="J835" s="33">
        <f t="shared" si="53"/>
        <v>0</v>
      </c>
    </row>
    <row r="836" spans="1:10">
      <c r="A836" s="3">
        <v>10000827</v>
      </c>
      <c r="B836" s="3" t="str">
        <v>Jalpaiguri</v>
      </c>
      <c r="C836" s="3" t="str">
        <v>Reinforced Concrete</v>
      </c>
      <c r="D836" s="3">
        <v>3</v>
      </c>
      <c r="E836" s="4">
        <v>57797366</v>
      </c>
      <c r="F836" s="3">
        <f t="shared" si="50"/>
        <v>0</v>
      </c>
      <c r="G836" s="30">
        <f>IF(F836=0, 0, INDEX(tbl_Vulnerability[[0 ft]:[10 ft]], MATCH(Simulation!C836, tbl_Vulnerability[Construction_Class], 0), MATCH(Simulation!F836,{0,1,2,3,5,8,10}, 1)))</f>
        <v>0</v>
      </c>
      <c r="H836" s="4">
        <f t="shared" si="51"/>
        <v>0</v>
      </c>
      <c r="I836" s="33">
        <f t="shared" si="52"/>
        <v>2889868.3000000003</v>
      </c>
      <c r="J836" s="33">
        <f t="shared" si="53"/>
        <v>0</v>
      </c>
    </row>
    <row r="837" spans="1:10">
      <c r="A837" s="3">
        <v>10000828</v>
      </c>
      <c r="B837" s="3" t="str">
        <v>Malda</v>
      </c>
      <c r="C837" s="3" t="str">
        <v>Reinforced Concrete</v>
      </c>
      <c r="D837" s="3">
        <v>4</v>
      </c>
      <c r="E837" s="4">
        <v>48992561</v>
      </c>
      <c r="F837" s="3">
        <f t="shared" si="50"/>
        <v>6</v>
      </c>
      <c r="G837" s="30">
        <f>IF(F837=0, 0, INDEX(tbl_Vulnerability[[0 ft]:[10 ft]], MATCH(Simulation!C837, tbl_Vulnerability[Construction_Class], 0), MATCH(Simulation!F837,{0,1,2,3,5,8,10}, 1)))</f>
        <v>0.2</v>
      </c>
      <c r="H837" s="4">
        <f t="shared" si="51"/>
        <v>9798512.2000000011</v>
      </c>
      <c r="I837" s="33">
        <f t="shared" si="52"/>
        <v>2449628.0500000003</v>
      </c>
      <c r="J837" s="33">
        <f t="shared" si="53"/>
        <v>7348884.1500000004</v>
      </c>
    </row>
    <row r="838" spans="1:10">
      <c r="A838" s="3">
        <v>10000829</v>
      </c>
      <c r="B838" s="3" t="str">
        <v>Malda</v>
      </c>
      <c r="C838" s="3" t="str">
        <v>Reinforced Concrete</v>
      </c>
      <c r="D838" s="3">
        <v>4</v>
      </c>
      <c r="E838" s="4">
        <v>42030182</v>
      </c>
      <c r="F838" s="3">
        <f t="shared" si="50"/>
        <v>6</v>
      </c>
      <c r="G838" s="30">
        <f>IF(F838=0, 0, INDEX(tbl_Vulnerability[[0 ft]:[10 ft]], MATCH(Simulation!C838, tbl_Vulnerability[Construction_Class], 0), MATCH(Simulation!F838,{0,1,2,3,5,8,10}, 1)))</f>
        <v>0.2</v>
      </c>
      <c r="H838" s="4">
        <f t="shared" si="51"/>
        <v>8406036.4000000004</v>
      </c>
      <c r="I838" s="33">
        <f t="shared" si="52"/>
        <v>2101509.1</v>
      </c>
      <c r="J838" s="33">
        <f t="shared" si="53"/>
        <v>6304527.3000000007</v>
      </c>
    </row>
    <row r="839" spans="1:10">
      <c r="A839" s="3">
        <v>10000830</v>
      </c>
      <c r="B839" s="3" t="str">
        <v>Kolkata</v>
      </c>
      <c r="C839" s="3" t="str">
        <v>Unreinforced Masonry</v>
      </c>
      <c r="D839" s="3">
        <v>1</v>
      </c>
      <c r="E839" s="4">
        <v>22680312</v>
      </c>
      <c r="F839" s="3">
        <f t="shared" si="50"/>
        <v>0</v>
      </c>
      <c r="G839" s="30">
        <f>IF(F839=0, 0, INDEX(tbl_Vulnerability[[0 ft]:[10 ft]], MATCH(Simulation!C839, tbl_Vulnerability[Construction_Class], 0), MATCH(Simulation!F839,{0,1,2,3,5,8,10}, 1)))</f>
        <v>0</v>
      </c>
      <c r="H839" s="4">
        <f t="shared" si="51"/>
        <v>0</v>
      </c>
      <c r="I839" s="33">
        <f t="shared" si="52"/>
        <v>1134015.6000000001</v>
      </c>
      <c r="J839" s="33">
        <f t="shared" si="53"/>
        <v>0</v>
      </c>
    </row>
    <row r="840" spans="1:10">
      <c r="A840" s="3">
        <v>10000831</v>
      </c>
      <c r="B840" s="3" t="str">
        <v>Paschim Medinipur</v>
      </c>
      <c r="C840" s="3" t="str">
        <v>Unreinforced Masonry</v>
      </c>
      <c r="D840" s="3">
        <v>2</v>
      </c>
      <c r="E840" s="4">
        <v>5890155</v>
      </c>
      <c r="F840" s="3">
        <f t="shared" si="50"/>
        <v>0</v>
      </c>
      <c r="G840" s="30">
        <f>IF(F840=0, 0, INDEX(tbl_Vulnerability[[0 ft]:[10 ft]], MATCH(Simulation!C840, tbl_Vulnerability[Construction_Class], 0), MATCH(Simulation!F840,{0,1,2,3,5,8,10}, 1)))</f>
        <v>0</v>
      </c>
      <c r="H840" s="4">
        <f t="shared" si="51"/>
        <v>0</v>
      </c>
      <c r="I840" s="33">
        <f t="shared" si="52"/>
        <v>294507.75</v>
      </c>
      <c r="J840" s="33">
        <f t="shared" si="53"/>
        <v>0</v>
      </c>
    </row>
    <row r="841" spans="1:10">
      <c r="A841" s="3">
        <v>10000832</v>
      </c>
      <c r="B841" s="3" t="str">
        <v>Paschim Medinipur</v>
      </c>
      <c r="C841" s="3" t="str">
        <v>Adobe / Light Timber</v>
      </c>
      <c r="D841" s="3">
        <v>1</v>
      </c>
      <c r="E841" s="4">
        <v>590235</v>
      </c>
      <c r="F841" s="3">
        <f t="shared" si="50"/>
        <v>0</v>
      </c>
      <c r="G841" s="30">
        <f>IF(F841=0, 0, INDEX(tbl_Vulnerability[[0 ft]:[10 ft]], MATCH(Simulation!C841, tbl_Vulnerability[Construction_Class], 0), MATCH(Simulation!F841,{0,1,2,3,5,8,10}, 1)))</f>
        <v>0</v>
      </c>
      <c r="H841" s="4">
        <f t="shared" si="51"/>
        <v>0</v>
      </c>
      <c r="I841" s="33">
        <f t="shared" si="52"/>
        <v>29511.75</v>
      </c>
      <c r="J841" s="33">
        <f t="shared" si="53"/>
        <v>0</v>
      </c>
    </row>
    <row r="842" spans="1:10">
      <c r="A842" s="3">
        <v>10000833</v>
      </c>
      <c r="B842" s="3" t="str">
        <v>Malda</v>
      </c>
      <c r="C842" s="3" t="str">
        <v>Unreinforced Masonry</v>
      </c>
      <c r="D842" s="3">
        <v>2</v>
      </c>
      <c r="E842" s="4">
        <v>13796107</v>
      </c>
      <c r="F842" s="3">
        <f t="shared" si="50"/>
        <v>8</v>
      </c>
      <c r="G842" s="30">
        <f>IF(F842=0, 0, INDEX(tbl_Vulnerability[[0 ft]:[10 ft]], MATCH(Simulation!C842, tbl_Vulnerability[Construction_Class], 0), MATCH(Simulation!F842,{0,1,2,3,5,8,10}, 1)))</f>
        <v>0.9</v>
      </c>
      <c r="H842" s="4">
        <f t="shared" si="51"/>
        <v>12416496.300000001</v>
      </c>
      <c r="I842" s="33">
        <f t="shared" si="52"/>
        <v>689805.35000000009</v>
      </c>
      <c r="J842" s="33">
        <f t="shared" si="53"/>
        <v>11726690.950000001</v>
      </c>
    </row>
    <row r="843" spans="1:10">
      <c r="A843" s="3">
        <v>10000834</v>
      </c>
      <c r="B843" s="3" t="str">
        <v>Paschim Medinipur</v>
      </c>
      <c r="C843" s="3" t="str">
        <v>Unreinforced Masonry</v>
      </c>
      <c r="D843" s="3">
        <v>0</v>
      </c>
      <c r="E843" s="4">
        <v>9008143</v>
      </c>
      <c r="F843" s="3">
        <f t="shared" ref="F843:F906" si="54">IF(B843=$B$2, MAX(0, $B$3 - D843), 0)</f>
        <v>0</v>
      </c>
      <c r="G843" s="30">
        <f>IF(F843=0, 0, INDEX(tbl_Vulnerability[[0 ft]:[10 ft]], MATCH(Simulation!C843, tbl_Vulnerability[Construction_Class], 0), MATCH(Simulation!F843,{0,1,2,3,5,8,10}, 1)))</f>
        <v>0</v>
      </c>
      <c r="H843" s="4">
        <f t="shared" ref="H843:H906" si="55">E843*G843</f>
        <v>0</v>
      </c>
      <c r="I843" s="33">
        <f t="shared" ref="I843:I906" si="56">E843*$B$4</f>
        <v>450407.15</v>
      </c>
      <c r="J843" s="33">
        <f t="shared" ref="J843:J906" si="57">MAX(0, H843 - I843)</f>
        <v>0</v>
      </c>
    </row>
    <row r="844" spans="1:10">
      <c r="A844" s="3">
        <v>10000835</v>
      </c>
      <c r="B844" s="3" t="str">
        <v>South 24 Parganas</v>
      </c>
      <c r="C844" s="3" t="str">
        <v>Reinforced Concrete</v>
      </c>
      <c r="D844" s="3">
        <v>5</v>
      </c>
      <c r="E844" s="4">
        <v>59031869</v>
      </c>
      <c r="F844" s="3">
        <f t="shared" si="54"/>
        <v>0</v>
      </c>
      <c r="G844" s="30">
        <f>IF(F844=0, 0, INDEX(tbl_Vulnerability[[0 ft]:[10 ft]], MATCH(Simulation!C844, tbl_Vulnerability[Construction_Class], 0), MATCH(Simulation!F844,{0,1,2,3,5,8,10}, 1)))</f>
        <v>0</v>
      </c>
      <c r="H844" s="4">
        <f t="shared" si="55"/>
        <v>0</v>
      </c>
      <c r="I844" s="33">
        <f t="shared" si="56"/>
        <v>2951593.45</v>
      </c>
      <c r="J844" s="33">
        <f t="shared" si="57"/>
        <v>0</v>
      </c>
    </row>
    <row r="845" spans="1:10">
      <c r="A845" s="3">
        <v>10000836</v>
      </c>
      <c r="B845" s="3" t="str">
        <v>Hooghly</v>
      </c>
      <c r="C845" s="3" t="str">
        <v>Reinforced Concrete</v>
      </c>
      <c r="D845" s="3">
        <v>4</v>
      </c>
      <c r="E845" s="4">
        <v>44047473</v>
      </c>
      <c r="F845" s="3">
        <f t="shared" si="54"/>
        <v>0</v>
      </c>
      <c r="G845" s="30">
        <f>IF(F845=0, 0, INDEX(tbl_Vulnerability[[0 ft]:[10 ft]], MATCH(Simulation!C845, tbl_Vulnerability[Construction_Class], 0), MATCH(Simulation!F845,{0,1,2,3,5,8,10}, 1)))</f>
        <v>0</v>
      </c>
      <c r="H845" s="4">
        <f t="shared" si="55"/>
        <v>0</v>
      </c>
      <c r="I845" s="33">
        <f t="shared" si="56"/>
        <v>2202373.65</v>
      </c>
      <c r="J845" s="33">
        <f t="shared" si="57"/>
        <v>0</v>
      </c>
    </row>
    <row r="846" spans="1:10">
      <c r="A846" s="3">
        <v>10000837</v>
      </c>
      <c r="B846" s="3" t="str">
        <v>Malda</v>
      </c>
      <c r="C846" s="3" t="str">
        <v>Reinforced Concrete</v>
      </c>
      <c r="D846" s="3">
        <v>3</v>
      </c>
      <c r="E846" s="4">
        <v>62803731</v>
      </c>
      <c r="F846" s="3">
        <f t="shared" si="54"/>
        <v>7</v>
      </c>
      <c r="G846" s="30">
        <f>IF(F846=0, 0, INDEX(tbl_Vulnerability[[0 ft]:[10 ft]], MATCH(Simulation!C846, tbl_Vulnerability[Construction_Class], 0), MATCH(Simulation!F846,{0,1,2,3,5,8,10}, 1)))</f>
        <v>0.2</v>
      </c>
      <c r="H846" s="4">
        <f t="shared" si="55"/>
        <v>12560746.200000001</v>
      </c>
      <c r="I846" s="33">
        <f t="shared" si="56"/>
        <v>3140186.5500000003</v>
      </c>
      <c r="J846" s="33">
        <f t="shared" si="57"/>
        <v>9420559.6500000004</v>
      </c>
    </row>
    <row r="847" spans="1:10">
      <c r="A847" s="3">
        <v>10000838</v>
      </c>
      <c r="B847" s="3" t="str">
        <v>Paschim Medinipur</v>
      </c>
      <c r="C847" s="3" t="str">
        <v>Reinforced Concrete</v>
      </c>
      <c r="D847" s="3">
        <v>3</v>
      </c>
      <c r="E847" s="4">
        <v>49977108</v>
      </c>
      <c r="F847" s="3">
        <f t="shared" si="54"/>
        <v>0</v>
      </c>
      <c r="G847" s="30">
        <f>IF(F847=0, 0, INDEX(tbl_Vulnerability[[0 ft]:[10 ft]], MATCH(Simulation!C847, tbl_Vulnerability[Construction_Class], 0), MATCH(Simulation!F847,{0,1,2,3,5,8,10}, 1)))</f>
        <v>0</v>
      </c>
      <c r="H847" s="4">
        <f t="shared" si="55"/>
        <v>0</v>
      </c>
      <c r="I847" s="33">
        <f t="shared" si="56"/>
        <v>2498855.4</v>
      </c>
      <c r="J847" s="33">
        <f t="shared" si="57"/>
        <v>0</v>
      </c>
    </row>
    <row r="848" spans="1:10">
      <c r="A848" s="3">
        <v>10000839</v>
      </c>
      <c r="B848" s="3" t="str">
        <v>Hooghly</v>
      </c>
      <c r="C848" s="3" t="str">
        <v>Reinforced Concrete</v>
      </c>
      <c r="D848" s="3">
        <v>5</v>
      </c>
      <c r="E848" s="4">
        <v>37135186</v>
      </c>
      <c r="F848" s="3">
        <f t="shared" si="54"/>
        <v>0</v>
      </c>
      <c r="G848" s="30">
        <f>IF(F848=0, 0, INDEX(tbl_Vulnerability[[0 ft]:[10 ft]], MATCH(Simulation!C848, tbl_Vulnerability[Construction_Class], 0), MATCH(Simulation!F848,{0,1,2,3,5,8,10}, 1)))</f>
        <v>0</v>
      </c>
      <c r="H848" s="4">
        <f t="shared" si="55"/>
        <v>0</v>
      </c>
      <c r="I848" s="33">
        <f t="shared" si="56"/>
        <v>1856759.3</v>
      </c>
      <c r="J848" s="33">
        <f t="shared" si="57"/>
        <v>0</v>
      </c>
    </row>
    <row r="849" spans="1:10">
      <c r="A849" s="3">
        <v>10000840</v>
      </c>
      <c r="B849" s="3" t="str">
        <v>South 24 Parganas</v>
      </c>
      <c r="C849" s="3" t="str">
        <v>Reinforced Concrete</v>
      </c>
      <c r="D849" s="3">
        <v>5</v>
      </c>
      <c r="E849" s="4">
        <v>64846344</v>
      </c>
      <c r="F849" s="3">
        <f t="shared" si="54"/>
        <v>0</v>
      </c>
      <c r="G849" s="30">
        <f>IF(F849=0, 0, INDEX(tbl_Vulnerability[[0 ft]:[10 ft]], MATCH(Simulation!C849, tbl_Vulnerability[Construction_Class], 0), MATCH(Simulation!F849,{0,1,2,3,5,8,10}, 1)))</f>
        <v>0</v>
      </c>
      <c r="H849" s="4">
        <f t="shared" si="55"/>
        <v>0</v>
      </c>
      <c r="I849" s="33">
        <f t="shared" si="56"/>
        <v>3242317.2</v>
      </c>
      <c r="J849" s="33">
        <f t="shared" si="57"/>
        <v>0</v>
      </c>
    </row>
    <row r="850" spans="1:10">
      <c r="A850" s="3">
        <v>10000841</v>
      </c>
      <c r="B850" s="3" t="str">
        <v>South 24 Parganas</v>
      </c>
      <c r="C850" s="3" t="str">
        <v>Reinforced Concrete</v>
      </c>
      <c r="D850" s="3">
        <v>4</v>
      </c>
      <c r="E850" s="4">
        <v>56671593</v>
      </c>
      <c r="F850" s="3">
        <f t="shared" si="54"/>
        <v>0</v>
      </c>
      <c r="G850" s="30">
        <f>IF(F850=0, 0, INDEX(tbl_Vulnerability[[0 ft]:[10 ft]], MATCH(Simulation!C850, tbl_Vulnerability[Construction_Class], 0), MATCH(Simulation!F850,{0,1,2,3,5,8,10}, 1)))</f>
        <v>0</v>
      </c>
      <c r="H850" s="4">
        <f t="shared" si="55"/>
        <v>0</v>
      </c>
      <c r="I850" s="33">
        <f t="shared" si="56"/>
        <v>2833579.6500000004</v>
      </c>
      <c r="J850" s="33">
        <f t="shared" si="57"/>
        <v>0</v>
      </c>
    </row>
    <row r="851" spans="1:10">
      <c r="A851" s="3">
        <v>10000842</v>
      </c>
      <c r="B851" s="3" t="str">
        <v>South 24 Parganas</v>
      </c>
      <c r="C851" s="3" t="str">
        <v>Adobe / Light Timber</v>
      </c>
      <c r="D851" s="3">
        <v>1</v>
      </c>
      <c r="E851" s="4">
        <v>423763</v>
      </c>
      <c r="F851" s="3">
        <f t="shared" si="54"/>
        <v>0</v>
      </c>
      <c r="G851" s="30">
        <f>IF(F851=0, 0, INDEX(tbl_Vulnerability[[0 ft]:[10 ft]], MATCH(Simulation!C851, tbl_Vulnerability[Construction_Class], 0), MATCH(Simulation!F851,{0,1,2,3,5,8,10}, 1)))</f>
        <v>0</v>
      </c>
      <c r="H851" s="4">
        <f t="shared" si="55"/>
        <v>0</v>
      </c>
      <c r="I851" s="33">
        <f t="shared" si="56"/>
        <v>21188.15</v>
      </c>
      <c r="J851" s="33">
        <f t="shared" si="57"/>
        <v>0</v>
      </c>
    </row>
    <row r="852" spans="1:10">
      <c r="A852" s="3">
        <v>10000843</v>
      </c>
      <c r="B852" s="3" t="str">
        <v>Paschim Medinipur</v>
      </c>
      <c r="C852" s="3" t="str">
        <v>Reinforced Concrete</v>
      </c>
      <c r="D852" s="3">
        <v>5</v>
      </c>
      <c r="E852" s="4">
        <v>57156930</v>
      </c>
      <c r="F852" s="3">
        <f t="shared" si="54"/>
        <v>0</v>
      </c>
      <c r="G852" s="30">
        <f>IF(F852=0, 0, INDEX(tbl_Vulnerability[[0 ft]:[10 ft]], MATCH(Simulation!C852, tbl_Vulnerability[Construction_Class], 0), MATCH(Simulation!F852,{0,1,2,3,5,8,10}, 1)))</f>
        <v>0</v>
      </c>
      <c r="H852" s="4">
        <f t="shared" si="55"/>
        <v>0</v>
      </c>
      <c r="I852" s="33">
        <f t="shared" si="56"/>
        <v>2857846.5</v>
      </c>
      <c r="J852" s="33">
        <f t="shared" si="57"/>
        <v>0</v>
      </c>
    </row>
    <row r="853" spans="1:10">
      <c r="A853" s="3">
        <v>10000844</v>
      </c>
      <c r="B853" s="3" t="str">
        <v>South 24 Parganas</v>
      </c>
      <c r="C853" s="3" t="str">
        <v>Reinforced Concrete</v>
      </c>
      <c r="D853" s="3">
        <v>5</v>
      </c>
      <c r="E853" s="4">
        <v>48477854</v>
      </c>
      <c r="F853" s="3">
        <f t="shared" si="54"/>
        <v>0</v>
      </c>
      <c r="G853" s="30">
        <f>IF(F853=0, 0, INDEX(tbl_Vulnerability[[0 ft]:[10 ft]], MATCH(Simulation!C853, tbl_Vulnerability[Construction_Class], 0), MATCH(Simulation!F853,{0,1,2,3,5,8,10}, 1)))</f>
        <v>0</v>
      </c>
      <c r="H853" s="4">
        <f t="shared" si="55"/>
        <v>0</v>
      </c>
      <c r="I853" s="33">
        <f t="shared" si="56"/>
        <v>2423892.7000000002</v>
      </c>
      <c r="J853" s="33">
        <f t="shared" si="57"/>
        <v>0</v>
      </c>
    </row>
    <row r="854" spans="1:10">
      <c r="A854" s="3">
        <v>10000845</v>
      </c>
      <c r="B854" s="3" t="str">
        <v>Jalpaiguri</v>
      </c>
      <c r="C854" s="3" t="str">
        <v>Reinforced Concrete</v>
      </c>
      <c r="D854" s="3">
        <v>5</v>
      </c>
      <c r="E854" s="4">
        <v>15331407</v>
      </c>
      <c r="F854" s="3">
        <f t="shared" si="54"/>
        <v>0</v>
      </c>
      <c r="G854" s="30">
        <f>IF(F854=0, 0, INDEX(tbl_Vulnerability[[0 ft]:[10 ft]], MATCH(Simulation!C854, tbl_Vulnerability[Construction_Class], 0), MATCH(Simulation!F854,{0,1,2,3,5,8,10}, 1)))</f>
        <v>0</v>
      </c>
      <c r="H854" s="4">
        <f t="shared" si="55"/>
        <v>0</v>
      </c>
      <c r="I854" s="33">
        <f t="shared" si="56"/>
        <v>766570.35000000009</v>
      </c>
      <c r="J854" s="33">
        <f t="shared" si="57"/>
        <v>0</v>
      </c>
    </row>
    <row r="855" spans="1:10">
      <c r="A855" s="3">
        <v>10000846</v>
      </c>
      <c r="B855" s="3" t="str">
        <v>Hooghly</v>
      </c>
      <c r="C855" s="3" t="str">
        <v>Reinforced Concrete</v>
      </c>
      <c r="D855" s="3">
        <v>4</v>
      </c>
      <c r="E855" s="4">
        <v>38600742</v>
      </c>
      <c r="F855" s="3">
        <f t="shared" si="54"/>
        <v>0</v>
      </c>
      <c r="G855" s="30">
        <f>IF(F855=0, 0, INDEX(tbl_Vulnerability[[0 ft]:[10 ft]], MATCH(Simulation!C855, tbl_Vulnerability[Construction_Class], 0), MATCH(Simulation!F855,{0,1,2,3,5,8,10}, 1)))</f>
        <v>0</v>
      </c>
      <c r="H855" s="4">
        <f t="shared" si="55"/>
        <v>0</v>
      </c>
      <c r="I855" s="33">
        <f t="shared" si="56"/>
        <v>1930037.1</v>
      </c>
      <c r="J855" s="33">
        <f t="shared" si="57"/>
        <v>0</v>
      </c>
    </row>
    <row r="856" spans="1:10">
      <c r="A856" s="3">
        <v>10000847</v>
      </c>
      <c r="B856" s="3" t="str">
        <v>Hooghly</v>
      </c>
      <c r="C856" s="3" t="str">
        <v>Adobe / Light Timber</v>
      </c>
      <c r="D856" s="3">
        <v>1</v>
      </c>
      <c r="E856" s="4">
        <v>509049</v>
      </c>
      <c r="F856" s="3">
        <f t="shared" si="54"/>
        <v>0</v>
      </c>
      <c r="G856" s="30">
        <f>IF(F856=0, 0, INDEX(tbl_Vulnerability[[0 ft]:[10 ft]], MATCH(Simulation!C856, tbl_Vulnerability[Construction_Class], 0), MATCH(Simulation!F856,{0,1,2,3,5,8,10}, 1)))</f>
        <v>0</v>
      </c>
      <c r="H856" s="4">
        <f t="shared" si="55"/>
        <v>0</v>
      </c>
      <c r="I856" s="33">
        <f t="shared" si="56"/>
        <v>25452.45</v>
      </c>
      <c r="J856" s="33">
        <f t="shared" si="57"/>
        <v>0</v>
      </c>
    </row>
    <row r="857" spans="1:10">
      <c r="A857" s="3">
        <v>10000848</v>
      </c>
      <c r="B857" s="3" t="str">
        <v>South 24 Parganas</v>
      </c>
      <c r="C857" s="3" t="str">
        <v>Reinforced Concrete</v>
      </c>
      <c r="D857" s="3">
        <v>3</v>
      </c>
      <c r="E857" s="4">
        <v>46893811</v>
      </c>
      <c r="F857" s="3">
        <f t="shared" si="54"/>
        <v>0</v>
      </c>
      <c r="G857" s="30">
        <f>IF(F857=0, 0, INDEX(tbl_Vulnerability[[0 ft]:[10 ft]], MATCH(Simulation!C857, tbl_Vulnerability[Construction_Class], 0), MATCH(Simulation!F857,{0,1,2,3,5,8,10}, 1)))</f>
        <v>0</v>
      </c>
      <c r="H857" s="4">
        <f t="shared" si="55"/>
        <v>0</v>
      </c>
      <c r="I857" s="33">
        <f t="shared" si="56"/>
        <v>2344690.5500000003</v>
      </c>
      <c r="J857" s="33">
        <f t="shared" si="57"/>
        <v>0</v>
      </c>
    </row>
    <row r="858" spans="1:10">
      <c r="A858" s="3">
        <v>10000849</v>
      </c>
      <c r="B858" s="3" t="str">
        <v>Jalpaiguri</v>
      </c>
      <c r="C858" s="3" t="str">
        <v>Reinforced Concrete</v>
      </c>
      <c r="D858" s="3">
        <v>5</v>
      </c>
      <c r="E858" s="4">
        <v>41858154</v>
      </c>
      <c r="F858" s="3">
        <f t="shared" si="54"/>
        <v>0</v>
      </c>
      <c r="G858" s="30">
        <f>IF(F858=0, 0, INDEX(tbl_Vulnerability[[0 ft]:[10 ft]], MATCH(Simulation!C858, tbl_Vulnerability[Construction_Class], 0), MATCH(Simulation!F858,{0,1,2,3,5,8,10}, 1)))</f>
        <v>0</v>
      </c>
      <c r="H858" s="4">
        <f t="shared" si="55"/>
        <v>0</v>
      </c>
      <c r="I858" s="33">
        <f t="shared" si="56"/>
        <v>2092907.7000000002</v>
      </c>
      <c r="J858" s="33">
        <f t="shared" si="57"/>
        <v>0</v>
      </c>
    </row>
    <row r="859" spans="1:10">
      <c r="A859" s="3">
        <v>10000850</v>
      </c>
      <c r="B859" s="3" t="str">
        <v>Kolkata</v>
      </c>
      <c r="C859" s="3" t="str">
        <v>Reinforced Concrete</v>
      </c>
      <c r="D859" s="3">
        <v>5</v>
      </c>
      <c r="E859" s="4">
        <v>61537067</v>
      </c>
      <c r="F859" s="3">
        <f t="shared" si="54"/>
        <v>0</v>
      </c>
      <c r="G859" s="30">
        <f>IF(F859=0, 0, INDEX(tbl_Vulnerability[[0 ft]:[10 ft]], MATCH(Simulation!C859, tbl_Vulnerability[Construction_Class], 0), MATCH(Simulation!F859,{0,1,2,3,5,8,10}, 1)))</f>
        <v>0</v>
      </c>
      <c r="H859" s="4">
        <f t="shared" si="55"/>
        <v>0</v>
      </c>
      <c r="I859" s="33">
        <f t="shared" si="56"/>
        <v>3076853.35</v>
      </c>
      <c r="J859" s="33">
        <f t="shared" si="57"/>
        <v>0</v>
      </c>
    </row>
    <row r="860" spans="1:10">
      <c r="A860" s="3">
        <v>10000851</v>
      </c>
      <c r="B860" s="3" t="str">
        <v>Hooghly</v>
      </c>
      <c r="C860" s="3" t="str">
        <v>Reinforced Concrete</v>
      </c>
      <c r="D860" s="3">
        <v>4</v>
      </c>
      <c r="E860" s="4">
        <v>9105125</v>
      </c>
      <c r="F860" s="3">
        <f t="shared" si="54"/>
        <v>0</v>
      </c>
      <c r="G860" s="30">
        <f>IF(F860=0, 0, INDEX(tbl_Vulnerability[[0 ft]:[10 ft]], MATCH(Simulation!C860, tbl_Vulnerability[Construction_Class], 0), MATCH(Simulation!F860,{0,1,2,3,5,8,10}, 1)))</f>
        <v>0</v>
      </c>
      <c r="H860" s="4">
        <f t="shared" si="55"/>
        <v>0</v>
      </c>
      <c r="I860" s="33">
        <f t="shared" si="56"/>
        <v>455256.25</v>
      </c>
      <c r="J860" s="33">
        <f t="shared" si="57"/>
        <v>0</v>
      </c>
    </row>
    <row r="861" spans="1:10">
      <c r="A861" s="3">
        <v>10000852</v>
      </c>
      <c r="B861" s="3" t="str">
        <v>Kolkata</v>
      </c>
      <c r="C861" s="3" t="str">
        <v>Reinforced Concrete</v>
      </c>
      <c r="D861" s="3">
        <v>5</v>
      </c>
      <c r="E861" s="4">
        <v>15147126</v>
      </c>
      <c r="F861" s="3">
        <f t="shared" si="54"/>
        <v>0</v>
      </c>
      <c r="G861" s="30">
        <f>IF(F861=0, 0, INDEX(tbl_Vulnerability[[0 ft]:[10 ft]], MATCH(Simulation!C861, tbl_Vulnerability[Construction_Class], 0), MATCH(Simulation!F861,{0,1,2,3,5,8,10}, 1)))</f>
        <v>0</v>
      </c>
      <c r="H861" s="4">
        <f t="shared" si="55"/>
        <v>0</v>
      </c>
      <c r="I861" s="33">
        <f t="shared" si="56"/>
        <v>757356.3</v>
      </c>
      <c r="J861" s="33">
        <f t="shared" si="57"/>
        <v>0</v>
      </c>
    </row>
    <row r="862" spans="1:10">
      <c r="A862" s="3">
        <v>10000853</v>
      </c>
      <c r="B862" s="3" t="str">
        <v>Malda</v>
      </c>
      <c r="C862" s="3" t="str">
        <v>Reinforced Concrete</v>
      </c>
      <c r="D862" s="3">
        <v>5</v>
      </c>
      <c r="E862" s="4">
        <v>55083142</v>
      </c>
      <c r="F862" s="3">
        <f t="shared" si="54"/>
        <v>5</v>
      </c>
      <c r="G862" s="30">
        <f>IF(F862=0, 0, INDEX(tbl_Vulnerability[[0 ft]:[10 ft]], MATCH(Simulation!C862, tbl_Vulnerability[Construction_Class], 0), MATCH(Simulation!F862,{0,1,2,3,5,8,10}, 1)))</f>
        <v>0.2</v>
      </c>
      <c r="H862" s="4">
        <f t="shared" si="55"/>
        <v>11016628.4</v>
      </c>
      <c r="I862" s="33">
        <f t="shared" si="56"/>
        <v>2754157.1</v>
      </c>
      <c r="J862" s="33">
        <f t="shared" si="57"/>
        <v>8262471.3000000007</v>
      </c>
    </row>
    <row r="863" spans="1:10">
      <c r="A863" s="3">
        <v>10000854</v>
      </c>
      <c r="B863" s="3" t="str">
        <v>Jalpaiguri</v>
      </c>
      <c r="C863" s="3" t="str">
        <v>Unreinforced Masonry</v>
      </c>
      <c r="D863" s="3">
        <v>0</v>
      </c>
      <c r="E863" s="4">
        <v>17163779</v>
      </c>
      <c r="F863" s="3">
        <f t="shared" si="54"/>
        <v>0</v>
      </c>
      <c r="G863" s="30">
        <f>IF(F863=0, 0, INDEX(tbl_Vulnerability[[0 ft]:[10 ft]], MATCH(Simulation!C863, tbl_Vulnerability[Construction_Class], 0), MATCH(Simulation!F863,{0,1,2,3,5,8,10}, 1)))</f>
        <v>0</v>
      </c>
      <c r="H863" s="4">
        <f t="shared" si="55"/>
        <v>0</v>
      </c>
      <c r="I863" s="33">
        <f t="shared" si="56"/>
        <v>858188.95000000007</v>
      </c>
      <c r="J863" s="33">
        <f t="shared" si="57"/>
        <v>0</v>
      </c>
    </row>
    <row r="864" spans="1:10">
      <c r="A864" s="3">
        <v>10000855</v>
      </c>
      <c r="B864" s="3" t="str">
        <v>Malda</v>
      </c>
      <c r="C864" s="3" t="str">
        <v>Unreinforced Masonry</v>
      </c>
      <c r="D864" s="3">
        <v>1</v>
      </c>
      <c r="E864" s="4">
        <v>2177612</v>
      </c>
      <c r="F864" s="3">
        <f t="shared" si="54"/>
        <v>9</v>
      </c>
      <c r="G864" s="30">
        <f>IF(F864=0, 0, INDEX(tbl_Vulnerability[[0 ft]:[10 ft]], MATCH(Simulation!C864, tbl_Vulnerability[Construction_Class], 0), MATCH(Simulation!F864,{0,1,2,3,5,8,10}, 1)))</f>
        <v>0.9</v>
      </c>
      <c r="H864" s="4">
        <f t="shared" si="55"/>
        <v>1959850.8</v>
      </c>
      <c r="I864" s="33">
        <f t="shared" si="56"/>
        <v>108880.6</v>
      </c>
      <c r="J864" s="33">
        <f t="shared" si="57"/>
        <v>1850970.2</v>
      </c>
    </row>
    <row r="865" spans="1:10">
      <c r="A865" s="3">
        <v>10000856</v>
      </c>
      <c r="B865" s="3" t="str">
        <v>Jalpaiguri</v>
      </c>
      <c r="C865" s="3" t="str">
        <v>Unreinforced Masonry</v>
      </c>
      <c r="D865" s="3">
        <v>0</v>
      </c>
      <c r="E865" s="4">
        <v>28019999</v>
      </c>
      <c r="F865" s="3">
        <f t="shared" si="54"/>
        <v>0</v>
      </c>
      <c r="G865" s="30">
        <f>IF(F865=0, 0, INDEX(tbl_Vulnerability[[0 ft]:[10 ft]], MATCH(Simulation!C865, tbl_Vulnerability[Construction_Class], 0), MATCH(Simulation!F865,{0,1,2,3,5,8,10}, 1)))</f>
        <v>0</v>
      </c>
      <c r="H865" s="4">
        <f t="shared" si="55"/>
        <v>0</v>
      </c>
      <c r="I865" s="33">
        <f t="shared" si="56"/>
        <v>1400999.9500000002</v>
      </c>
      <c r="J865" s="33">
        <f t="shared" si="57"/>
        <v>0</v>
      </c>
    </row>
    <row r="866" spans="1:10">
      <c r="A866" s="3">
        <v>10000857</v>
      </c>
      <c r="B866" s="3" t="str">
        <v>Malda</v>
      </c>
      <c r="C866" s="3" t="str">
        <v>Reinforced Concrete</v>
      </c>
      <c r="D866" s="3">
        <v>5</v>
      </c>
      <c r="E866" s="4">
        <v>4905266</v>
      </c>
      <c r="F866" s="3">
        <f t="shared" si="54"/>
        <v>5</v>
      </c>
      <c r="G866" s="30">
        <f>IF(F866=0, 0, INDEX(tbl_Vulnerability[[0 ft]:[10 ft]], MATCH(Simulation!C866, tbl_Vulnerability[Construction_Class], 0), MATCH(Simulation!F866,{0,1,2,3,5,8,10}, 1)))</f>
        <v>0.2</v>
      </c>
      <c r="H866" s="4">
        <f t="shared" si="55"/>
        <v>981053.20000000007</v>
      </c>
      <c r="I866" s="33">
        <f t="shared" si="56"/>
        <v>245263.30000000002</v>
      </c>
      <c r="J866" s="33">
        <f t="shared" si="57"/>
        <v>735789.9</v>
      </c>
    </row>
    <row r="867" spans="1:10">
      <c r="A867" s="3">
        <v>10000858</v>
      </c>
      <c r="B867" s="3" t="str">
        <v>South 24 Parganas</v>
      </c>
      <c r="C867" s="3" t="str">
        <v>Reinforced Concrete</v>
      </c>
      <c r="D867" s="3">
        <v>5</v>
      </c>
      <c r="E867" s="4">
        <v>58588494</v>
      </c>
      <c r="F867" s="3">
        <f t="shared" si="54"/>
        <v>0</v>
      </c>
      <c r="G867" s="30">
        <f>IF(F867=0, 0, INDEX(tbl_Vulnerability[[0 ft]:[10 ft]], MATCH(Simulation!C867, tbl_Vulnerability[Construction_Class], 0), MATCH(Simulation!F867,{0,1,2,3,5,8,10}, 1)))</f>
        <v>0</v>
      </c>
      <c r="H867" s="4">
        <f t="shared" si="55"/>
        <v>0</v>
      </c>
      <c r="I867" s="33">
        <f t="shared" si="56"/>
        <v>2929424.7</v>
      </c>
      <c r="J867" s="33">
        <f t="shared" si="57"/>
        <v>0</v>
      </c>
    </row>
    <row r="868" spans="1:10">
      <c r="A868" s="3">
        <v>10000859</v>
      </c>
      <c r="B868" s="3" t="str">
        <v>Jalpaiguri</v>
      </c>
      <c r="C868" s="3" t="str">
        <v>Reinforced Concrete</v>
      </c>
      <c r="D868" s="3">
        <v>3</v>
      </c>
      <c r="E868" s="4">
        <v>53351860</v>
      </c>
      <c r="F868" s="3">
        <f t="shared" si="54"/>
        <v>0</v>
      </c>
      <c r="G868" s="30">
        <f>IF(F868=0, 0, INDEX(tbl_Vulnerability[[0 ft]:[10 ft]], MATCH(Simulation!C868, tbl_Vulnerability[Construction_Class], 0), MATCH(Simulation!F868,{0,1,2,3,5,8,10}, 1)))</f>
        <v>0</v>
      </c>
      <c r="H868" s="4">
        <f t="shared" si="55"/>
        <v>0</v>
      </c>
      <c r="I868" s="33">
        <f t="shared" si="56"/>
        <v>2667593</v>
      </c>
      <c r="J868" s="33">
        <f t="shared" si="57"/>
        <v>0</v>
      </c>
    </row>
    <row r="869" spans="1:10">
      <c r="A869" s="3">
        <v>10000860</v>
      </c>
      <c r="B869" s="3" t="str">
        <v>South 24 Parganas</v>
      </c>
      <c r="C869" s="3" t="str">
        <v>Adobe / Light Timber</v>
      </c>
      <c r="D869" s="3">
        <v>1</v>
      </c>
      <c r="E869" s="4">
        <v>444958</v>
      </c>
      <c r="F869" s="3">
        <f t="shared" si="54"/>
        <v>0</v>
      </c>
      <c r="G869" s="30">
        <f>IF(F869=0, 0, INDEX(tbl_Vulnerability[[0 ft]:[10 ft]], MATCH(Simulation!C869, tbl_Vulnerability[Construction_Class], 0), MATCH(Simulation!F869,{0,1,2,3,5,8,10}, 1)))</f>
        <v>0</v>
      </c>
      <c r="H869" s="4">
        <f t="shared" si="55"/>
        <v>0</v>
      </c>
      <c r="I869" s="33">
        <f t="shared" si="56"/>
        <v>22247.9</v>
      </c>
      <c r="J869" s="33">
        <f t="shared" si="57"/>
        <v>0</v>
      </c>
    </row>
    <row r="870" spans="1:10">
      <c r="A870" s="3">
        <v>10000861</v>
      </c>
      <c r="B870" s="3" t="str">
        <v>Paschim Medinipur</v>
      </c>
      <c r="C870" s="3" t="str">
        <v>Reinforced Concrete</v>
      </c>
      <c r="D870" s="3">
        <v>3</v>
      </c>
      <c r="E870" s="4">
        <v>4434217</v>
      </c>
      <c r="F870" s="3">
        <f t="shared" si="54"/>
        <v>0</v>
      </c>
      <c r="G870" s="30">
        <f>IF(F870=0, 0, INDEX(tbl_Vulnerability[[0 ft]:[10 ft]], MATCH(Simulation!C870, tbl_Vulnerability[Construction_Class], 0), MATCH(Simulation!F870,{0,1,2,3,5,8,10}, 1)))</f>
        <v>0</v>
      </c>
      <c r="H870" s="4">
        <f t="shared" si="55"/>
        <v>0</v>
      </c>
      <c r="I870" s="33">
        <f t="shared" si="56"/>
        <v>221710.85</v>
      </c>
      <c r="J870" s="33">
        <f t="shared" si="57"/>
        <v>0</v>
      </c>
    </row>
    <row r="871" spans="1:10">
      <c r="A871" s="3">
        <v>10000862</v>
      </c>
      <c r="B871" s="3" t="str">
        <v>Malda</v>
      </c>
      <c r="C871" s="3" t="str">
        <v>Reinforced Concrete</v>
      </c>
      <c r="D871" s="3">
        <v>5</v>
      </c>
      <c r="E871" s="4">
        <v>47503112</v>
      </c>
      <c r="F871" s="3">
        <f t="shared" si="54"/>
        <v>5</v>
      </c>
      <c r="G871" s="30">
        <f>IF(F871=0, 0, INDEX(tbl_Vulnerability[[0 ft]:[10 ft]], MATCH(Simulation!C871, tbl_Vulnerability[Construction_Class], 0), MATCH(Simulation!F871,{0,1,2,3,5,8,10}, 1)))</f>
        <v>0.2</v>
      </c>
      <c r="H871" s="4">
        <f t="shared" si="55"/>
        <v>9500622.4000000004</v>
      </c>
      <c r="I871" s="33">
        <f t="shared" si="56"/>
        <v>2375155.6</v>
      </c>
      <c r="J871" s="33">
        <f t="shared" si="57"/>
        <v>7125466.8000000007</v>
      </c>
    </row>
    <row r="872" spans="1:10">
      <c r="A872" s="3">
        <v>10000863</v>
      </c>
      <c r="B872" s="3" t="str">
        <v>South 24 Parganas</v>
      </c>
      <c r="C872" s="3" t="str">
        <v>Reinforced Concrete</v>
      </c>
      <c r="D872" s="3">
        <v>5</v>
      </c>
      <c r="E872" s="4">
        <v>31483200</v>
      </c>
      <c r="F872" s="3">
        <f t="shared" si="54"/>
        <v>0</v>
      </c>
      <c r="G872" s="30">
        <f>IF(F872=0, 0, INDEX(tbl_Vulnerability[[0 ft]:[10 ft]], MATCH(Simulation!C872, tbl_Vulnerability[Construction_Class], 0), MATCH(Simulation!F872,{0,1,2,3,5,8,10}, 1)))</f>
        <v>0</v>
      </c>
      <c r="H872" s="4">
        <f t="shared" si="55"/>
        <v>0</v>
      </c>
      <c r="I872" s="33">
        <f t="shared" si="56"/>
        <v>1574160</v>
      </c>
      <c r="J872" s="33">
        <f t="shared" si="57"/>
        <v>0</v>
      </c>
    </row>
    <row r="873" spans="1:10">
      <c r="A873" s="3">
        <v>10000864</v>
      </c>
      <c r="B873" s="3" t="str">
        <v>Malda</v>
      </c>
      <c r="C873" s="3" t="str">
        <v>Adobe / Light Timber</v>
      </c>
      <c r="D873" s="3">
        <v>2</v>
      </c>
      <c r="E873" s="4">
        <v>465914</v>
      </c>
      <c r="F873" s="3">
        <f t="shared" si="54"/>
        <v>8</v>
      </c>
      <c r="G873" s="30">
        <f>IF(F873=0, 0, INDEX(tbl_Vulnerability[[0 ft]:[10 ft]], MATCH(Simulation!C873, tbl_Vulnerability[Construction_Class], 0), MATCH(Simulation!F873,{0,1,2,3,5,8,10}, 1)))</f>
        <v>1</v>
      </c>
      <c r="H873" s="4">
        <f t="shared" si="55"/>
        <v>465914</v>
      </c>
      <c r="I873" s="33">
        <f t="shared" si="56"/>
        <v>23295.7</v>
      </c>
      <c r="J873" s="33">
        <f t="shared" si="57"/>
        <v>442618.3</v>
      </c>
    </row>
    <row r="874" spans="1:10">
      <c r="A874" s="3">
        <v>10000865</v>
      </c>
      <c r="B874" s="3" t="str">
        <v>Paschim Medinipur</v>
      </c>
      <c r="C874" s="3" t="str">
        <v>Reinforced Concrete</v>
      </c>
      <c r="D874" s="3">
        <v>4</v>
      </c>
      <c r="E874" s="4">
        <v>52463723</v>
      </c>
      <c r="F874" s="3">
        <f t="shared" si="54"/>
        <v>0</v>
      </c>
      <c r="G874" s="30">
        <f>IF(F874=0, 0, INDEX(tbl_Vulnerability[[0 ft]:[10 ft]], MATCH(Simulation!C874, tbl_Vulnerability[Construction_Class], 0), MATCH(Simulation!F874,{0,1,2,3,5,8,10}, 1)))</f>
        <v>0</v>
      </c>
      <c r="H874" s="4">
        <f t="shared" si="55"/>
        <v>0</v>
      </c>
      <c r="I874" s="33">
        <f t="shared" si="56"/>
        <v>2623186.1500000004</v>
      </c>
      <c r="J874" s="33">
        <f t="shared" si="57"/>
        <v>0</v>
      </c>
    </row>
    <row r="875" spans="1:10">
      <c r="A875" s="3">
        <v>10000866</v>
      </c>
      <c r="B875" s="3" t="str">
        <v>Kolkata</v>
      </c>
      <c r="C875" s="3" t="str">
        <v>Reinforced Concrete</v>
      </c>
      <c r="D875" s="3">
        <v>5</v>
      </c>
      <c r="E875" s="4">
        <v>16315590</v>
      </c>
      <c r="F875" s="3">
        <f t="shared" si="54"/>
        <v>0</v>
      </c>
      <c r="G875" s="30">
        <f>IF(F875=0, 0, INDEX(tbl_Vulnerability[[0 ft]:[10 ft]], MATCH(Simulation!C875, tbl_Vulnerability[Construction_Class], 0), MATCH(Simulation!F875,{0,1,2,3,5,8,10}, 1)))</f>
        <v>0</v>
      </c>
      <c r="H875" s="4">
        <f t="shared" si="55"/>
        <v>0</v>
      </c>
      <c r="I875" s="33">
        <f t="shared" si="56"/>
        <v>815779.5</v>
      </c>
      <c r="J875" s="33">
        <f t="shared" si="57"/>
        <v>0</v>
      </c>
    </row>
    <row r="876" spans="1:10">
      <c r="A876" s="3">
        <v>10000867</v>
      </c>
      <c r="B876" s="3" t="str">
        <v>Kolkata</v>
      </c>
      <c r="C876" s="3" t="str">
        <v>Unreinforced Masonry</v>
      </c>
      <c r="D876" s="3">
        <v>0</v>
      </c>
      <c r="E876" s="4">
        <v>1770731</v>
      </c>
      <c r="F876" s="3">
        <f t="shared" si="54"/>
        <v>0</v>
      </c>
      <c r="G876" s="30">
        <f>IF(F876=0, 0, INDEX(tbl_Vulnerability[[0 ft]:[10 ft]], MATCH(Simulation!C876, tbl_Vulnerability[Construction_Class], 0), MATCH(Simulation!F876,{0,1,2,3,5,8,10}, 1)))</f>
        <v>0</v>
      </c>
      <c r="H876" s="4">
        <f t="shared" si="55"/>
        <v>0</v>
      </c>
      <c r="I876" s="33">
        <f t="shared" si="56"/>
        <v>88536.55</v>
      </c>
      <c r="J876" s="33">
        <f t="shared" si="57"/>
        <v>0</v>
      </c>
    </row>
    <row r="877" spans="1:10">
      <c r="A877" s="3">
        <v>10000868</v>
      </c>
      <c r="B877" s="3" t="str">
        <v>Kolkata</v>
      </c>
      <c r="C877" s="3" t="str">
        <v>Adobe / Light Timber</v>
      </c>
      <c r="D877" s="3">
        <v>2</v>
      </c>
      <c r="E877" s="4">
        <v>378192</v>
      </c>
      <c r="F877" s="3">
        <f t="shared" si="54"/>
        <v>0</v>
      </c>
      <c r="G877" s="30">
        <f>IF(F877=0, 0, INDEX(tbl_Vulnerability[[0 ft]:[10 ft]], MATCH(Simulation!C877, tbl_Vulnerability[Construction_Class], 0), MATCH(Simulation!F877,{0,1,2,3,5,8,10}, 1)))</f>
        <v>0</v>
      </c>
      <c r="H877" s="4">
        <f t="shared" si="55"/>
        <v>0</v>
      </c>
      <c r="I877" s="33">
        <f t="shared" si="56"/>
        <v>18909.600000000002</v>
      </c>
      <c r="J877" s="33">
        <f t="shared" si="57"/>
        <v>0</v>
      </c>
    </row>
    <row r="878" spans="1:10">
      <c r="A878" s="3">
        <v>10000869</v>
      </c>
      <c r="B878" s="3" t="str">
        <v>Paschim Medinipur</v>
      </c>
      <c r="C878" s="3" t="str">
        <v>Unreinforced Masonry</v>
      </c>
      <c r="D878" s="3">
        <v>0</v>
      </c>
      <c r="E878" s="4">
        <v>2525247</v>
      </c>
      <c r="F878" s="3">
        <f t="shared" si="54"/>
        <v>0</v>
      </c>
      <c r="G878" s="30">
        <f>IF(F878=0, 0, INDEX(tbl_Vulnerability[[0 ft]:[10 ft]], MATCH(Simulation!C878, tbl_Vulnerability[Construction_Class], 0), MATCH(Simulation!F878,{0,1,2,3,5,8,10}, 1)))</f>
        <v>0</v>
      </c>
      <c r="H878" s="4">
        <f t="shared" si="55"/>
        <v>0</v>
      </c>
      <c r="I878" s="33">
        <f t="shared" si="56"/>
        <v>126262.35</v>
      </c>
      <c r="J878" s="33">
        <f t="shared" si="57"/>
        <v>0</v>
      </c>
    </row>
    <row r="879" spans="1:10">
      <c r="A879" s="3">
        <v>10000870</v>
      </c>
      <c r="B879" s="3" t="str">
        <v>South 24 Parganas</v>
      </c>
      <c r="C879" s="3" t="str">
        <v>Reinforced Concrete</v>
      </c>
      <c r="D879" s="3">
        <v>3</v>
      </c>
      <c r="E879" s="4">
        <v>58401409</v>
      </c>
      <c r="F879" s="3">
        <f t="shared" si="54"/>
        <v>0</v>
      </c>
      <c r="G879" s="30">
        <f>IF(F879=0, 0, INDEX(tbl_Vulnerability[[0 ft]:[10 ft]], MATCH(Simulation!C879, tbl_Vulnerability[Construction_Class], 0), MATCH(Simulation!F879,{0,1,2,3,5,8,10}, 1)))</f>
        <v>0</v>
      </c>
      <c r="H879" s="4">
        <f t="shared" si="55"/>
        <v>0</v>
      </c>
      <c r="I879" s="33">
        <f t="shared" si="56"/>
        <v>2920070.45</v>
      </c>
      <c r="J879" s="33">
        <f t="shared" si="57"/>
        <v>0</v>
      </c>
    </row>
    <row r="880" spans="1:10">
      <c r="A880" s="3">
        <v>10000871</v>
      </c>
      <c r="B880" s="3" t="str">
        <v>Hooghly</v>
      </c>
      <c r="C880" s="3" t="str">
        <v>Reinforced Concrete</v>
      </c>
      <c r="D880" s="3">
        <v>5</v>
      </c>
      <c r="E880" s="4">
        <v>50598482</v>
      </c>
      <c r="F880" s="3">
        <f t="shared" si="54"/>
        <v>0</v>
      </c>
      <c r="G880" s="30">
        <f>IF(F880=0, 0, INDEX(tbl_Vulnerability[[0 ft]:[10 ft]], MATCH(Simulation!C880, tbl_Vulnerability[Construction_Class], 0), MATCH(Simulation!F880,{0,1,2,3,5,8,10}, 1)))</f>
        <v>0</v>
      </c>
      <c r="H880" s="4">
        <f t="shared" si="55"/>
        <v>0</v>
      </c>
      <c r="I880" s="33">
        <f t="shared" si="56"/>
        <v>2529924.1</v>
      </c>
      <c r="J880" s="33">
        <f t="shared" si="57"/>
        <v>0</v>
      </c>
    </row>
    <row r="881" spans="1:10">
      <c r="A881" s="3">
        <v>10000872</v>
      </c>
      <c r="B881" s="3" t="str">
        <v>Hooghly</v>
      </c>
      <c r="C881" s="3" t="str">
        <v>Unreinforced Masonry</v>
      </c>
      <c r="D881" s="3">
        <v>1</v>
      </c>
      <c r="E881" s="4">
        <v>15282778</v>
      </c>
      <c r="F881" s="3">
        <f t="shared" si="54"/>
        <v>0</v>
      </c>
      <c r="G881" s="30">
        <f>IF(F881=0, 0, INDEX(tbl_Vulnerability[[0 ft]:[10 ft]], MATCH(Simulation!C881, tbl_Vulnerability[Construction_Class], 0), MATCH(Simulation!F881,{0,1,2,3,5,8,10}, 1)))</f>
        <v>0</v>
      </c>
      <c r="H881" s="4">
        <f t="shared" si="55"/>
        <v>0</v>
      </c>
      <c r="I881" s="33">
        <f t="shared" si="56"/>
        <v>764138.9</v>
      </c>
      <c r="J881" s="33">
        <f t="shared" si="57"/>
        <v>0</v>
      </c>
    </row>
    <row r="882" spans="1:10">
      <c r="A882" s="3">
        <v>10000873</v>
      </c>
      <c r="B882" s="3" t="str">
        <v>Paschim Medinipur</v>
      </c>
      <c r="C882" s="3" t="str">
        <v>Unreinforced Masonry</v>
      </c>
      <c r="D882" s="3">
        <v>2</v>
      </c>
      <c r="E882" s="4">
        <v>5745287</v>
      </c>
      <c r="F882" s="3">
        <f t="shared" si="54"/>
        <v>0</v>
      </c>
      <c r="G882" s="30">
        <f>IF(F882=0, 0, INDEX(tbl_Vulnerability[[0 ft]:[10 ft]], MATCH(Simulation!C882, tbl_Vulnerability[Construction_Class], 0), MATCH(Simulation!F882,{0,1,2,3,5,8,10}, 1)))</f>
        <v>0</v>
      </c>
      <c r="H882" s="4">
        <f t="shared" si="55"/>
        <v>0</v>
      </c>
      <c r="I882" s="33">
        <f t="shared" si="56"/>
        <v>287264.35000000003</v>
      </c>
      <c r="J882" s="33">
        <f t="shared" si="57"/>
        <v>0</v>
      </c>
    </row>
    <row r="883" spans="1:10">
      <c r="A883" s="3">
        <v>10000874</v>
      </c>
      <c r="B883" s="3" t="str">
        <v>Jalpaiguri</v>
      </c>
      <c r="C883" s="3" t="str">
        <v>Unreinforced Masonry</v>
      </c>
      <c r="D883" s="3">
        <v>2</v>
      </c>
      <c r="E883" s="4">
        <v>11283163</v>
      </c>
      <c r="F883" s="3">
        <f t="shared" si="54"/>
        <v>0</v>
      </c>
      <c r="G883" s="30">
        <f>IF(F883=0, 0, INDEX(tbl_Vulnerability[[0 ft]:[10 ft]], MATCH(Simulation!C883, tbl_Vulnerability[Construction_Class], 0), MATCH(Simulation!F883,{0,1,2,3,5,8,10}, 1)))</f>
        <v>0</v>
      </c>
      <c r="H883" s="4">
        <f t="shared" si="55"/>
        <v>0</v>
      </c>
      <c r="I883" s="33">
        <f t="shared" si="56"/>
        <v>564158.15</v>
      </c>
      <c r="J883" s="33">
        <f t="shared" si="57"/>
        <v>0</v>
      </c>
    </row>
    <row r="884" spans="1:10">
      <c r="A884" s="3">
        <v>10000875</v>
      </c>
      <c r="B884" s="3" t="str">
        <v>South 24 Parganas</v>
      </c>
      <c r="C884" s="3" t="str">
        <v>Unreinforced Masonry</v>
      </c>
      <c r="D884" s="3">
        <v>2</v>
      </c>
      <c r="E884" s="4">
        <v>8649516</v>
      </c>
      <c r="F884" s="3">
        <f t="shared" si="54"/>
        <v>0</v>
      </c>
      <c r="G884" s="30">
        <f>IF(F884=0, 0, INDEX(tbl_Vulnerability[[0 ft]:[10 ft]], MATCH(Simulation!C884, tbl_Vulnerability[Construction_Class], 0), MATCH(Simulation!F884,{0,1,2,3,5,8,10}, 1)))</f>
        <v>0</v>
      </c>
      <c r="H884" s="4">
        <f t="shared" si="55"/>
        <v>0</v>
      </c>
      <c r="I884" s="33">
        <f t="shared" si="56"/>
        <v>432475.80000000005</v>
      </c>
      <c r="J884" s="33">
        <f t="shared" si="57"/>
        <v>0</v>
      </c>
    </row>
    <row r="885" spans="1:10">
      <c r="A885" s="3">
        <v>10000876</v>
      </c>
      <c r="B885" s="3" t="str">
        <v>Hooghly</v>
      </c>
      <c r="C885" s="3" t="str">
        <v>Reinforced Concrete</v>
      </c>
      <c r="D885" s="3">
        <v>4</v>
      </c>
      <c r="E885" s="4">
        <v>40343418</v>
      </c>
      <c r="F885" s="3">
        <f t="shared" si="54"/>
        <v>0</v>
      </c>
      <c r="G885" s="30">
        <f>IF(F885=0, 0, INDEX(tbl_Vulnerability[[0 ft]:[10 ft]], MATCH(Simulation!C885, tbl_Vulnerability[Construction_Class], 0), MATCH(Simulation!F885,{0,1,2,3,5,8,10}, 1)))</f>
        <v>0</v>
      </c>
      <c r="H885" s="4">
        <f t="shared" si="55"/>
        <v>0</v>
      </c>
      <c r="I885" s="33">
        <f t="shared" si="56"/>
        <v>2017170.9000000001</v>
      </c>
      <c r="J885" s="33">
        <f t="shared" si="57"/>
        <v>0</v>
      </c>
    </row>
    <row r="886" spans="1:10">
      <c r="A886" s="3">
        <v>10000877</v>
      </c>
      <c r="B886" s="3" t="str">
        <v>Malda</v>
      </c>
      <c r="C886" s="3" t="str">
        <v>Unreinforced Masonry</v>
      </c>
      <c r="D886" s="3">
        <v>2</v>
      </c>
      <c r="E886" s="4">
        <v>1350218</v>
      </c>
      <c r="F886" s="3">
        <f t="shared" si="54"/>
        <v>8</v>
      </c>
      <c r="G886" s="30">
        <f>IF(F886=0, 0, INDEX(tbl_Vulnerability[[0 ft]:[10 ft]], MATCH(Simulation!C886, tbl_Vulnerability[Construction_Class], 0), MATCH(Simulation!F886,{0,1,2,3,5,8,10}, 1)))</f>
        <v>0.9</v>
      </c>
      <c r="H886" s="4">
        <f t="shared" si="55"/>
        <v>1215196.2</v>
      </c>
      <c r="I886" s="33">
        <f t="shared" si="56"/>
        <v>67510.900000000009</v>
      </c>
      <c r="J886" s="33">
        <f t="shared" si="57"/>
        <v>1147685.3</v>
      </c>
    </row>
    <row r="887" spans="1:10">
      <c r="A887" s="3">
        <v>10000878</v>
      </c>
      <c r="B887" s="3" t="str">
        <v>Malda</v>
      </c>
      <c r="C887" s="3" t="str">
        <v>Reinforced Concrete</v>
      </c>
      <c r="D887" s="3">
        <v>4</v>
      </c>
      <c r="E887" s="4">
        <v>8286800</v>
      </c>
      <c r="F887" s="3">
        <f t="shared" si="54"/>
        <v>6</v>
      </c>
      <c r="G887" s="30">
        <f>IF(F887=0, 0, INDEX(tbl_Vulnerability[[0 ft]:[10 ft]], MATCH(Simulation!C887, tbl_Vulnerability[Construction_Class], 0), MATCH(Simulation!F887,{0,1,2,3,5,8,10}, 1)))</f>
        <v>0.2</v>
      </c>
      <c r="H887" s="4">
        <f t="shared" si="55"/>
        <v>1657360</v>
      </c>
      <c r="I887" s="33">
        <f t="shared" si="56"/>
        <v>414340</v>
      </c>
      <c r="J887" s="33">
        <f t="shared" si="57"/>
        <v>1243020</v>
      </c>
    </row>
    <row r="888" spans="1:10">
      <c r="A888" s="3">
        <v>10000879</v>
      </c>
      <c r="B888" s="3" t="str">
        <v>Jalpaiguri</v>
      </c>
      <c r="C888" s="3" t="str">
        <v>Unreinforced Masonry</v>
      </c>
      <c r="D888" s="3">
        <v>1</v>
      </c>
      <c r="E888" s="4">
        <v>2471091</v>
      </c>
      <c r="F888" s="3">
        <f t="shared" si="54"/>
        <v>0</v>
      </c>
      <c r="G888" s="30">
        <f>IF(F888=0, 0, INDEX(tbl_Vulnerability[[0 ft]:[10 ft]], MATCH(Simulation!C888, tbl_Vulnerability[Construction_Class], 0), MATCH(Simulation!F888,{0,1,2,3,5,8,10}, 1)))</f>
        <v>0</v>
      </c>
      <c r="H888" s="4">
        <f t="shared" si="55"/>
        <v>0</v>
      </c>
      <c r="I888" s="33">
        <f t="shared" si="56"/>
        <v>123554.55</v>
      </c>
      <c r="J888" s="33">
        <f t="shared" si="57"/>
        <v>0</v>
      </c>
    </row>
    <row r="889" spans="1:10">
      <c r="A889" s="3">
        <v>10000880</v>
      </c>
      <c r="B889" s="3" t="str">
        <v>Kolkata</v>
      </c>
      <c r="C889" s="3" t="str">
        <v>Reinforced Concrete</v>
      </c>
      <c r="D889" s="3">
        <v>4</v>
      </c>
      <c r="E889" s="4">
        <v>1738299</v>
      </c>
      <c r="F889" s="3">
        <f t="shared" si="54"/>
        <v>0</v>
      </c>
      <c r="G889" s="30">
        <f>IF(F889=0, 0, INDEX(tbl_Vulnerability[[0 ft]:[10 ft]], MATCH(Simulation!C889, tbl_Vulnerability[Construction_Class], 0), MATCH(Simulation!F889,{0,1,2,3,5,8,10}, 1)))</f>
        <v>0</v>
      </c>
      <c r="H889" s="4">
        <f t="shared" si="55"/>
        <v>0</v>
      </c>
      <c r="I889" s="33">
        <f t="shared" si="56"/>
        <v>86914.950000000012</v>
      </c>
      <c r="J889" s="33">
        <f t="shared" si="57"/>
        <v>0</v>
      </c>
    </row>
    <row r="890" spans="1:10">
      <c r="A890" s="3">
        <v>10000881</v>
      </c>
      <c r="B890" s="3" t="str">
        <v>South 24 Parganas</v>
      </c>
      <c r="C890" s="3" t="str">
        <v>Reinforced Concrete</v>
      </c>
      <c r="D890" s="3">
        <v>5</v>
      </c>
      <c r="E890" s="4">
        <v>65639816</v>
      </c>
      <c r="F890" s="3">
        <f t="shared" si="54"/>
        <v>0</v>
      </c>
      <c r="G890" s="30">
        <f>IF(F890=0, 0, INDEX(tbl_Vulnerability[[0 ft]:[10 ft]], MATCH(Simulation!C890, tbl_Vulnerability[Construction_Class], 0), MATCH(Simulation!F890,{0,1,2,3,5,8,10}, 1)))</f>
        <v>0</v>
      </c>
      <c r="H890" s="4">
        <f t="shared" si="55"/>
        <v>0</v>
      </c>
      <c r="I890" s="33">
        <f t="shared" si="56"/>
        <v>3281990.8000000003</v>
      </c>
      <c r="J890" s="33">
        <f t="shared" si="57"/>
        <v>0</v>
      </c>
    </row>
    <row r="891" spans="1:10">
      <c r="A891" s="3">
        <v>10000882</v>
      </c>
      <c r="B891" s="3" t="str">
        <v>Hooghly</v>
      </c>
      <c r="C891" s="3" t="str">
        <v>Reinforced Concrete</v>
      </c>
      <c r="D891" s="3">
        <v>4</v>
      </c>
      <c r="E891" s="4">
        <v>10815554</v>
      </c>
      <c r="F891" s="3">
        <f t="shared" si="54"/>
        <v>0</v>
      </c>
      <c r="G891" s="30">
        <f>IF(F891=0, 0, INDEX(tbl_Vulnerability[[0 ft]:[10 ft]], MATCH(Simulation!C891, tbl_Vulnerability[Construction_Class], 0), MATCH(Simulation!F891,{0,1,2,3,5,8,10}, 1)))</f>
        <v>0</v>
      </c>
      <c r="H891" s="4">
        <f t="shared" si="55"/>
        <v>0</v>
      </c>
      <c r="I891" s="33">
        <f t="shared" si="56"/>
        <v>540777.70000000007</v>
      </c>
      <c r="J891" s="33">
        <f t="shared" si="57"/>
        <v>0</v>
      </c>
    </row>
    <row r="892" spans="1:10">
      <c r="A892" s="3">
        <v>10000883</v>
      </c>
      <c r="B892" s="3" t="str">
        <v>Hooghly</v>
      </c>
      <c r="C892" s="3" t="str">
        <v>Unreinforced Masonry</v>
      </c>
      <c r="D892" s="3">
        <v>2</v>
      </c>
      <c r="E892" s="4">
        <v>5596547</v>
      </c>
      <c r="F892" s="3">
        <f t="shared" si="54"/>
        <v>0</v>
      </c>
      <c r="G892" s="30">
        <f>IF(F892=0, 0, INDEX(tbl_Vulnerability[[0 ft]:[10 ft]], MATCH(Simulation!C892, tbl_Vulnerability[Construction_Class], 0), MATCH(Simulation!F892,{0,1,2,3,5,8,10}, 1)))</f>
        <v>0</v>
      </c>
      <c r="H892" s="4">
        <f t="shared" si="55"/>
        <v>0</v>
      </c>
      <c r="I892" s="33">
        <f t="shared" si="56"/>
        <v>279827.35000000003</v>
      </c>
      <c r="J892" s="33">
        <f t="shared" si="57"/>
        <v>0</v>
      </c>
    </row>
    <row r="893" spans="1:10">
      <c r="A893" s="3">
        <v>10000884</v>
      </c>
      <c r="B893" s="3" t="str">
        <v>Hooghly</v>
      </c>
      <c r="C893" s="3" t="str">
        <v>Reinforced Concrete</v>
      </c>
      <c r="D893" s="3">
        <v>5</v>
      </c>
      <c r="E893" s="4">
        <v>49375658</v>
      </c>
      <c r="F893" s="3">
        <f t="shared" si="54"/>
        <v>0</v>
      </c>
      <c r="G893" s="30">
        <f>IF(F893=0, 0, INDEX(tbl_Vulnerability[[0 ft]:[10 ft]], MATCH(Simulation!C893, tbl_Vulnerability[Construction_Class], 0), MATCH(Simulation!F893,{0,1,2,3,5,8,10}, 1)))</f>
        <v>0</v>
      </c>
      <c r="H893" s="4">
        <f t="shared" si="55"/>
        <v>0</v>
      </c>
      <c r="I893" s="33">
        <f t="shared" si="56"/>
        <v>2468782.9</v>
      </c>
      <c r="J893" s="33">
        <f t="shared" si="57"/>
        <v>0</v>
      </c>
    </row>
    <row r="894" spans="1:10">
      <c r="A894" s="3">
        <v>10000885</v>
      </c>
      <c r="B894" s="3" t="str">
        <v>Jalpaiguri</v>
      </c>
      <c r="C894" s="3" t="str">
        <v>Reinforced Concrete</v>
      </c>
      <c r="D894" s="3">
        <v>5</v>
      </c>
      <c r="E894" s="4">
        <v>1972797</v>
      </c>
      <c r="F894" s="3">
        <f t="shared" si="54"/>
        <v>0</v>
      </c>
      <c r="G894" s="30">
        <f>IF(F894=0, 0, INDEX(tbl_Vulnerability[[0 ft]:[10 ft]], MATCH(Simulation!C894, tbl_Vulnerability[Construction_Class], 0), MATCH(Simulation!F894,{0,1,2,3,5,8,10}, 1)))</f>
        <v>0</v>
      </c>
      <c r="H894" s="4">
        <f t="shared" si="55"/>
        <v>0</v>
      </c>
      <c r="I894" s="33">
        <f t="shared" si="56"/>
        <v>98639.85</v>
      </c>
      <c r="J894" s="33">
        <f t="shared" si="57"/>
        <v>0</v>
      </c>
    </row>
    <row r="895" spans="1:10">
      <c r="A895" s="3">
        <v>10000886</v>
      </c>
      <c r="B895" s="3" t="str">
        <v>Kolkata</v>
      </c>
      <c r="C895" s="3" t="str">
        <v>Unreinforced Masonry</v>
      </c>
      <c r="D895" s="3">
        <v>0</v>
      </c>
      <c r="E895" s="4">
        <v>3290675</v>
      </c>
      <c r="F895" s="3">
        <f t="shared" si="54"/>
        <v>0</v>
      </c>
      <c r="G895" s="30">
        <f>IF(F895=0, 0, INDEX(tbl_Vulnerability[[0 ft]:[10 ft]], MATCH(Simulation!C895, tbl_Vulnerability[Construction_Class], 0), MATCH(Simulation!F895,{0,1,2,3,5,8,10}, 1)))</f>
        <v>0</v>
      </c>
      <c r="H895" s="4">
        <f t="shared" si="55"/>
        <v>0</v>
      </c>
      <c r="I895" s="33">
        <f t="shared" si="56"/>
        <v>164533.75</v>
      </c>
      <c r="J895" s="33">
        <f t="shared" si="57"/>
        <v>0</v>
      </c>
    </row>
    <row r="896" spans="1:10">
      <c r="A896" s="3">
        <v>10000887</v>
      </c>
      <c r="B896" s="3" t="str">
        <v>Kolkata</v>
      </c>
      <c r="C896" s="3" t="str">
        <v>Reinforced Concrete</v>
      </c>
      <c r="D896" s="3">
        <v>4</v>
      </c>
      <c r="E896" s="4">
        <v>42129801</v>
      </c>
      <c r="F896" s="3">
        <f t="shared" si="54"/>
        <v>0</v>
      </c>
      <c r="G896" s="30">
        <f>IF(F896=0, 0, INDEX(tbl_Vulnerability[[0 ft]:[10 ft]], MATCH(Simulation!C896, tbl_Vulnerability[Construction_Class], 0), MATCH(Simulation!F896,{0,1,2,3,5,8,10}, 1)))</f>
        <v>0</v>
      </c>
      <c r="H896" s="4">
        <f t="shared" si="55"/>
        <v>0</v>
      </c>
      <c r="I896" s="33">
        <f t="shared" si="56"/>
        <v>2106490.0500000003</v>
      </c>
      <c r="J896" s="33">
        <f t="shared" si="57"/>
        <v>0</v>
      </c>
    </row>
    <row r="897" spans="1:10">
      <c r="A897" s="3">
        <v>10000888</v>
      </c>
      <c r="B897" s="3" t="str">
        <v>Jalpaiguri</v>
      </c>
      <c r="C897" s="3" t="str">
        <v>Reinforced Concrete</v>
      </c>
      <c r="D897" s="3">
        <v>3</v>
      </c>
      <c r="E897" s="4">
        <v>19388711</v>
      </c>
      <c r="F897" s="3">
        <f t="shared" si="54"/>
        <v>0</v>
      </c>
      <c r="G897" s="30">
        <f>IF(F897=0, 0, INDEX(tbl_Vulnerability[[0 ft]:[10 ft]], MATCH(Simulation!C897, tbl_Vulnerability[Construction_Class], 0), MATCH(Simulation!F897,{0,1,2,3,5,8,10}, 1)))</f>
        <v>0</v>
      </c>
      <c r="H897" s="4">
        <f t="shared" si="55"/>
        <v>0</v>
      </c>
      <c r="I897" s="33">
        <f t="shared" si="56"/>
        <v>969435.55</v>
      </c>
      <c r="J897" s="33">
        <f t="shared" si="57"/>
        <v>0</v>
      </c>
    </row>
    <row r="898" spans="1:10">
      <c r="A898" s="3">
        <v>10000889</v>
      </c>
      <c r="B898" s="3" t="str">
        <v>Jalpaiguri</v>
      </c>
      <c r="C898" s="3" t="str">
        <v>Reinforced Concrete</v>
      </c>
      <c r="D898" s="3">
        <v>3</v>
      </c>
      <c r="E898" s="4">
        <v>59068611</v>
      </c>
      <c r="F898" s="3">
        <f t="shared" si="54"/>
        <v>0</v>
      </c>
      <c r="G898" s="30">
        <f>IF(F898=0, 0, INDEX(tbl_Vulnerability[[0 ft]:[10 ft]], MATCH(Simulation!C898, tbl_Vulnerability[Construction_Class], 0), MATCH(Simulation!F898,{0,1,2,3,5,8,10}, 1)))</f>
        <v>0</v>
      </c>
      <c r="H898" s="4">
        <f t="shared" si="55"/>
        <v>0</v>
      </c>
      <c r="I898" s="33">
        <f t="shared" si="56"/>
        <v>2953430.5500000003</v>
      </c>
      <c r="J898" s="33">
        <f t="shared" si="57"/>
        <v>0</v>
      </c>
    </row>
    <row r="899" spans="1:10">
      <c r="A899" s="3">
        <v>10000890</v>
      </c>
      <c r="B899" s="3" t="str">
        <v>Jalpaiguri</v>
      </c>
      <c r="C899" s="3" t="str">
        <v>Reinforced Concrete</v>
      </c>
      <c r="D899" s="3">
        <v>3</v>
      </c>
      <c r="E899" s="4">
        <v>6797438</v>
      </c>
      <c r="F899" s="3">
        <f t="shared" si="54"/>
        <v>0</v>
      </c>
      <c r="G899" s="30">
        <f>IF(F899=0, 0, INDEX(tbl_Vulnerability[[0 ft]:[10 ft]], MATCH(Simulation!C899, tbl_Vulnerability[Construction_Class], 0), MATCH(Simulation!F899,{0,1,2,3,5,8,10}, 1)))</f>
        <v>0</v>
      </c>
      <c r="H899" s="4">
        <f t="shared" si="55"/>
        <v>0</v>
      </c>
      <c r="I899" s="33">
        <f t="shared" si="56"/>
        <v>339871.9</v>
      </c>
      <c r="J899" s="33">
        <f t="shared" si="57"/>
        <v>0</v>
      </c>
    </row>
    <row r="900" spans="1:10">
      <c r="A900" s="3">
        <v>10000891</v>
      </c>
      <c r="B900" s="3" t="str">
        <v>Jalpaiguri</v>
      </c>
      <c r="C900" s="3" t="str">
        <v>Reinforced Concrete</v>
      </c>
      <c r="D900" s="3">
        <v>3</v>
      </c>
      <c r="E900" s="4">
        <v>51687417</v>
      </c>
      <c r="F900" s="3">
        <f t="shared" si="54"/>
        <v>0</v>
      </c>
      <c r="G900" s="30">
        <f>IF(F900=0, 0, INDEX(tbl_Vulnerability[[0 ft]:[10 ft]], MATCH(Simulation!C900, tbl_Vulnerability[Construction_Class], 0), MATCH(Simulation!F900,{0,1,2,3,5,8,10}, 1)))</f>
        <v>0</v>
      </c>
      <c r="H900" s="4">
        <f t="shared" si="55"/>
        <v>0</v>
      </c>
      <c r="I900" s="33">
        <f t="shared" si="56"/>
        <v>2584370.85</v>
      </c>
      <c r="J900" s="33">
        <f t="shared" si="57"/>
        <v>0</v>
      </c>
    </row>
    <row r="901" spans="1:10">
      <c r="A901" s="3">
        <v>10000892</v>
      </c>
      <c r="B901" s="3" t="str">
        <v>Hooghly</v>
      </c>
      <c r="C901" s="3" t="str">
        <v>Unreinforced Masonry</v>
      </c>
      <c r="D901" s="3">
        <v>0</v>
      </c>
      <c r="E901" s="4">
        <v>17695909</v>
      </c>
      <c r="F901" s="3">
        <f t="shared" si="54"/>
        <v>0</v>
      </c>
      <c r="G901" s="30">
        <f>IF(F901=0, 0, INDEX(tbl_Vulnerability[[0 ft]:[10 ft]], MATCH(Simulation!C901, tbl_Vulnerability[Construction_Class], 0), MATCH(Simulation!F901,{0,1,2,3,5,8,10}, 1)))</f>
        <v>0</v>
      </c>
      <c r="H901" s="4">
        <f t="shared" si="55"/>
        <v>0</v>
      </c>
      <c r="I901" s="33">
        <f t="shared" si="56"/>
        <v>884795.45000000007</v>
      </c>
      <c r="J901" s="33">
        <f t="shared" si="57"/>
        <v>0</v>
      </c>
    </row>
    <row r="902" spans="1:10">
      <c r="A902" s="3">
        <v>10000893</v>
      </c>
      <c r="B902" s="3" t="str">
        <v>Malda</v>
      </c>
      <c r="C902" s="3" t="str">
        <v>Reinforced Concrete</v>
      </c>
      <c r="D902" s="3">
        <v>4</v>
      </c>
      <c r="E902" s="4">
        <v>70272839</v>
      </c>
      <c r="F902" s="3">
        <f t="shared" si="54"/>
        <v>6</v>
      </c>
      <c r="G902" s="30">
        <f>IF(F902=0, 0, INDEX(tbl_Vulnerability[[0 ft]:[10 ft]], MATCH(Simulation!C902, tbl_Vulnerability[Construction_Class], 0), MATCH(Simulation!F902,{0,1,2,3,5,8,10}, 1)))</f>
        <v>0.2</v>
      </c>
      <c r="H902" s="4">
        <f t="shared" si="55"/>
        <v>14054567.800000001</v>
      </c>
      <c r="I902" s="33">
        <f t="shared" si="56"/>
        <v>3513641.95</v>
      </c>
      <c r="J902" s="33">
        <f t="shared" si="57"/>
        <v>10540925.850000001</v>
      </c>
    </row>
    <row r="903" spans="1:10">
      <c r="A903" s="3">
        <v>10000894</v>
      </c>
      <c r="B903" s="3" t="str">
        <v>Hooghly</v>
      </c>
      <c r="C903" s="3" t="str">
        <v>Reinforced Concrete</v>
      </c>
      <c r="D903" s="3">
        <v>3</v>
      </c>
      <c r="E903" s="4">
        <v>15437938</v>
      </c>
      <c r="F903" s="3">
        <f t="shared" si="54"/>
        <v>0</v>
      </c>
      <c r="G903" s="30">
        <f>IF(F903=0, 0, INDEX(tbl_Vulnerability[[0 ft]:[10 ft]], MATCH(Simulation!C903, tbl_Vulnerability[Construction_Class], 0), MATCH(Simulation!F903,{0,1,2,3,5,8,10}, 1)))</f>
        <v>0</v>
      </c>
      <c r="H903" s="4">
        <f t="shared" si="55"/>
        <v>0</v>
      </c>
      <c r="I903" s="33">
        <f t="shared" si="56"/>
        <v>771896.9</v>
      </c>
      <c r="J903" s="33">
        <f t="shared" si="57"/>
        <v>0</v>
      </c>
    </row>
    <row r="904" spans="1:10">
      <c r="A904" s="3">
        <v>10000895</v>
      </c>
      <c r="B904" s="3" t="str">
        <v>South 24 Parganas</v>
      </c>
      <c r="C904" s="3" t="str">
        <v>Reinforced Concrete</v>
      </c>
      <c r="D904" s="3">
        <v>5</v>
      </c>
      <c r="E904" s="4">
        <v>45249890</v>
      </c>
      <c r="F904" s="3">
        <f t="shared" si="54"/>
        <v>0</v>
      </c>
      <c r="G904" s="30">
        <f>IF(F904=0, 0, INDEX(tbl_Vulnerability[[0 ft]:[10 ft]], MATCH(Simulation!C904, tbl_Vulnerability[Construction_Class], 0), MATCH(Simulation!F904,{0,1,2,3,5,8,10}, 1)))</f>
        <v>0</v>
      </c>
      <c r="H904" s="4">
        <f t="shared" si="55"/>
        <v>0</v>
      </c>
      <c r="I904" s="33">
        <f t="shared" si="56"/>
        <v>2262494.5</v>
      </c>
      <c r="J904" s="33">
        <f t="shared" si="57"/>
        <v>0</v>
      </c>
    </row>
    <row r="905" spans="1:10">
      <c r="A905" s="3">
        <v>10000896</v>
      </c>
      <c r="B905" s="3" t="str">
        <v>South 24 Parganas</v>
      </c>
      <c r="C905" s="3" t="str">
        <v>Unreinforced Masonry</v>
      </c>
      <c r="D905" s="3">
        <v>1</v>
      </c>
      <c r="E905" s="4">
        <v>2363724</v>
      </c>
      <c r="F905" s="3">
        <f t="shared" si="54"/>
        <v>0</v>
      </c>
      <c r="G905" s="30">
        <f>IF(F905=0, 0, INDEX(tbl_Vulnerability[[0 ft]:[10 ft]], MATCH(Simulation!C905, tbl_Vulnerability[Construction_Class], 0), MATCH(Simulation!F905,{0,1,2,3,5,8,10}, 1)))</f>
        <v>0</v>
      </c>
      <c r="H905" s="4">
        <f t="shared" si="55"/>
        <v>0</v>
      </c>
      <c r="I905" s="33">
        <f t="shared" si="56"/>
        <v>118186.20000000001</v>
      </c>
      <c r="J905" s="33">
        <f t="shared" si="57"/>
        <v>0</v>
      </c>
    </row>
    <row r="906" spans="1:10">
      <c r="A906" s="3">
        <v>10000897</v>
      </c>
      <c r="B906" s="3" t="str">
        <v>Malda</v>
      </c>
      <c r="C906" s="3" t="str">
        <v>Unreinforced Masonry</v>
      </c>
      <c r="D906" s="3">
        <v>0</v>
      </c>
      <c r="E906" s="4">
        <v>4294896</v>
      </c>
      <c r="F906" s="3">
        <f t="shared" si="54"/>
        <v>10</v>
      </c>
      <c r="G906" s="30">
        <f>IF(F906=0, 0, INDEX(tbl_Vulnerability[[0 ft]:[10 ft]], MATCH(Simulation!C906, tbl_Vulnerability[Construction_Class], 0), MATCH(Simulation!F906,{0,1,2,3,5,8,10}, 1)))</f>
        <v>1</v>
      </c>
      <c r="H906" s="4">
        <f t="shared" si="55"/>
        <v>4294896</v>
      </c>
      <c r="I906" s="33">
        <f t="shared" si="56"/>
        <v>214744.80000000002</v>
      </c>
      <c r="J906" s="33">
        <f t="shared" si="57"/>
        <v>4080151.2</v>
      </c>
    </row>
    <row r="907" spans="1:10">
      <c r="A907" s="3">
        <v>10000898</v>
      </c>
      <c r="B907" s="3" t="str">
        <v>Kolkata</v>
      </c>
      <c r="C907" s="3" t="str">
        <v>Reinforced Concrete</v>
      </c>
      <c r="D907" s="3">
        <v>3</v>
      </c>
      <c r="E907" s="4">
        <v>48108135</v>
      </c>
      <c r="F907" s="3">
        <f t="shared" ref="F907:F970" si="58">IF(B907=$B$2, MAX(0, $B$3 - D907), 0)</f>
        <v>0</v>
      </c>
      <c r="G907" s="30">
        <f>IF(F907=0, 0, INDEX(tbl_Vulnerability[[0 ft]:[10 ft]], MATCH(Simulation!C907, tbl_Vulnerability[Construction_Class], 0), MATCH(Simulation!F907,{0,1,2,3,5,8,10}, 1)))</f>
        <v>0</v>
      </c>
      <c r="H907" s="4">
        <f t="shared" ref="H907:H970" si="59">E907*G907</f>
        <v>0</v>
      </c>
      <c r="I907" s="33">
        <f t="shared" ref="I907:I970" si="60">E907*$B$4</f>
        <v>2405406.75</v>
      </c>
      <c r="J907" s="33">
        <f t="shared" ref="J907:J970" si="61">MAX(0, H907 - I907)</f>
        <v>0</v>
      </c>
    </row>
    <row r="908" spans="1:10">
      <c r="A908" s="3">
        <v>10000899</v>
      </c>
      <c r="B908" s="3" t="str">
        <v>Kolkata</v>
      </c>
      <c r="C908" s="3" t="str">
        <v>Unreinforced Masonry</v>
      </c>
      <c r="D908" s="3">
        <v>2</v>
      </c>
      <c r="E908" s="4">
        <v>9413475</v>
      </c>
      <c r="F908" s="3">
        <f t="shared" si="58"/>
        <v>0</v>
      </c>
      <c r="G908" s="30">
        <f>IF(F908=0, 0, INDEX(tbl_Vulnerability[[0 ft]:[10 ft]], MATCH(Simulation!C908, tbl_Vulnerability[Construction_Class], 0), MATCH(Simulation!F908,{0,1,2,3,5,8,10}, 1)))</f>
        <v>0</v>
      </c>
      <c r="H908" s="4">
        <f t="shared" si="59"/>
        <v>0</v>
      </c>
      <c r="I908" s="33">
        <f t="shared" si="60"/>
        <v>470673.75</v>
      </c>
      <c r="J908" s="33">
        <f t="shared" si="61"/>
        <v>0</v>
      </c>
    </row>
    <row r="909" spans="1:10">
      <c r="A909" s="3">
        <v>10000900</v>
      </c>
      <c r="B909" s="3" t="str">
        <v>Hooghly</v>
      </c>
      <c r="C909" s="3" t="str">
        <v>Reinforced Concrete</v>
      </c>
      <c r="D909" s="3">
        <v>4</v>
      </c>
      <c r="E909" s="4">
        <v>35767373</v>
      </c>
      <c r="F909" s="3">
        <f t="shared" si="58"/>
        <v>0</v>
      </c>
      <c r="G909" s="30">
        <f>IF(F909=0, 0, INDEX(tbl_Vulnerability[[0 ft]:[10 ft]], MATCH(Simulation!C909, tbl_Vulnerability[Construction_Class], 0), MATCH(Simulation!F909,{0,1,2,3,5,8,10}, 1)))</f>
        <v>0</v>
      </c>
      <c r="H909" s="4">
        <f t="shared" si="59"/>
        <v>0</v>
      </c>
      <c r="I909" s="33">
        <f t="shared" si="60"/>
        <v>1788368.6500000001</v>
      </c>
      <c r="J909" s="33">
        <f t="shared" si="61"/>
        <v>0</v>
      </c>
    </row>
    <row r="910" spans="1:10">
      <c r="A910" s="3">
        <v>10000901</v>
      </c>
      <c r="B910" s="3" t="str">
        <v>Malda</v>
      </c>
      <c r="C910" s="3" t="str">
        <v>Reinforced Concrete</v>
      </c>
      <c r="D910" s="3">
        <v>5</v>
      </c>
      <c r="E910" s="4">
        <v>64899227</v>
      </c>
      <c r="F910" s="3">
        <f t="shared" si="58"/>
        <v>5</v>
      </c>
      <c r="G910" s="30">
        <f>IF(F910=0, 0, INDEX(tbl_Vulnerability[[0 ft]:[10 ft]], MATCH(Simulation!C910, tbl_Vulnerability[Construction_Class], 0), MATCH(Simulation!F910,{0,1,2,3,5,8,10}, 1)))</f>
        <v>0.2</v>
      </c>
      <c r="H910" s="4">
        <f t="shared" si="59"/>
        <v>12979845.4</v>
      </c>
      <c r="I910" s="33">
        <f t="shared" si="60"/>
        <v>3244961.35</v>
      </c>
      <c r="J910" s="33">
        <f t="shared" si="61"/>
        <v>9734884.0500000007</v>
      </c>
    </row>
    <row r="911" spans="1:10">
      <c r="A911" s="3">
        <v>10000902</v>
      </c>
      <c r="B911" s="3" t="str">
        <v>South 24 Parganas</v>
      </c>
      <c r="C911" s="3" t="str">
        <v>Reinforced Concrete</v>
      </c>
      <c r="D911" s="3">
        <v>4</v>
      </c>
      <c r="E911" s="4">
        <v>6625615</v>
      </c>
      <c r="F911" s="3">
        <f t="shared" si="58"/>
        <v>0</v>
      </c>
      <c r="G911" s="30">
        <f>IF(F911=0, 0, INDEX(tbl_Vulnerability[[0 ft]:[10 ft]], MATCH(Simulation!C911, tbl_Vulnerability[Construction_Class], 0), MATCH(Simulation!F911,{0,1,2,3,5,8,10}, 1)))</f>
        <v>0</v>
      </c>
      <c r="H911" s="4">
        <f t="shared" si="59"/>
        <v>0</v>
      </c>
      <c r="I911" s="33">
        <f t="shared" si="60"/>
        <v>331280.75</v>
      </c>
      <c r="J911" s="33">
        <f t="shared" si="61"/>
        <v>0</v>
      </c>
    </row>
    <row r="912" spans="1:10">
      <c r="A912" s="3">
        <v>10000903</v>
      </c>
      <c r="B912" s="3" t="str">
        <v>Malda</v>
      </c>
      <c r="C912" s="3" t="str">
        <v>Reinforced Concrete</v>
      </c>
      <c r="D912" s="3">
        <v>4</v>
      </c>
      <c r="E912" s="4">
        <v>58307761</v>
      </c>
      <c r="F912" s="3">
        <f t="shared" si="58"/>
        <v>6</v>
      </c>
      <c r="G912" s="30">
        <f>IF(F912=0, 0, INDEX(tbl_Vulnerability[[0 ft]:[10 ft]], MATCH(Simulation!C912, tbl_Vulnerability[Construction_Class], 0), MATCH(Simulation!F912,{0,1,2,3,5,8,10}, 1)))</f>
        <v>0.2</v>
      </c>
      <c r="H912" s="4">
        <f t="shared" si="59"/>
        <v>11661552.200000001</v>
      </c>
      <c r="I912" s="33">
        <f t="shared" si="60"/>
        <v>2915388.0500000003</v>
      </c>
      <c r="J912" s="33">
        <f t="shared" si="61"/>
        <v>8746164.1500000004</v>
      </c>
    </row>
    <row r="913" spans="1:10">
      <c r="A913" s="3">
        <v>10000904</v>
      </c>
      <c r="B913" s="3" t="str">
        <v>South 24 Parganas</v>
      </c>
      <c r="C913" s="3" t="str">
        <v>Reinforced Concrete</v>
      </c>
      <c r="D913" s="3">
        <v>4</v>
      </c>
      <c r="E913" s="4">
        <v>16010532</v>
      </c>
      <c r="F913" s="3">
        <f t="shared" si="58"/>
        <v>0</v>
      </c>
      <c r="G913" s="30">
        <f>IF(F913=0, 0, INDEX(tbl_Vulnerability[[0 ft]:[10 ft]], MATCH(Simulation!C913, tbl_Vulnerability[Construction_Class], 0), MATCH(Simulation!F913,{0,1,2,3,5,8,10}, 1)))</f>
        <v>0</v>
      </c>
      <c r="H913" s="4">
        <f t="shared" si="59"/>
        <v>0</v>
      </c>
      <c r="I913" s="33">
        <f t="shared" si="60"/>
        <v>800526.60000000009</v>
      </c>
      <c r="J913" s="33">
        <f t="shared" si="61"/>
        <v>0</v>
      </c>
    </row>
    <row r="914" spans="1:10">
      <c r="A914" s="3">
        <v>10000905</v>
      </c>
      <c r="B914" s="3" t="str">
        <v>Jalpaiguri</v>
      </c>
      <c r="C914" s="3" t="str">
        <v>Reinforced Concrete</v>
      </c>
      <c r="D914" s="3">
        <v>3</v>
      </c>
      <c r="E914" s="4">
        <v>2779472</v>
      </c>
      <c r="F914" s="3">
        <f t="shared" si="58"/>
        <v>0</v>
      </c>
      <c r="G914" s="30">
        <f>IF(F914=0, 0, INDEX(tbl_Vulnerability[[0 ft]:[10 ft]], MATCH(Simulation!C914, tbl_Vulnerability[Construction_Class], 0), MATCH(Simulation!F914,{0,1,2,3,5,8,10}, 1)))</f>
        <v>0</v>
      </c>
      <c r="H914" s="4">
        <f t="shared" si="59"/>
        <v>0</v>
      </c>
      <c r="I914" s="33">
        <f t="shared" si="60"/>
        <v>138973.6</v>
      </c>
      <c r="J914" s="33">
        <f t="shared" si="61"/>
        <v>0</v>
      </c>
    </row>
    <row r="915" spans="1:10">
      <c r="A915" s="3">
        <v>10000906</v>
      </c>
      <c r="B915" s="3" t="str">
        <v>Malda</v>
      </c>
      <c r="C915" s="3" t="str">
        <v>Reinforced Concrete</v>
      </c>
      <c r="D915" s="3">
        <v>5</v>
      </c>
      <c r="E915" s="4">
        <v>25043861</v>
      </c>
      <c r="F915" s="3">
        <f t="shared" si="58"/>
        <v>5</v>
      </c>
      <c r="G915" s="30">
        <f>IF(F915=0, 0, INDEX(tbl_Vulnerability[[0 ft]:[10 ft]], MATCH(Simulation!C915, tbl_Vulnerability[Construction_Class], 0), MATCH(Simulation!F915,{0,1,2,3,5,8,10}, 1)))</f>
        <v>0.2</v>
      </c>
      <c r="H915" s="4">
        <f t="shared" si="59"/>
        <v>5008772.2</v>
      </c>
      <c r="I915" s="33">
        <f t="shared" si="60"/>
        <v>1252193.05</v>
      </c>
      <c r="J915" s="33">
        <f t="shared" si="61"/>
        <v>3756579.1500000004</v>
      </c>
    </row>
    <row r="916" spans="1:10">
      <c r="A916" s="3">
        <v>10000907</v>
      </c>
      <c r="B916" s="3" t="str">
        <v>South 24 Parganas</v>
      </c>
      <c r="C916" s="3" t="str">
        <v>Reinforced Concrete</v>
      </c>
      <c r="D916" s="3">
        <v>3</v>
      </c>
      <c r="E916" s="4">
        <v>43113835</v>
      </c>
      <c r="F916" s="3">
        <f t="shared" si="58"/>
        <v>0</v>
      </c>
      <c r="G916" s="30">
        <f>IF(F916=0, 0, INDEX(tbl_Vulnerability[[0 ft]:[10 ft]], MATCH(Simulation!C916, tbl_Vulnerability[Construction_Class], 0), MATCH(Simulation!F916,{0,1,2,3,5,8,10}, 1)))</f>
        <v>0</v>
      </c>
      <c r="H916" s="4">
        <f t="shared" si="59"/>
        <v>0</v>
      </c>
      <c r="I916" s="33">
        <f t="shared" si="60"/>
        <v>2155691.75</v>
      </c>
      <c r="J916" s="33">
        <f t="shared" si="61"/>
        <v>0</v>
      </c>
    </row>
    <row r="917" spans="1:10">
      <c r="A917" s="3">
        <v>10000908</v>
      </c>
      <c r="B917" s="3" t="str">
        <v>Jalpaiguri</v>
      </c>
      <c r="C917" s="3" t="str">
        <v>Reinforced Concrete</v>
      </c>
      <c r="D917" s="3">
        <v>3</v>
      </c>
      <c r="E917" s="4">
        <v>21336707</v>
      </c>
      <c r="F917" s="3">
        <f t="shared" si="58"/>
        <v>0</v>
      </c>
      <c r="G917" s="30">
        <f>IF(F917=0, 0, INDEX(tbl_Vulnerability[[0 ft]:[10 ft]], MATCH(Simulation!C917, tbl_Vulnerability[Construction_Class], 0), MATCH(Simulation!F917,{0,1,2,3,5,8,10}, 1)))</f>
        <v>0</v>
      </c>
      <c r="H917" s="4">
        <f t="shared" si="59"/>
        <v>0</v>
      </c>
      <c r="I917" s="33">
        <f t="shared" si="60"/>
        <v>1066835.3500000001</v>
      </c>
      <c r="J917" s="33">
        <f t="shared" si="61"/>
        <v>0</v>
      </c>
    </row>
    <row r="918" spans="1:10">
      <c r="A918" s="3">
        <v>10000909</v>
      </c>
      <c r="B918" s="3" t="str">
        <v>Paschim Medinipur</v>
      </c>
      <c r="C918" s="3" t="str">
        <v>Reinforced Concrete</v>
      </c>
      <c r="D918" s="3">
        <v>4</v>
      </c>
      <c r="E918" s="4">
        <v>43600700</v>
      </c>
      <c r="F918" s="3">
        <f t="shared" si="58"/>
        <v>0</v>
      </c>
      <c r="G918" s="30">
        <f>IF(F918=0, 0, INDEX(tbl_Vulnerability[[0 ft]:[10 ft]], MATCH(Simulation!C918, tbl_Vulnerability[Construction_Class], 0), MATCH(Simulation!F918,{0,1,2,3,5,8,10}, 1)))</f>
        <v>0</v>
      </c>
      <c r="H918" s="4">
        <f t="shared" si="59"/>
        <v>0</v>
      </c>
      <c r="I918" s="33">
        <f t="shared" si="60"/>
        <v>2180035</v>
      </c>
      <c r="J918" s="33">
        <f t="shared" si="61"/>
        <v>0</v>
      </c>
    </row>
    <row r="919" spans="1:10">
      <c r="A919" s="3">
        <v>10000910</v>
      </c>
      <c r="B919" s="3" t="str">
        <v>South 24 Parganas</v>
      </c>
      <c r="C919" s="3" t="str">
        <v>Reinforced Concrete</v>
      </c>
      <c r="D919" s="3">
        <v>4</v>
      </c>
      <c r="E919" s="4">
        <v>56819067</v>
      </c>
      <c r="F919" s="3">
        <f t="shared" si="58"/>
        <v>0</v>
      </c>
      <c r="G919" s="30">
        <f>IF(F919=0, 0, INDEX(tbl_Vulnerability[[0 ft]:[10 ft]], MATCH(Simulation!C919, tbl_Vulnerability[Construction_Class], 0), MATCH(Simulation!F919,{0,1,2,3,5,8,10}, 1)))</f>
        <v>0</v>
      </c>
      <c r="H919" s="4">
        <f t="shared" si="59"/>
        <v>0</v>
      </c>
      <c r="I919" s="33">
        <f t="shared" si="60"/>
        <v>2840953.35</v>
      </c>
      <c r="J919" s="33">
        <f t="shared" si="61"/>
        <v>0</v>
      </c>
    </row>
    <row r="920" spans="1:10">
      <c r="A920" s="3">
        <v>10000911</v>
      </c>
      <c r="B920" s="3" t="str">
        <v>Jalpaiguri</v>
      </c>
      <c r="C920" s="3" t="str">
        <v>Unreinforced Masonry</v>
      </c>
      <c r="D920" s="3">
        <v>2</v>
      </c>
      <c r="E920" s="4">
        <v>4200740</v>
      </c>
      <c r="F920" s="3">
        <f t="shared" si="58"/>
        <v>0</v>
      </c>
      <c r="G920" s="30">
        <f>IF(F920=0, 0, INDEX(tbl_Vulnerability[[0 ft]:[10 ft]], MATCH(Simulation!C920, tbl_Vulnerability[Construction_Class], 0), MATCH(Simulation!F920,{0,1,2,3,5,8,10}, 1)))</f>
        <v>0</v>
      </c>
      <c r="H920" s="4">
        <f t="shared" si="59"/>
        <v>0</v>
      </c>
      <c r="I920" s="33">
        <f t="shared" si="60"/>
        <v>210037</v>
      </c>
      <c r="J920" s="33">
        <f t="shared" si="61"/>
        <v>0</v>
      </c>
    </row>
    <row r="921" spans="1:10">
      <c r="A921" s="3">
        <v>10000912</v>
      </c>
      <c r="B921" s="3" t="str">
        <v>Paschim Medinipur</v>
      </c>
      <c r="C921" s="3" t="str">
        <v>Reinforced Concrete</v>
      </c>
      <c r="D921" s="3">
        <v>4</v>
      </c>
      <c r="E921" s="4">
        <v>44704403</v>
      </c>
      <c r="F921" s="3">
        <f t="shared" si="58"/>
        <v>0</v>
      </c>
      <c r="G921" s="30">
        <f>IF(F921=0, 0, INDEX(tbl_Vulnerability[[0 ft]:[10 ft]], MATCH(Simulation!C921, tbl_Vulnerability[Construction_Class], 0), MATCH(Simulation!F921,{0,1,2,3,5,8,10}, 1)))</f>
        <v>0</v>
      </c>
      <c r="H921" s="4">
        <f t="shared" si="59"/>
        <v>0</v>
      </c>
      <c r="I921" s="33">
        <f t="shared" si="60"/>
        <v>2235220.15</v>
      </c>
      <c r="J921" s="33">
        <f t="shared" si="61"/>
        <v>0</v>
      </c>
    </row>
    <row r="922" spans="1:10">
      <c r="A922" s="3">
        <v>10000913</v>
      </c>
      <c r="B922" s="3" t="str">
        <v>South 24 Parganas</v>
      </c>
      <c r="C922" s="3" t="str">
        <v>Reinforced Concrete</v>
      </c>
      <c r="D922" s="3">
        <v>4</v>
      </c>
      <c r="E922" s="4">
        <v>46643731</v>
      </c>
      <c r="F922" s="3">
        <f t="shared" si="58"/>
        <v>0</v>
      </c>
      <c r="G922" s="30">
        <f>IF(F922=0, 0, INDEX(tbl_Vulnerability[[0 ft]:[10 ft]], MATCH(Simulation!C922, tbl_Vulnerability[Construction_Class], 0), MATCH(Simulation!F922,{0,1,2,3,5,8,10}, 1)))</f>
        <v>0</v>
      </c>
      <c r="H922" s="4">
        <f t="shared" si="59"/>
        <v>0</v>
      </c>
      <c r="I922" s="33">
        <f t="shared" si="60"/>
        <v>2332186.5500000003</v>
      </c>
      <c r="J922" s="33">
        <f t="shared" si="61"/>
        <v>0</v>
      </c>
    </row>
    <row r="923" spans="1:10">
      <c r="A923" s="3">
        <v>10000914</v>
      </c>
      <c r="B923" s="3" t="str">
        <v>Malda</v>
      </c>
      <c r="C923" s="3" t="str">
        <v>Reinforced Concrete</v>
      </c>
      <c r="D923" s="3">
        <v>4</v>
      </c>
      <c r="E923" s="4">
        <v>1506193</v>
      </c>
      <c r="F923" s="3">
        <f t="shared" si="58"/>
        <v>6</v>
      </c>
      <c r="G923" s="30">
        <f>IF(F923=0, 0, INDEX(tbl_Vulnerability[[0 ft]:[10 ft]], MATCH(Simulation!C923, tbl_Vulnerability[Construction_Class], 0), MATCH(Simulation!F923,{0,1,2,3,5,8,10}, 1)))</f>
        <v>0.2</v>
      </c>
      <c r="H923" s="4">
        <f t="shared" si="59"/>
        <v>301238.60000000003</v>
      </c>
      <c r="I923" s="33">
        <f t="shared" si="60"/>
        <v>75309.650000000009</v>
      </c>
      <c r="J923" s="33">
        <f t="shared" si="61"/>
        <v>225928.95</v>
      </c>
    </row>
    <row r="924" spans="1:10">
      <c r="A924" s="3">
        <v>10000915</v>
      </c>
      <c r="B924" s="3" t="str">
        <v>Paschim Medinipur</v>
      </c>
      <c r="C924" s="3" t="str">
        <v>Reinforced Concrete</v>
      </c>
      <c r="D924" s="3">
        <v>4</v>
      </c>
      <c r="E924" s="4">
        <v>2364938</v>
      </c>
      <c r="F924" s="3">
        <f t="shared" si="58"/>
        <v>0</v>
      </c>
      <c r="G924" s="30">
        <f>IF(F924=0, 0, INDEX(tbl_Vulnerability[[0 ft]:[10 ft]], MATCH(Simulation!C924, tbl_Vulnerability[Construction_Class], 0), MATCH(Simulation!F924,{0,1,2,3,5,8,10}, 1)))</f>
        <v>0</v>
      </c>
      <c r="H924" s="4">
        <f t="shared" si="59"/>
        <v>0</v>
      </c>
      <c r="I924" s="33">
        <f t="shared" si="60"/>
        <v>118246.90000000001</v>
      </c>
      <c r="J924" s="33">
        <f t="shared" si="61"/>
        <v>0</v>
      </c>
    </row>
    <row r="925" spans="1:10">
      <c r="A925" s="3">
        <v>10000916</v>
      </c>
      <c r="B925" s="3" t="str">
        <v>Jalpaiguri</v>
      </c>
      <c r="C925" s="3" t="str">
        <v>Reinforced Concrete</v>
      </c>
      <c r="D925" s="3">
        <v>3</v>
      </c>
      <c r="E925" s="4">
        <v>61271717</v>
      </c>
      <c r="F925" s="3">
        <f t="shared" si="58"/>
        <v>0</v>
      </c>
      <c r="G925" s="30">
        <f>IF(F925=0, 0, INDEX(tbl_Vulnerability[[0 ft]:[10 ft]], MATCH(Simulation!C925, tbl_Vulnerability[Construction_Class], 0), MATCH(Simulation!F925,{0,1,2,3,5,8,10}, 1)))</f>
        <v>0</v>
      </c>
      <c r="H925" s="4">
        <f t="shared" si="59"/>
        <v>0</v>
      </c>
      <c r="I925" s="33">
        <f t="shared" si="60"/>
        <v>3063585.85</v>
      </c>
      <c r="J925" s="33">
        <f t="shared" si="61"/>
        <v>0</v>
      </c>
    </row>
    <row r="926" spans="1:10">
      <c r="A926" s="3">
        <v>10000917</v>
      </c>
      <c r="B926" s="3" t="str">
        <v>Malda</v>
      </c>
      <c r="C926" s="3" t="str">
        <v>Adobe / Light Timber</v>
      </c>
      <c r="D926" s="3">
        <v>0</v>
      </c>
      <c r="E926" s="4">
        <v>551796</v>
      </c>
      <c r="F926" s="3">
        <f t="shared" si="58"/>
        <v>10</v>
      </c>
      <c r="G926" s="30">
        <f>IF(F926=0, 0, INDEX(tbl_Vulnerability[[0 ft]:[10 ft]], MATCH(Simulation!C926, tbl_Vulnerability[Construction_Class], 0), MATCH(Simulation!F926,{0,1,2,3,5,8,10}, 1)))</f>
        <v>1</v>
      </c>
      <c r="H926" s="4">
        <f t="shared" si="59"/>
        <v>551796</v>
      </c>
      <c r="I926" s="33">
        <f t="shared" si="60"/>
        <v>27589.800000000003</v>
      </c>
      <c r="J926" s="33">
        <f t="shared" si="61"/>
        <v>524206.2</v>
      </c>
    </row>
    <row r="927" spans="1:10">
      <c r="A927" s="3">
        <v>10000918</v>
      </c>
      <c r="B927" s="3" t="str">
        <v>Malda</v>
      </c>
      <c r="C927" s="3" t="str">
        <v>Reinforced Concrete</v>
      </c>
      <c r="D927" s="3">
        <v>4</v>
      </c>
      <c r="E927" s="4">
        <v>64357020</v>
      </c>
      <c r="F927" s="3">
        <f t="shared" si="58"/>
        <v>6</v>
      </c>
      <c r="G927" s="30">
        <f>IF(F927=0, 0, INDEX(tbl_Vulnerability[[0 ft]:[10 ft]], MATCH(Simulation!C927, tbl_Vulnerability[Construction_Class], 0), MATCH(Simulation!F927,{0,1,2,3,5,8,10}, 1)))</f>
        <v>0.2</v>
      </c>
      <c r="H927" s="4">
        <f t="shared" si="59"/>
        <v>12871404</v>
      </c>
      <c r="I927" s="33">
        <f t="shared" si="60"/>
        <v>3217851</v>
      </c>
      <c r="J927" s="33">
        <f t="shared" si="61"/>
        <v>9653553</v>
      </c>
    </row>
    <row r="928" spans="1:10">
      <c r="A928" s="3">
        <v>10000919</v>
      </c>
      <c r="B928" s="3" t="str">
        <v>Hooghly</v>
      </c>
      <c r="C928" s="3" t="str">
        <v>Reinforced Concrete</v>
      </c>
      <c r="D928" s="3">
        <v>4</v>
      </c>
      <c r="E928" s="4">
        <v>37838156</v>
      </c>
      <c r="F928" s="3">
        <f t="shared" si="58"/>
        <v>0</v>
      </c>
      <c r="G928" s="30">
        <f>IF(F928=0, 0, INDEX(tbl_Vulnerability[[0 ft]:[10 ft]], MATCH(Simulation!C928, tbl_Vulnerability[Construction_Class], 0), MATCH(Simulation!F928,{0,1,2,3,5,8,10}, 1)))</f>
        <v>0</v>
      </c>
      <c r="H928" s="4">
        <f t="shared" si="59"/>
        <v>0</v>
      </c>
      <c r="I928" s="33">
        <f t="shared" si="60"/>
        <v>1891907.8</v>
      </c>
      <c r="J928" s="33">
        <f t="shared" si="61"/>
        <v>0</v>
      </c>
    </row>
    <row r="929" spans="1:10">
      <c r="A929" s="3">
        <v>10000920</v>
      </c>
      <c r="B929" s="3" t="str">
        <v>Malda</v>
      </c>
      <c r="C929" s="3" t="str">
        <v>Reinforced Concrete</v>
      </c>
      <c r="D929" s="3">
        <v>5</v>
      </c>
      <c r="E929" s="4">
        <v>54448115</v>
      </c>
      <c r="F929" s="3">
        <f t="shared" si="58"/>
        <v>5</v>
      </c>
      <c r="G929" s="30">
        <f>IF(F929=0, 0, INDEX(tbl_Vulnerability[[0 ft]:[10 ft]], MATCH(Simulation!C929, tbl_Vulnerability[Construction_Class], 0), MATCH(Simulation!F929,{0,1,2,3,5,8,10}, 1)))</f>
        <v>0.2</v>
      </c>
      <c r="H929" s="4">
        <f t="shared" si="59"/>
        <v>10889623</v>
      </c>
      <c r="I929" s="33">
        <f t="shared" si="60"/>
        <v>2722405.75</v>
      </c>
      <c r="J929" s="33">
        <f t="shared" si="61"/>
        <v>8167217.25</v>
      </c>
    </row>
    <row r="930" spans="1:10">
      <c r="A930" s="3">
        <v>10000921</v>
      </c>
      <c r="B930" s="3" t="str">
        <v>Kolkata</v>
      </c>
      <c r="C930" s="3" t="str">
        <v>Reinforced Concrete</v>
      </c>
      <c r="D930" s="3">
        <v>5</v>
      </c>
      <c r="E930" s="4">
        <v>19376586</v>
      </c>
      <c r="F930" s="3">
        <f t="shared" si="58"/>
        <v>0</v>
      </c>
      <c r="G930" s="30">
        <f>IF(F930=0, 0, INDEX(tbl_Vulnerability[[0 ft]:[10 ft]], MATCH(Simulation!C930, tbl_Vulnerability[Construction_Class], 0), MATCH(Simulation!F930,{0,1,2,3,5,8,10}, 1)))</f>
        <v>0</v>
      </c>
      <c r="H930" s="4">
        <f t="shared" si="59"/>
        <v>0</v>
      </c>
      <c r="I930" s="33">
        <f t="shared" si="60"/>
        <v>968829.3</v>
      </c>
      <c r="J930" s="33">
        <f t="shared" si="61"/>
        <v>0</v>
      </c>
    </row>
    <row r="931" spans="1:10">
      <c r="A931" s="3">
        <v>10000922</v>
      </c>
      <c r="B931" s="3" t="str">
        <v>South 24 Parganas</v>
      </c>
      <c r="C931" s="3" t="str">
        <v>Adobe / Light Timber</v>
      </c>
      <c r="D931" s="3">
        <v>2</v>
      </c>
      <c r="E931" s="4">
        <v>537197</v>
      </c>
      <c r="F931" s="3">
        <f t="shared" si="58"/>
        <v>0</v>
      </c>
      <c r="G931" s="30">
        <f>IF(F931=0, 0, INDEX(tbl_Vulnerability[[0 ft]:[10 ft]], MATCH(Simulation!C931, tbl_Vulnerability[Construction_Class], 0), MATCH(Simulation!F931,{0,1,2,3,5,8,10}, 1)))</f>
        <v>0</v>
      </c>
      <c r="H931" s="4">
        <f t="shared" si="59"/>
        <v>0</v>
      </c>
      <c r="I931" s="33">
        <f t="shared" si="60"/>
        <v>26859.850000000002</v>
      </c>
      <c r="J931" s="33">
        <f t="shared" si="61"/>
        <v>0</v>
      </c>
    </row>
    <row r="932" spans="1:10">
      <c r="A932" s="3">
        <v>10000923</v>
      </c>
      <c r="B932" s="3" t="str">
        <v>Jalpaiguri</v>
      </c>
      <c r="C932" s="3" t="str">
        <v>Unreinforced Masonry</v>
      </c>
      <c r="D932" s="3">
        <v>0</v>
      </c>
      <c r="E932" s="4">
        <v>18939771</v>
      </c>
      <c r="F932" s="3">
        <f t="shared" si="58"/>
        <v>0</v>
      </c>
      <c r="G932" s="30">
        <f>IF(F932=0, 0, INDEX(tbl_Vulnerability[[0 ft]:[10 ft]], MATCH(Simulation!C932, tbl_Vulnerability[Construction_Class], 0), MATCH(Simulation!F932,{0,1,2,3,5,8,10}, 1)))</f>
        <v>0</v>
      </c>
      <c r="H932" s="4">
        <f t="shared" si="59"/>
        <v>0</v>
      </c>
      <c r="I932" s="33">
        <f t="shared" si="60"/>
        <v>946988.55</v>
      </c>
      <c r="J932" s="33">
        <f t="shared" si="61"/>
        <v>0</v>
      </c>
    </row>
    <row r="933" spans="1:10">
      <c r="A933" s="3">
        <v>10000924</v>
      </c>
      <c r="B933" s="3" t="str">
        <v>Hooghly</v>
      </c>
      <c r="C933" s="3" t="str">
        <v>Unreinforced Masonry</v>
      </c>
      <c r="D933" s="3">
        <v>0</v>
      </c>
      <c r="E933" s="4">
        <v>1992077</v>
      </c>
      <c r="F933" s="3">
        <f t="shared" si="58"/>
        <v>0</v>
      </c>
      <c r="G933" s="30">
        <f>IF(F933=0, 0, INDEX(tbl_Vulnerability[[0 ft]:[10 ft]], MATCH(Simulation!C933, tbl_Vulnerability[Construction_Class], 0), MATCH(Simulation!F933,{0,1,2,3,5,8,10}, 1)))</f>
        <v>0</v>
      </c>
      <c r="H933" s="4">
        <f t="shared" si="59"/>
        <v>0</v>
      </c>
      <c r="I933" s="33">
        <f t="shared" si="60"/>
        <v>99603.85</v>
      </c>
      <c r="J933" s="33">
        <f t="shared" si="61"/>
        <v>0</v>
      </c>
    </row>
    <row r="934" spans="1:10">
      <c r="A934" s="3">
        <v>10000925</v>
      </c>
      <c r="B934" s="3" t="str">
        <v>Kolkata</v>
      </c>
      <c r="C934" s="3" t="str">
        <v>Reinforced Concrete</v>
      </c>
      <c r="D934" s="3">
        <v>3</v>
      </c>
      <c r="E934" s="4">
        <v>12781609</v>
      </c>
      <c r="F934" s="3">
        <f t="shared" si="58"/>
        <v>0</v>
      </c>
      <c r="G934" s="30">
        <f>IF(F934=0, 0, INDEX(tbl_Vulnerability[[0 ft]:[10 ft]], MATCH(Simulation!C934, tbl_Vulnerability[Construction_Class], 0), MATCH(Simulation!F934,{0,1,2,3,5,8,10}, 1)))</f>
        <v>0</v>
      </c>
      <c r="H934" s="4">
        <f t="shared" si="59"/>
        <v>0</v>
      </c>
      <c r="I934" s="33">
        <f t="shared" si="60"/>
        <v>639080.45000000007</v>
      </c>
      <c r="J934" s="33">
        <f t="shared" si="61"/>
        <v>0</v>
      </c>
    </row>
    <row r="935" spans="1:10">
      <c r="A935" s="3">
        <v>10000926</v>
      </c>
      <c r="B935" s="3" t="str">
        <v>Malda</v>
      </c>
      <c r="C935" s="3" t="str">
        <v>Reinforced Concrete</v>
      </c>
      <c r="D935" s="3">
        <v>4</v>
      </c>
      <c r="E935" s="4">
        <v>39711325</v>
      </c>
      <c r="F935" s="3">
        <f t="shared" si="58"/>
        <v>6</v>
      </c>
      <c r="G935" s="30">
        <f>IF(F935=0, 0, INDEX(tbl_Vulnerability[[0 ft]:[10 ft]], MATCH(Simulation!C935, tbl_Vulnerability[Construction_Class], 0), MATCH(Simulation!F935,{0,1,2,3,5,8,10}, 1)))</f>
        <v>0.2</v>
      </c>
      <c r="H935" s="4">
        <f t="shared" si="59"/>
        <v>7942265</v>
      </c>
      <c r="I935" s="33">
        <f t="shared" si="60"/>
        <v>1985566.25</v>
      </c>
      <c r="J935" s="33">
        <f t="shared" si="61"/>
        <v>5956698.75</v>
      </c>
    </row>
    <row r="936" spans="1:10">
      <c r="A936" s="3">
        <v>10000927</v>
      </c>
      <c r="B936" s="3" t="str">
        <v>South 24 Parganas</v>
      </c>
      <c r="C936" s="3" t="str">
        <v>Reinforced Concrete</v>
      </c>
      <c r="D936" s="3">
        <v>3</v>
      </c>
      <c r="E936" s="4">
        <v>9058863</v>
      </c>
      <c r="F936" s="3">
        <f t="shared" si="58"/>
        <v>0</v>
      </c>
      <c r="G936" s="30">
        <f>IF(F936=0, 0, INDEX(tbl_Vulnerability[[0 ft]:[10 ft]], MATCH(Simulation!C936, tbl_Vulnerability[Construction_Class], 0), MATCH(Simulation!F936,{0,1,2,3,5,8,10}, 1)))</f>
        <v>0</v>
      </c>
      <c r="H936" s="4">
        <f t="shared" si="59"/>
        <v>0</v>
      </c>
      <c r="I936" s="33">
        <f t="shared" si="60"/>
        <v>452943.15</v>
      </c>
      <c r="J936" s="33">
        <f t="shared" si="61"/>
        <v>0</v>
      </c>
    </row>
    <row r="937" spans="1:10">
      <c r="A937" s="3">
        <v>10000928</v>
      </c>
      <c r="B937" s="3" t="str">
        <v>Kolkata</v>
      </c>
      <c r="C937" s="3" t="str">
        <v>Reinforced Concrete</v>
      </c>
      <c r="D937" s="3">
        <v>5</v>
      </c>
      <c r="E937" s="4">
        <v>19757642</v>
      </c>
      <c r="F937" s="3">
        <f t="shared" si="58"/>
        <v>0</v>
      </c>
      <c r="G937" s="30">
        <f>IF(F937=0, 0, INDEX(tbl_Vulnerability[[0 ft]:[10 ft]], MATCH(Simulation!C937, tbl_Vulnerability[Construction_Class], 0), MATCH(Simulation!F937,{0,1,2,3,5,8,10}, 1)))</f>
        <v>0</v>
      </c>
      <c r="H937" s="4">
        <f t="shared" si="59"/>
        <v>0</v>
      </c>
      <c r="I937" s="33">
        <f t="shared" si="60"/>
        <v>987882.10000000009</v>
      </c>
      <c r="J937" s="33">
        <f t="shared" si="61"/>
        <v>0</v>
      </c>
    </row>
    <row r="938" spans="1:10">
      <c r="A938" s="3">
        <v>10000929</v>
      </c>
      <c r="B938" s="3" t="str">
        <v>Malda</v>
      </c>
      <c r="C938" s="3" t="str">
        <v>Unreinforced Masonry</v>
      </c>
      <c r="D938" s="3">
        <v>0</v>
      </c>
      <c r="E938" s="4">
        <v>4790233</v>
      </c>
      <c r="F938" s="3">
        <f t="shared" si="58"/>
        <v>10</v>
      </c>
      <c r="G938" s="30">
        <f>IF(F938=0, 0, INDEX(tbl_Vulnerability[[0 ft]:[10 ft]], MATCH(Simulation!C938, tbl_Vulnerability[Construction_Class], 0), MATCH(Simulation!F938,{0,1,2,3,5,8,10}, 1)))</f>
        <v>1</v>
      </c>
      <c r="H938" s="4">
        <f t="shared" si="59"/>
        <v>4790233</v>
      </c>
      <c r="I938" s="33">
        <f t="shared" si="60"/>
        <v>239511.65000000002</v>
      </c>
      <c r="J938" s="33">
        <f t="shared" si="61"/>
        <v>4550721.3499999996</v>
      </c>
    </row>
    <row r="939" spans="1:10">
      <c r="A939" s="3">
        <v>10000930</v>
      </c>
      <c r="B939" s="3" t="str">
        <v>Kolkata</v>
      </c>
      <c r="C939" s="3" t="str">
        <v>Reinforced Concrete</v>
      </c>
      <c r="D939" s="3">
        <v>4</v>
      </c>
      <c r="E939" s="4">
        <v>18694799</v>
      </c>
      <c r="F939" s="3">
        <f t="shared" si="58"/>
        <v>0</v>
      </c>
      <c r="G939" s="30">
        <f>IF(F939=0, 0, INDEX(tbl_Vulnerability[[0 ft]:[10 ft]], MATCH(Simulation!C939, tbl_Vulnerability[Construction_Class], 0), MATCH(Simulation!F939,{0,1,2,3,5,8,10}, 1)))</f>
        <v>0</v>
      </c>
      <c r="H939" s="4">
        <f t="shared" si="59"/>
        <v>0</v>
      </c>
      <c r="I939" s="33">
        <f t="shared" si="60"/>
        <v>934739.95000000007</v>
      </c>
      <c r="J939" s="33">
        <f t="shared" si="61"/>
        <v>0</v>
      </c>
    </row>
    <row r="940" spans="1:10">
      <c r="A940" s="3">
        <v>10000931</v>
      </c>
      <c r="B940" s="3" t="str">
        <v>Malda</v>
      </c>
      <c r="C940" s="3" t="str">
        <v>Reinforced Concrete</v>
      </c>
      <c r="D940" s="3">
        <v>5</v>
      </c>
      <c r="E940" s="4">
        <v>68716439</v>
      </c>
      <c r="F940" s="3">
        <f t="shared" si="58"/>
        <v>5</v>
      </c>
      <c r="G940" s="30">
        <f>IF(F940=0, 0, INDEX(tbl_Vulnerability[[0 ft]:[10 ft]], MATCH(Simulation!C940, tbl_Vulnerability[Construction_Class], 0), MATCH(Simulation!F940,{0,1,2,3,5,8,10}, 1)))</f>
        <v>0.2</v>
      </c>
      <c r="H940" s="4">
        <f t="shared" si="59"/>
        <v>13743287.800000001</v>
      </c>
      <c r="I940" s="33">
        <f t="shared" si="60"/>
        <v>3435821.95</v>
      </c>
      <c r="J940" s="33">
        <f t="shared" si="61"/>
        <v>10307465.850000001</v>
      </c>
    </row>
    <row r="941" spans="1:10">
      <c r="A941" s="3">
        <v>10000932</v>
      </c>
      <c r="B941" s="3" t="str">
        <v>Jalpaiguri</v>
      </c>
      <c r="C941" s="3" t="str">
        <v>Reinforced Concrete</v>
      </c>
      <c r="D941" s="3">
        <v>5</v>
      </c>
      <c r="E941" s="4">
        <v>60461921</v>
      </c>
      <c r="F941" s="3">
        <f t="shared" si="58"/>
        <v>0</v>
      </c>
      <c r="G941" s="30">
        <f>IF(F941=0, 0, INDEX(tbl_Vulnerability[[0 ft]:[10 ft]], MATCH(Simulation!C941, tbl_Vulnerability[Construction_Class], 0), MATCH(Simulation!F941,{0,1,2,3,5,8,10}, 1)))</f>
        <v>0</v>
      </c>
      <c r="H941" s="4">
        <f t="shared" si="59"/>
        <v>0</v>
      </c>
      <c r="I941" s="33">
        <f t="shared" si="60"/>
        <v>3023096.0500000003</v>
      </c>
      <c r="J941" s="33">
        <f t="shared" si="61"/>
        <v>0</v>
      </c>
    </row>
    <row r="942" spans="1:10">
      <c r="A942" s="3">
        <v>10000933</v>
      </c>
      <c r="B942" s="3" t="str">
        <v>South 24 Parganas</v>
      </c>
      <c r="C942" s="3" t="str">
        <v>Unreinforced Masonry</v>
      </c>
      <c r="D942" s="3">
        <v>2</v>
      </c>
      <c r="E942" s="4">
        <v>25588011</v>
      </c>
      <c r="F942" s="3">
        <f t="shared" si="58"/>
        <v>0</v>
      </c>
      <c r="G942" s="30">
        <f>IF(F942=0, 0, INDEX(tbl_Vulnerability[[0 ft]:[10 ft]], MATCH(Simulation!C942, tbl_Vulnerability[Construction_Class], 0), MATCH(Simulation!F942,{0,1,2,3,5,8,10}, 1)))</f>
        <v>0</v>
      </c>
      <c r="H942" s="4">
        <f t="shared" si="59"/>
        <v>0</v>
      </c>
      <c r="I942" s="33">
        <f t="shared" si="60"/>
        <v>1279400.55</v>
      </c>
      <c r="J942" s="33">
        <f t="shared" si="61"/>
        <v>0</v>
      </c>
    </row>
    <row r="943" spans="1:10">
      <c r="A943" s="3">
        <v>10000934</v>
      </c>
      <c r="B943" s="3" t="str">
        <v>Paschim Medinipur</v>
      </c>
      <c r="C943" s="3" t="str">
        <v>Reinforced Concrete</v>
      </c>
      <c r="D943" s="3">
        <v>3</v>
      </c>
      <c r="E943" s="4">
        <v>23821089</v>
      </c>
      <c r="F943" s="3">
        <f t="shared" si="58"/>
        <v>0</v>
      </c>
      <c r="G943" s="30">
        <f>IF(F943=0, 0, INDEX(tbl_Vulnerability[[0 ft]:[10 ft]], MATCH(Simulation!C943, tbl_Vulnerability[Construction_Class], 0), MATCH(Simulation!F943,{0,1,2,3,5,8,10}, 1)))</f>
        <v>0</v>
      </c>
      <c r="H943" s="4">
        <f t="shared" si="59"/>
        <v>0</v>
      </c>
      <c r="I943" s="33">
        <f t="shared" si="60"/>
        <v>1191054.45</v>
      </c>
      <c r="J943" s="33">
        <f t="shared" si="61"/>
        <v>0</v>
      </c>
    </row>
    <row r="944" spans="1:10">
      <c r="A944" s="3">
        <v>10000935</v>
      </c>
      <c r="B944" s="3" t="str">
        <v>Jalpaiguri</v>
      </c>
      <c r="C944" s="3" t="str">
        <v>Unreinforced Masonry</v>
      </c>
      <c r="D944" s="3">
        <v>0</v>
      </c>
      <c r="E944" s="4">
        <v>25577181</v>
      </c>
      <c r="F944" s="3">
        <f t="shared" si="58"/>
        <v>0</v>
      </c>
      <c r="G944" s="30">
        <f>IF(F944=0, 0, INDEX(tbl_Vulnerability[[0 ft]:[10 ft]], MATCH(Simulation!C944, tbl_Vulnerability[Construction_Class], 0), MATCH(Simulation!F944,{0,1,2,3,5,8,10}, 1)))</f>
        <v>0</v>
      </c>
      <c r="H944" s="4">
        <f t="shared" si="59"/>
        <v>0</v>
      </c>
      <c r="I944" s="33">
        <f t="shared" si="60"/>
        <v>1278859.05</v>
      </c>
      <c r="J944" s="33">
        <f t="shared" si="61"/>
        <v>0</v>
      </c>
    </row>
    <row r="945" spans="1:10">
      <c r="A945" s="3">
        <v>10000936</v>
      </c>
      <c r="B945" s="3" t="str">
        <v>Jalpaiguri</v>
      </c>
      <c r="C945" s="3" t="str">
        <v>Adobe / Light Timber</v>
      </c>
      <c r="D945" s="3">
        <v>1</v>
      </c>
      <c r="E945" s="4">
        <v>414646</v>
      </c>
      <c r="F945" s="3">
        <f t="shared" si="58"/>
        <v>0</v>
      </c>
      <c r="G945" s="30">
        <f>IF(F945=0, 0, INDEX(tbl_Vulnerability[[0 ft]:[10 ft]], MATCH(Simulation!C945, tbl_Vulnerability[Construction_Class], 0), MATCH(Simulation!F945,{0,1,2,3,5,8,10}, 1)))</f>
        <v>0</v>
      </c>
      <c r="H945" s="4">
        <f t="shared" si="59"/>
        <v>0</v>
      </c>
      <c r="I945" s="33">
        <f t="shared" si="60"/>
        <v>20732.300000000003</v>
      </c>
      <c r="J945" s="33">
        <f t="shared" si="61"/>
        <v>0</v>
      </c>
    </row>
    <row r="946" spans="1:10">
      <c r="A946" s="3">
        <v>10000937</v>
      </c>
      <c r="B946" s="3" t="str">
        <v>Paschim Medinipur</v>
      </c>
      <c r="C946" s="3" t="str">
        <v>Adobe / Light Timber</v>
      </c>
      <c r="D946" s="3">
        <v>0</v>
      </c>
      <c r="E946" s="4">
        <v>372935</v>
      </c>
      <c r="F946" s="3">
        <f t="shared" si="58"/>
        <v>0</v>
      </c>
      <c r="G946" s="30">
        <f>IF(F946=0, 0, INDEX(tbl_Vulnerability[[0 ft]:[10 ft]], MATCH(Simulation!C946, tbl_Vulnerability[Construction_Class], 0), MATCH(Simulation!F946,{0,1,2,3,5,8,10}, 1)))</f>
        <v>0</v>
      </c>
      <c r="H946" s="4">
        <f t="shared" si="59"/>
        <v>0</v>
      </c>
      <c r="I946" s="33">
        <f t="shared" si="60"/>
        <v>18646.75</v>
      </c>
      <c r="J946" s="33">
        <f t="shared" si="61"/>
        <v>0</v>
      </c>
    </row>
    <row r="947" spans="1:10">
      <c r="A947" s="3">
        <v>10000938</v>
      </c>
      <c r="B947" s="3" t="str">
        <v>South 24 Parganas</v>
      </c>
      <c r="C947" s="3" t="str">
        <v>Reinforced Concrete</v>
      </c>
      <c r="D947" s="3">
        <v>5</v>
      </c>
      <c r="E947" s="4">
        <v>35798720</v>
      </c>
      <c r="F947" s="3">
        <f t="shared" si="58"/>
        <v>0</v>
      </c>
      <c r="G947" s="30">
        <f>IF(F947=0, 0, INDEX(tbl_Vulnerability[[0 ft]:[10 ft]], MATCH(Simulation!C947, tbl_Vulnerability[Construction_Class], 0), MATCH(Simulation!F947,{0,1,2,3,5,8,10}, 1)))</f>
        <v>0</v>
      </c>
      <c r="H947" s="4">
        <f t="shared" si="59"/>
        <v>0</v>
      </c>
      <c r="I947" s="33">
        <f t="shared" si="60"/>
        <v>1789936</v>
      </c>
      <c r="J947" s="33">
        <f t="shared" si="61"/>
        <v>0</v>
      </c>
    </row>
    <row r="948" spans="1:10">
      <c r="A948" s="3">
        <v>10000939</v>
      </c>
      <c r="B948" s="3" t="str">
        <v>South 24 Parganas</v>
      </c>
      <c r="C948" s="3" t="str">
        <v>Reinforced Concrete</v>
      </c>
      <c r="D948" s="3">
        <v>4</v>
      </c>
      <c r="E948" s="4">
        <v>38525128</v>
      </c>
      <c r="F948" s="3">
        <f t="shared" si="58"/>
        <v>0</v>
      </c>
      <c r="G948" s="30">
        <f>IF(F948=0, 0, INDEX(tbl_Vulnerability[[0 ft]:[10 ft]], MATCH(Simulation!C948, tbl_Vulnerability[Construction_Class], 0), MATCH(Simulation!F948,{0,1,2,3,5,8,10}, 1)))</f>
        <v>0</v>
      </c>
      <c r="H948" s="4">
        <f t="shared" si="59"/>
        <v>0</v>
      </c>
      <c r="I948" s="33">
        <f t="shared" si="60"/>
        <v>1926256.4000000001</v>
      </c>
      <c r="J948" s="33">
        <f t="shared" si="61"/>
        <v>0</v>
      </c>
    </row>
    <row r="949" spans="1:10">
      <c r="A949" s="3">
        <v>10000940</v>
      </c>
      <c r="B949" s="3" t="str">
        <v>South 24 Parganas</v>
      </c>
      <c r="C949" s="3" t="str">
        <v>Reinforced Concrete</v>
      </c>
      <c r="D949" s="3">
        <v>3</v>
      </c>
      <c r="E949" s="4">
        <v>4779499</v>
      </c>
      <c r="F949" s="3">
        <f t="shared" si="58"/>
        <v>0</v>
      </c>
      <c r="G949" s="30">
        <f>IF(F949=0, 0, INDEX(tbl_Vulnerability[[0 ft]:[10 ft]], MATCH(Simulation!C949, tbl_Vulnerability[Construction_Class], 0), MATCH(Simulation!F949,{0,1,2,3,5,8,10}, 1)))</f>
        <v>0</v>
      </c>
      <c r="H949" s="4">
        <f t="shared" si="59"/>
        <v>0</v>
      </c>
      <c r="I949" s="33">
        <f t="shared" si="60"/>
        <v>238974.95</v>
      </c>
      <c r="J949" s="33">
        <f t="shared" si="61"/>
        <v>0</v>
      </c>
    </row>
    <row r="950" spans="1:10">
      <c r="A950" s="3">
        <v>10000941</v>
      </c>
      <c r="B950" s="3" t="str">
        <v>Kolkata</v>
      </c>
      <c r="C950" s="3" t="str">
        <v>Reinforced Concrete</v>
      </c>
      <c r="D950" s="3">
        <v>4</v>
      </c>
      <c r="E950" s="4">
        <v>3518202</v>
      </c>
      <c r="F950" s="3">
        <f t="shared" si="58"/>
        <v>0</v>
      </c>
      <c r="G950" s="30">
        <f>IF(F950=0, 0, INDEX(tbl_Vulnerability[[0 ft]:[10 ft]], MATCH(Simulation!C950, tbl_Vulnerability[Construction_Class], 0), MATCH(Simulation!F950,{0,1,2,3,5,8,10}, 1)))</f>
        <v>0</v>
      </c>
      <c r="H950" s="4">
        <f t="shared" si="59"/>
        <v>0</v>
      </c>
      <c r="I950" s="33">
        <f t="shared" si="60"/>
        <v>175910.1</v>
      </c>
      <c r="J950" s="33">
        <f t="shared" si="61"/>
        <v>0</v>
      </c>
    </row>
    <row r="951" spans="1:10">
      <c r="A951" s="3">
        <v>10000942</v>
      </c>
      <c r="B951" s="3" t="str">
        <v>Hooghly</v>
      </c>
      <c r="C951" s="3" t="str">
        <v>Reinforced Concrete</v>
      </c>
      <c r="D951" s="3">
        <v>4</v>
      </c>
      <c r="E951" s="4">
        <v>35049859</v>
      </c>
      <c r="F951" s="3">
        <f t="shared" si="58"/>
        <v>0</v>
      </c>
      <c r="G951" s="30">
        <f>IF(F951=0, 0, INDEX(tbl_Vulnerability[[0 ft]:[10 ft]], MATCH(Simulation!C951, tbl_Vulnerability[Construction_Class], 0), MATCH(Simulation!F951,{0,1,2,3,5,8,10}, 1)))</f>
        <v>0</v>
      </c>
      <c r="H951" s="4">
        <f t="shared" si="59"/>
        <v>0</v>
      </c>
      <c r="I951" s="33">
        <f t="shared" si="60"/>
        <v>1752492.9500000002</v>
      </c>
      <c r="J951" s="33">
        <f t="shared" si="61"/>
        <v>0</v>
      </c>
    </row>
    <row r="952" spans="1:10">
      <c r="A952" s="3">
        <v>10000943</v>
      </c>
      <c r="B952" s="3" t="str">
        <v>Hooghly</v>
      </c>
      <c r="C952" s="3" t="str">
        <v>Adobe / Light Timber</v>
      </c>
      <c r="D952" s="3">
        <v>2</v>
      </c>
      <c r="E952" s="4">
        <v>572043</v>
      </c>
      <c r="F952" s="3">
        <f t="shared" si="58"/>
        <v>0</v>
      </c>
      <c r="G952" s="30">
        <f>IF(F952=0, 0, INDEX(tbl_Vulnerability[[0 ft]:[10 ft]], MATCH(Simulation!C952, tbl_Vulnerability[Construction_Class], 0), MATCH(Simulation!F952,{0,1,2,3,5,8,10}, 1)))</f>
        <v>0</v>
      </c>
      <c r="H952" s="4">
        <f t="shared" si="59"/>
        <v>0</v>
      </c>
      <c r="I952" s="33">
        <f t="shared" si="60"/>
        <v>28602.15</v>
      </c>
      <c r="J952" s="33">
        <f t="shared" si="61"/>
        <v>0</v>
      </c>
    </row>
    <row r="953" spans="1:10">
      <c r="A953" s="3">
        <v>10000944</v>
      </c>
      <c r="B953" s="3" t="str">
        <v>Paschim Medinipur</v>
      </c>
      <c r="C953" s="3" t="str">
        <v>Unreinforced Masonry</v>
      </c>
      <c r="D953" s="3">
        <v>1</v>
      </c>
      <c r="E953" s="4">
        <v>18164270</v>
      </c>
      <c r="F953" s="3">
        <f t="shared" si="58"/>
        <v>0</v>
      </c>
      <c r="G953" s="30">
        <f>IF(F953=0, 0, INDEX(tbl_Vulnerability[[0 ft]:[10 ft]], MATCH(Simulation!C953, tbl_Vulnerability[Construction_Class], 0), MATCH(Simulation!F953,{0,1,2,3,5,8,10}, 1)))</f>
        <v>0</v>
      </c>
      <c r="H953" s="4">
        <f t="shared" si="59"/>
        <v>0</v>
      </c>
      <c r="I953" s="33">
        <f t="shared" si="60"/>
        <v>908213.5</v>
      </c>
      <c r="J953" s="33">
        <f t="shared" si="61"/>
        <v>0</v>
      </c>
    </row>
    <row r="954" spans="1:10">
      <c r="A954" s="3">
        <v>10000945</v>
      </c>
      <c r="B954" s="3" t="str">
        <v>Kolkata</v>
      </c>
      <c r="C954" s="3" t="str">
        <v>Reinforced Concrete</v>
      </c>
      <c r="D954" s="3">
        <v>3</v>
      </c>
      <c r="E954" s="4">
        <v>11639256</v>
      </c>
      <c r="F954" s="3">
        <f t="shared" si="58"/>
        <v>0</v>
      </c>
      <c r="G954" s="30">
        <f>IF(F954=0, 0, INDEX(tbl_Vulnerability[[0 ft]:[10 ft]], MATCH(Simulation!C954, tbl_Vulnerability[Construction_Class], 0), MATCH(Simulation!F954,{0,1,2,3,5,8,10}, 1)))</f>
        <v>0</v>
      </c>
      <c r="H954" s="4">
        <f t="shared" si="59"/>
        <v>0</v>
      </c>
      <c r="I954" s="33">
        <f t="shared" si="60"/>
        <v>581962.80000000005</v>
      </c>
      <c r="J954" s="33">
        <f t="shared" si="61"/>
        <v>0</v>
      </c>
    </row>
    <row r="955" spans="1:10">
      <c r="A955" s="3">
        <v>10000946</v>
      </c>
      <c r="B955" s="3" t="str">
        <v>South 24 Parganas</v>
      </c>
      <c r="C955" s="3" t="str">
        <v>Reinforced Concrete</v>
      </c>
      <c r="D955" s="3">
        <v>5</v>
      </c>
      <c r="E955" s="4">
        <v>59934981</v>
      </c>
      <c r="F955" s="3">
        <f t="shared" si="58"/>
        <v>0</v>
      </c>
      <c r="G955" s="30">
        <f>IF(F955=0, 0, INDEX(tbl_Vulnerability[[0 ft]:[10 ft]], MATCH(Simulation!C955, tbl_Vulnerability[Construction_Class], 0), MATCH(Simulation!F955,{0,1,2,3,5,8,10}, 1)))</f>
        <v>0</v>
      </c>
      <c r="H955" s="4">
        <f t="shared" si="59"/>
        <v>0</v>
      </c>
      <c r="I955" s="33">
        <f t="shared" si="60"/>
        <v>2996749.0500000003</v>
      </c>
      <c r="J955" s="33">
        <f t="shared" si="61"/>
        <v>0</v>
      </c>
    </row>
    <row r="956" spans="1:10">
      <c r="A956" s="3">
        <v>10000947</v>
      </c>
      <c r="B956" s="3" t="str">
        <v>South 24 Parganas</v>
      </c>
      <c r="C956" s="3" t="str">
        <v>Reinforced Concrete</v>
      </c>
      <c r="D956" s="3">
        <v>4</v>
      </c>
      <c r="E956" s="4">
        <v>5469177</v>
      </c>
      <c r="F956" s="3">
        <f t="shared" si="58"/>
        <v>0</v>
      </c>
      <c r="G956" s="30">
        <f>IF(F956=0, 0, INDEX(tbl_Vulnerability[[0 ft]:[10 ft]], MATCH(Simulation!C956, tbl_Vulnerability[Construction_Class], 0), MATCH(Simulation!F956,{0,1,2,3,5,8,10}, 1)))</f>
        <v>0</v>
      </c>
      <c r="H956" s="4">
        <f t="shared" si="59"/>
        <v>0</v>
      </c>
      <c r="I956" s="33">
        <f t="shared" si="60"/>
        <v>273458.85000000003</v>
      </c>
      <c r="J956" s="33">
        <f t="shared" si="61"/>
        <v>0</v>
      </c>
    </row>
    <row r="957" spans="1:10">
      <c r="A957" s="3">
        <v>10000948</v>
      </c>
      <c r="B957" s="3" t="str">
        <v>Kolkata</v>
      </c>
      <c r="C957" s="3" t="str">
        <v>Reinforced Concrete</v>
      </c>
      <c r="D957" s="3">
        <v>3</v>
      </c>
      <c r="E957" s="4">
        <v>4061719</v>
      </c>
      <c r="F957" s="3">
        <f t="shared" si="58"/>
        <v>0</v>
      </c>
      <c r="G957" s="30">
        <f>IF(F957=0, 0, INDEX(tbl_Vulnerability[[0 ft]:[10 ft]], MATCH(Simulation!C957, tbl_Vulnerability[Construction_Class], 0), MATCH(Simulation!F957,{0,1,2,3,5,8,10}, 1)))</f>
        <v>0</v>
      </c>
      <c r="H957" s="4">
        <f t="shared" si="59"/>
        <v>0</v>
      </c>
      <c r="I957" s="33">
        <f t="shared" si="60"/>
        <v>203085.95</v>
      </c>
      <c r="J957" s="33">
        <f t="shared" si="61"/>
        <v>0</v>
      </c>
    </row>
    <row r="958" spans="1:10">
      <c r="A958" s="3">
        <v>10000949</v>
      </c>
      <c r="B958" s="3" t="str">
        <v>Kolkata</v>
      </c>
      <c r="C958" s="3" t="str">
        <v>Reinforced Concrete</v>
      </c>
      <c r="D958" s="3">
        <v>3</v>
      </c>
      <c r="E958" s="4">
        <v>15379463</v>
      </c>
      <c r="F958" s="3">
        <f t="shared" si="58"/>
        <v>0</v>
      </c>
      <c r="G958" s="30">
        <f>IF(F958=0, 0, INDEX(tbl_Vulnerability[[0 ft]:[10 ft]], MATCH(Simulation!C958, tbl_Vulnerability[Construction_Class], 0), MATCH(Simulation!F958,{0,1,2,3,5,8,10}, 1)))</f>
        <v>0</v>
      </c>
      <c r="H958" s="4">
        <f t="shared" si="59"/>
        <v>0</v>
      </c>
      <c r="I958" s="33">
        <f t="shared" si="60"/>
        <v>768973.15</v>
      </c>
      <c r="J958" s="33">
        <f t="shared" si="61"/>
        <v>0</v>
      </c>
    </row>
    <row r="959" spans="1:10">
      <c r="A959" s="3">
        <v>10000950</v>
      </c>
      <c r="B959" s="3" t="str">
        <v>Malda</v>
      </c>
      <c r="C959" s="3" t="str">
        <v>Adobe / Light Timber</v>
      </c>
      <c r="D959" s="3">
        <v>0</v>
      </c>
      <c r="E959" s="4">
        <v>411349</v>
      </c>
      <c r="F959" s="3">
        <f t="shared" si="58"/>
        <v>10</v>
      </c>
      <c r="G959" s="30">
        <f>IF(F959=0, 0, INDEX(tbl_Vulnerability[[0 ft]:[10 ft]], MATCH(Simulation!C959, tbl_Vulnerability[Construction_Class], 0), MATCH(Simulation!F959,{0,1,2,3,5,8,10}, 1)))</f>
        <v>1</v>
      </c>
      <c r="H959" s="4">
        <f t="shared" si="59"/>
        <v>411349</v>
      </c>
      <c r="I959" s="33">
        <f t="shared" si="60"/>
        <v>20567.45</v>
      </c>
      <c r="J959" s="33">
        <f t="shared" si="61"/>
        <v>390781.55</v>
      </c>
    </row>
    <row r="960" spans="1:10">
      <c r="A960" s="3">
        <v>10000951</v>
      </c>
      <c r="B960" s="3" t="str">
        <v>Kolkata</v>
      </c>
      <c r="C960" s="3" t="str">
        <v>Unreinforced Masonry</v>
      </c>
      <c r="D960" s="3">
        <v>0</v>
      </c>
      <c r="E960" s="4">
        <v>15476505</v>
      </c>
      <c r="F960" s="3">
        <f t="shared" si="58"/>
        <v>0</v>
      </c>
      <c r="G960" s="30">
        <f>IF(F960=0, 0, INDEX(tbl_Vulnerability[[0 ft]:[10 ft]], MATCH(Simulation!C960, tbl_Vulnerability[Construction_Class], 0), MATCH(Simulation!F960,{0,1,2,3,5,8,10}, 1)))</f>
        <v>0</v>
      </c>
      <c r="H960" s="4">
        <f t="shared" si="59"/>
        <v>0</v>
      </c>
      <c r="I960" s="33">
        <f t="shared" si="60"/>
        <v>773825.25</v>
      </c>
      <c r="J960" s="33">
        <f t="shared" si="61"/>
        <v>0</v>
      </c>
    </row>
    <row r="961" spans="1:10">
      <c r="A961" s="3">
        <v>10000952</v>
      </c>
      <c r="B961" s="3" t="str">
        <v>Malda</v>
      </c>
      <c r="C961" s="3" t="str">
        <v>Reinforced Concrete</v>
      </c>
      <c r="D961" s="3">
        <v>4</v>
      </c>
      <c r="E961" s="4">
        <v>50818773</v>
      </c>
      <c r="F961" s="3">
        <f t="shared" si="58"/>
        <v>6</v>
      </c>
      <c r="G961" s="30">
        <f>IF(F961=0, 0, INDEX(tbl_Vulnerability[[0 ft]:[10 ft]], MATCH(Simulation!C961, tbl_Vulnerability[Construction_Class], 0), MATCH(Simulation!F961,{0,1,2,3,5,8,10}, 1)))</f>
        <v>0.2</v>
      </c>
      <c r="H961" s="4">
        <f t="shared" si="59"/>
        <v>10163754.600000001</v>
      </c>
      <c r="I961" s="33">
        <f t="shared" si="60"/>
        <v>2540938.6500000004</v>
      </c>
      <c r="J961" s="33">
        <f t="shared" si="61"/>
        <v>7622815.9500000011</v>
      </c>
    </row>
    <row r="962" spans="1:10">
      <c r="A962" s="3">
        <v>10000953</v>
      </c>
      <c r="B962" s="3" t="str">
        <v>Malda</v>
      </c>
      <c r="C962" s="3" t="str">
        <v>Reinforced Concrete</v>
      </c>
      <c r="D962" s="3">
        <v>3</v>
      </c>
      <c r="E962" s="4">
        <v>38921534</v>
      </c>
      <c r="F962" s="3">
        <f t="shared" si="58"/>
        <v>7</v>
      </c>
      <c r="G962" s="30">
        <f>IF(F962=0, 0, INDEX(tbl_Vulnerability[[0 ft]:[10 ft]], MATCH(Simulation!C962, tbl_Vulnerability[Construction_Class], 0), MATCH(Simulation!F962,{0,1,2,3,5,8,10}, 1)))</f>
        <v>0.2</v>
      </c>
      <c r="H962" s="4">
        <f t="shared" si="59"/>
        <v>7784306.8000000007</v>
      </c>
      <c r="I962" s="33">
        <f t="shared" si="60"/>
        <v>1946076.7000000002</v>
      </c>
      <c r="J962" s="33">
        <f t="shared" si="61"/>
        <v>5838230.1000000006</v>
      </c>
    </row>
    <row r="963" spans="1:10">
      <c r="A963" s="3">
        <v>10000954</v>
      </c>
      <c r="B963" s="3" t="str">
        <v>Jalpaiguri</v>
      </c>
      <c r="C963" s="3" t="str">
        <v>Adobe / Light Timber</v>
      </c>
      <c r="D963" s="3">
        <v>2</v>
      </c>
      <c r="E963" s="4">
        <v>565100</v>
      </c>
      <c r="F963" s="3">
        <f t="shared" si="58"/>
        <v>0</v>
      </c>
      <c r="G963" s="30">
        <f>IF(F963=0, 0, INDEX(tbl_Vulnerability[[0 ft]:[10 ft]], MATCH(Simulation!C963, tbl_Vulnerability[Construction_Class], 0), MATCH(Simulation!F963,{0,1,2,3,5,8,10}, 1)))</f>
        <v>0</v>
      </c>
      <c r="H963" s="4">
        <f t="shared" si="59"/>
        <v>0</v>
      </c>
      <c r="I963" s="33">
        <f t="shared" si="60"/>
        <v>28255</v>
      </c>
      <c r="J963" s="33">
        <f t="shared" si="61"/>
        <v>0</v>
      </c>
    </row>
    <row r="964" spans="1:10">
      <c r="A964" s="3">
        <v>10000955</v>
      </c>
      <c r="B964" s="3" t="str">
        <v>Jalpaiguri</v>
      </c>
      <c r="C964" s="3" t="str">
        <v>Reinforced Concrete</v>
      </c>
      <c r="D964" s="3">
        <v>4</v>
      </c>
      <c r="E964" s="4">
        <v>3874902</v>
      </c>
      <c r="F964" s="3">
        <f t="shared" si="58"/>
        <v>0</v>
      </c>
      <c r="G964" s="30">
        <f>IF(F964=0, 0, INDEX(tbl_Vulnerability[[0 ft]:[10 ft]], MATCH(Simulation!C964, tbl_Vulnerability[Construction_Class], 0), MATCH(Simulation!F964,{0,1,2,3,5,8,10}, 1)))</f>
        <v>0</v>
      </c>
      <c r="H964" s="4">
        <f t="shared" si="59"/>
        <v>0</v>
      </c>
      <c r="I964" s="33">
        <f t="shared" si="60"/>
        <v>193745.1</v>
      </c>
      <c r="J964" s="33">
        <f t="shared" si="61"/>
        <v>0</v>
      </c>
    </row>
    <row r="965" spans="1:10">
      <c r="A965" s="3">
        <v>10000956</v>
      </c>
      <c r="B965" s="3" t="str">
        <v>Kolkata</v>
      </c>
      <c r="C965" s="3" t="str">
        <v>Unreinforced Masonry</v>
      </c>
      <c r="D965" s="3">
        <v>2</v>
      </c>
      <c r="E965" s="4">
        <v>12236371</v>
      </c>
      <c r="F965" s="3">
        <f t="shared" si="58"/>
        <v>0</v>
      </c>
      <c r="G965" s="30">
        <f>IF(F965=0, 0, INDEX(tbl_Vulnerability[[0 ft]:[10 ft]], MATCH(Simulation!C965, tbl_Vulnerability[Construction_Class], 0), MATCH(Simulation!F965,{0,1,2,3,5,8,10}, 1)))</f>
        <v>0</v>
      </c>
      <c r="H965" s="4">
        <f t="shared" si="59"/>
        <v>0</v>
      </c>
      <c r="I965" s="33">
        <f t="shared" si="60"/>
        <v>611818.55000000005</v>
      </c>
      <c r="J965" s="33">
        <f t="shared" si="61"/>
        <v>0</v>
      </c>
    </row>
    <row r="966" spans="1:10">
      <c r="A966" s="3">
        <v>10000957</v>
      </c>
      <c r="B966" s="3" t="str">
        <v>Kolkata</v>
      </c>
      <c r="C966" s="3" t="str">
        <v>Unreinforced Masonry</v>
      </c>
      <c r="D966" s="3">
        <v>2</v>
      </c>
      <c r="E966" s="4">
        <v>3373410</v>
      </c>
      <c r="F966" s="3">
        <f t="shared" si="58"/>
        <v>0</v>
      </c>
      <c r="G966" s="30">
        <f>IF(F966=0, 0, INDEX(tbl_Vulnerability[[0 ft]:[10 ft]], MATCH(Simulation!C966, tbl_Vulnerability[Construction_Class], 0), MATCH(Simulation!F966,{0,1,2,3,5,8,10}, 1)))</f>
        <v>0</v>
      </c>
      <c r="H966" s="4">
        <f t="shared" si="59"/>
        <v>0</v>
      </c>
      <c r="I966" s="33">
        <f t="shared" si="60"/>
        <v>168670.5</v>
      </c>
      <c r="J966" s="33">
        <f t="shared" si="61"/>
        <v>0</v>
      </c>
    </row>
    <row r="967" spans="1:10">
      <c r="A967" s="3">
        <v>10000958</v>
      </c>
      <c r="B967" s="3" t="str">
        <v>Paschim Medinipur</v>
      </c>
      <c r="C967" s="3" t="str">
        <v>Reinforced Concrete</v>
      </c>
      <c r="D967" s="3">
        <v>4</v>
      </c>
      <c r="E967" s="4">
        <v>38438689</v>
      </c>
      <c r="F967" s="3">
        <f t="shared" si="58"/>
        <v>0</v>
      </c>
      <c r="G967" s="30">
        <f>IF(F967=0, 0, INDEX(tbl_Vulnerability[[0 ft]:[10 ft]], MATCH(Simulation!C967, tbl_Vulnerability[Construction_Class], 0), MATCH(Simulation!F967,{0,1,2,3,5,8,10}, 1)))</f>
        <v>0</v>
      </c>
      <c r="H967" s="4">
        <f t="shared" si="59"/>
        <v>0</v>
      </c>
      <c r="I967" s="33">
        <f t="shared" si="60"/>
        <v>1921934.4500000002</v>
      </c>
      <c r="J967" s="33">
        <f t="shared" si="61"/>
        <v>0</v>
      </c>
    </row>
    <row r="968" spans="1:10">
      <c r="A968" s="3">
        <v>10000959</v>
      </c>
      <c r="B968" s="3" t="str">
        <v>Jalpaiguri</v>
      </c>
      <c r="C968" s="3" t="str">
        <v>Reinforced Concrete</v>
      </c>
      <c r="D968" s="3">
        <v>4</v>
      </c>
      <c r="E968" s="4">
        <v>5086865</v>
      </c>
      <c r="F968" s="3">
        <f t="shared" si="58"/>
        <v>0</v>
      </c>
      <c r="G968" s="30">
        <f>IF(F968=0, 0, INDEX(tbl_Vulnerability[[0 ft]:[10 ft]], MATCH(Simulation!C968, tbl_Vulnerability[Construction_Class], 0), MATCH(Simulation!F968,{0,1,2,3,5,8,10}, 1)))</f>
        <v>0</v>
      </c>
      <c r="H968" s="4">
        <f t="shared" si="59"/>
        <v>0</v>
      </c>
      <c r="I968" s="33">
        <f t="shared" si="60"/>
        <v>254343.25</v>
      </c>
      <c r="J968" s="33">
        <f t="shared" si="61"/>
        <v>0</v>
      </c>
    </row>
    <row r="969" spans="1:10">
      <c r="A969" s="3">
        <v>10000960</v>
      </c>
      <c r="B969" s="3" t="str">
        <v>Jalpaiguri</v>
      </c>
      <c r="C969" s="3" t="str">
        <v>Unreinforced Masonry</v>
      </c>
      <c r="D969" s="3">
        <v>1</v>
      </c>
      <c r="E969" s="4">
        <v>7373362</v>
      </c>
      <c r="F969" s="3">
        <f t="shared" si="58"/>
        <v>0</v>
      </c>
      <c r="G969" s="30">
        <f>IF(F969=0, 0, INDEX(tbl_Vulnerability[[0 ft]:[10 ft]], MATCH(Simulation!C969, tbl_Vulnerability[Construction_Class], 0), MATCH(Simulation!F969,{0,1,2,3,5,8,10}, 1)))</f>
        <v>0</v>
      </c>
      <c r="H969" s="4">
        <f t="shared" si="59"/>
        <v>0</v>
      </c>
      <c r="I969" s="33">
        <f t="shared" si="60"/>
        <v>368668.10000000003</v>
      </c>
      <c r="J969" s="33">
        <f t="shared" si="61"/>
        <v>0</v>
      </c>
    </row>
    <row r="970" spans="1:10">
      <c r="A970" s="3">
        <v>10000961</v>
      </c>
      <c r="B970" s="3" t="str">
        <v>Hooghly</v>
      </c>
      <c r="C970" s="3" t="str">
        <v>Adobe / Light Timber</v>
      </c>
      <c r="D970" s="3">
        <v>1</v>
      </c>
      <c r="E970" s="4">
        <v>459149</v>
      </c>
      <c r="F970" s="3">
        <f t="shared" si="58"/>
        <v>0</v>
      </c>
      <c r="G970" s="30">
        <f>IF(F970=0, 0, INDEX(tbl_Vulnerability[[0 ft]:[10 ft]], MATCH(Simulation!C970, tbl_Vulnerability[Construction_Class], 0), MATCH(Simulation!F970,{0,1,2,3,5,8,10}, 1)))</f>
        <v>0</v>
      </c>
      <c r="H970" s="4">
        <f t="shared" si="59"/>
        <v>0</v>
      </c>
      <c r="I970" s="33">
        <f t="shared" si="60"/>
        <v>22957.45</v>
      </c>
      <c r="J970" s="33">
        <f t="shared" si="61"/>
        <v>0</v>
      </c>
    </row>
    <row r="971" spans="1:10">
      <c r="A971" s="3">
        <v>10000962</v>
      </c>
      <c r="B971" s="3" t="str">
        <v>Paschim Medinipur</v>
      </c>
      <c r="C971" s="3" t="str">
        <v>Unreinforced Masonry</v>
      </c>
      <c r="D971" s="3">
        <v>0</v>
      </c>
      <c r="E971" s="4">
        <v>5249908</v>
      </c>
      <c r="F971" s="3">
        <f t="shared" ref="F971:F1009" si="62">IF(B971=$B$2, MAX(0, $B$3 - D971), 0)</f>
        <v>0</v>
      </c>
      <c r="G971" s="30">
        <f>IF(F971=0, 0, INDEX(tbl_Vulnerability[[0 ft]:[10 ft]], MATCH(Simulation!C971, tbl_Vulnerability[Construction_Class], 0), MATCH(Simulation!F971,{0,1,2,3,5,8,10}, 1)))</f>
        <v>0</v>
      </c>
      <c r="H971" s="4">
        <f t="shared" ref="H971:H1009" si="63">E971*G971</f>
        <v>0</v>
      </c>
      <c r="I971" s="33">
        <f t="shared" ref="I971:I1009" si="64">E971*$B$4</f>
        <v>262495.40000000002</v>
      </c>
      <c r="J971" s="33">
        <f t="shared" ref="J971:J1009" si="65">MAX(0, H971 - I971)</f>
        <v>0</v>
      </c>
    </row>
    <row r="972" spans="1:10">
      <c r="A972" s="3">
        <v>10000963</v>
      </c>
      <c r="B972" s="3" t="str">
        <v>Paschim Medinipur</v>
      </c>
      <c r="C972" s="3" t="str">
        <v>Reinforced Concrete</v>
      </c>
      <c r="D972" s="3">
        <v>5</v>
      </c>
      <c r="E972" s="4">
        <v>56671426</v>
      </c>
      <c r="F972" s="3">
        <f t="shared" si="62"/>
        <v>0</v>
      </c>
      <c r="G972" s="30">
        <f>IF(F972=0, 0, INDEX(tbl_Vulnerability[[0 ft]:[10 ft]], MATCH(Simulation!C972, tbl_Vulnerability[Construction_Class], 0), MATCH(Simulation!F972,{0,1,2,3,5,8,10}, 1)))</f>
        <v>0</v>
      </c>
      <c r="H972" s="4">
        <f t="shared" si="63"/>
        <v>0</v>
      </c>
      <c r="I972" s="33">
        <f t="shared" si="64"/>
        <v>2833571.3000000003</v>
      </c>
      <c r="J972" s="33">
        <f t="shared" si="65"/>
        <v>0</v>
      </c>
    </row>
    <row r="973" spans="1:10">
      <c r="A973" s="3">
        <v>10000964</v>
      </c>
      <c r="B973" s="3" t="str">
        <v>Malda</v>
      </c>
      <c r="C973" s="3" t="str">
        <v>Reinforced Concrete</v>
      </c>
      <c r="D973" s="3">
        <v>4</v>
      </c>
      <c r="E973" s="4">
        <v>13581101</v>
      </c>
      <c r="F973" s="3">
        <f t="shared" si="62"/>
        <v>6</v>
      </c>
      <c r="G973" s="30">
        <f>IF(F973=0, 0, INDEX(tbl_Vulnerability[[0 ft]:[10 ft]], MATCH(Simulation!C973, tbl_Vulnerability[Construction_Class], 0), MATCH(Simulation!F973,{0,1,2,3,5,8,10}, 1)))</f>
        <v>0.2</v>
      </c>
      <c r="H973" s="4">
        <f t="shared" si="63"/>
        <v>2716220.2</v>
      </c>
      <c r="I973" s="33">
        <f t="shared" si="64"/>
        <v>679055.05</v>
      </c>
      <c r="J973" s="33">
        <f t="shared" si="65"/>
        <v>2037165.1500000001</v>
      </c>
    </row>
    <row r="974" spans="1:10">
      <c r="A974" s="3">
        <v>10000965</v>
      </c>
      <c r="B974" s="3" t="str">
        <v>Hooghly</v>
      </c>
      <c r="C974" s="3" t="str">
        <v>Reinforced Concrete</v>
      </c>
      <c r="D974" s="3">
        <v>3</v>
      </c>
      <c r="E974" s="4">
        <v>55892806</v>
      </c>
      <c r="F974" s="3">
        <f t="shared" si="62"/>
        <v>0</v>
      </c>
      <c r="G974" s="30">
        <f>IF(F974=0, 0, INDEX(tbl_Vulnerability[[0 ft]:[10 ft]], MATCH(Simulation!C974, tbl_Vulnerability[Construction_Class], 0), MATCH(Simulation!F974,{0,1,2,3,5,8,10}, 1)))</f>
        <v>0</v>
      </c>
      <c r="H974" s="4">
        <f t="shared" si="63"/>
        <v>0</v>
      </c>
      <c r="I974" s="33">
        <f t="shared" si="64"/>
        <v>2794640.3000000003</v>
      </c>
      <c r="J974" s="33">
        <f t="shared" si="65"/>
        <v>0</v>
      </c>
    </row>
    <row r="975" spans="1:10">
      <c r="A975" s="3">
        <v>10000966</v>
      </c>
      <c r="B975" s="3" t="str">
        <v>Jalpaiguri</v>
      </c>
      <c r="C975" s="3" t="str">
        <v>Reinforced Concrete</v>
      </c>
      <c r="D975" s="3">
        <v>3</v>
      </c>
      <c r="E975" s="4">
        <v>4762174</v>
      </c>
      <c r="F975" s="3">
        <f t="shared" si="62"/>
        <v>0</v>
      </c>
      <c r="G975" s="30">
        <f>IF(F975=0, 0, INDEX(tbl_Vulnerability[[0 ft]:[10 ft]], MATCH(Simulation!C975, tbl_Vulnerability[Construction_Class], 0), MATCH(Simulation!F975,{0,1,2,3,5,8,10}, 1)))</f>
        <v>0</v>
      </c>
      <c r="H975" s="4">
        <f t="shared" si="63"/>
        <v>0</v>
      </c>
      <c r="I975" s="33">
        <f t="shared" si="64"/>
        <v>238108.7</v>
      </c>
      <c r="J975" s="33">
        <f t="shared" si="65"/>
        <v>0</v>
      </c>
    </row>
    <row r="976" spans="1:10">
      <c r="A976" s="3">
        <v>10000967</v>
      </c>
      <c r="B976" s="3" t="str">
        <v>Malda</v>
      </c>
      <c r="C976" s="3" t="str">
        <v>Reinforced Concrete</v>
      </c>
      <c r="D976" s="3">
        <v>5</v>
      </c>
      <c r="E976" s="4">
        <v>16016525</v>
      </c>
      <c r="F976" s="3">
        <f t="shared" si="62"/>
        <v>5</v>
      </c>
      <c r="G976" s="30">
        <f>IF(F976=0, 0, INDEX(tbl_Vulnerability[[0 ft]:[10 ft]], MATCH(Simulation!C976, tbl_Vulnerability[Construction_Class], 0), MATCH(Simulation!F976,{0,1,2,3,5,8,10}, 1)))</f>
        <v>0.2</v>
      </c>
      <c r="H976" s="4">
        <f t="shared" si="63"/>
        <v>3203305</v>
      </c>
      <c r="I976" s="33">
        <f t="shared" si="64"/>
        <v>800826.25</v>
      </c>
      <c r="J976" s="33">
        <f t="shared" si="65"/>
        <v>2402478.75</v>
      </c>
    </row>
    <row r="977" spans="1:10">
      <c r="A977" s="3">
        <v>10000968</v>
      </c>
      <c r="B977" s="3" t="str">
        <v>Paschim Medinipur</v>
      </c>
      <c r="C977" s="3" t="str">
        <v>Unreinforced Masonry</v>
      </c>
      <c r="D977" s="3">
        <v>1</v>
      </c>
      <c r="E977" s="4">
        <v>7192194</v>
      </c>
      <c r="F977" s="3">
        <f t="shared" si="62"/>
        <v>0</v>
      </c>
      <c r="G977" s="30">
        <f>IF(F977=0, 0, INDEX(tbl_Vulnerability[[0 ft]:[10 ft]], MATCH(Simulation!C977, tbl_Vulnerability[Construction_Class], 0), MATCH(Simulation!F977,{0,1,2,3,5,8,10}, 1)))</f>
        <v>0</v>
      </c>
      <c r="H977" s="4">
        <f t="shared" si="63"/>
        <v>0</v>
      </c>
      <c r="I977" s="33">
        <f t="shared" si="64"/>
        <v>359609.7</v>
      </c>
      <c r="J977" s="33">
        <f t="shared" si="65"/>
        <v>0</v>
      </c>
    </row>
    <row r="978" spans="1:10">
      <c r="A978" s="3">
        <v>10000969</v>
      </c>
      <c r="B978" s="3" t="str">
        <v>Paschim Medinipur</v>
      </c>
      <c r="C978" s="3" t="str">
        <v>Unreinforced Masonry</v>
      </c>
      <c r="D978" s="3">
        <v>1</v>
      </c>
      <c r="E978" s="4">
        <v>18290691</v>
      </c>
      <c r="F978" s="3">
        <f t="shared" si="62"/>
        <v>0</v>
      </c>
      <c r="G978" s="30">
        <f>IF(F978=0, 0, INDEX(tbl_Vulnerability[[0 ft]:[10 ft]], MATCH(Simulation!C978, tbl_Vulnerability[Construction_Class], 0), MATCH(Simulation!F978,{0,1,2,3,5,8,10}, 1)))</f>
        <v>0</v>
      </c>
      <c r="H978" s="4">
        <f t="shared" si="63"/>
        <v>0</v>
      </c>
      <c r="I978" s="33">
        <f t="shared" si="64"/>
        <v>914534.55</v>
      </c>
      <c r="J978" s="33">
        <f t="shared" si="65"/>
        <v>0</v>
      </c>
    </row>
    <row r="979" spans="1:10">
      <c r="A979" s="3">
        <v>10000970</v>
      </c>
      <c r="B979" s="3" t="str">
        <v>South 24 Parganas</v>
      </c>
      <c r="C979" s="3" t="str">
        <v>Reinforced Concrete</v>
      </c>
      <c r="D979" s="3">
        <v>3</v>
      </c>
      <c r="E979" s="4">
        <v>6765156</v>
      </c>
      <c r="F979" s="3">
        <f t="shared" si="62"/>
        <v>0</v>
      </c>
      <c r="G979" s="30">
        <f>IF(F979=0, 0, INDEX(tbl_Vulnerability[[0 ft]:[10 ft]], MATCH(Simulation!C979, tbl_Vulnerability[Construction_Class], 0), MATCH(Simulation!F979,{0,1,2,3,5,8,10}, 1)))</f>
        <v>0</v>
      </c>
      <c r="H979" s="4">
        <f t="shared" si="63"/>
        <v>0</v>
      </c>
      <c r="I979" s="33">
        <f t="shared" si="64"/>
        <v>338257.80000000005</v>
      </c>
      <c r="J979" s="33">
        <f t="shared" si="65"/>
        <v>0</v>
      </c>
    </row>
    <row r="980" spans="1:10">
      <c r="A980" s="3">
        <v>10000971</v>
      </c>
      <c r="B980" s="3" t="str">
        <v>Jalpaiguri</v>
      </c>
      <c r="C980" s="3" t="str">
        <v>Reinforced Concrete</v>
      </c>
      <c r="D980" s="3">
        <v>4</v>
      </c>
      <c r="E980" s="4">
        <v>17126738</v>
      </c>
      <c r="F980" s="3">
        <f t="shared" si="62"/>
        <v>0</v>
      </c>
      <c r="G980" s="30">
        <f>IF(F980=0, 0, INDEX(tbl_Vulnerability[[0 ft]:[10 ft]], MATCH(Simulation!C980, tbl_Vulnerability[Construction_Class], 0), MATCH(Simulation!F980,{0,1,2,3,5,8,10}, 1)))</f>
        <v>0</v>
      </c>
      <c r="H980" s="4">
        <f t="shared" si="63"/>
        <v>0</v>
      </c>
      <c r="I980" s="33">
        <f t="shared" si="64"/>
        <v>856336.9</v>
      </c>
      <c r="J980" s="33">
        <f t="shared" si="65"/>
        <v>0</v>
      </c>
    </row>
    <row r="981" spans="1:10">
      <c r="A981" s="3">
        <v>10000972</v>
      </c>
      <c r="B981" s="3" t="str">
        <v>Jalpaiguri</v>
      </c>
      <c r="C981" s="3" t="str">
        <v>Unreinforced Masonry</v>
      </c>
      <c r="D981" s="3">
        <v>1</v>
      </c>
      <c r="E981" s="4">
        <v>12272053</v>
      </c>
      <c r="F981" s="3">
        <f t="shared" si="62"/>
        <v>0</v>
      </c>
      <c r="G981" s="30">
        <f>IF(F981=0, 0, INDEX(tbl_Vulnerability[[0 ft]:[10 ft]], MATCH(Simulation!C981, tbl_Vulnerability[Construction_Class], 0), MATCH(Simulation!F981,{0,1,2,3,5,8,10}, 1)))</f>
        <v>0</v>
      </c>
      <c r="H981" s="4">
        <f t="shared" si="63"/>
        <v>0</v>
      </c>
      <c r="I981" s="33">
        <f t="shared" si="64"/>
        <v>613602.65</v>
      </c>
      <c r="J981" s="33">
        <f t="shared" si="65"/>
        <v>0</v>
      </c>
    </row>
    <row r="982" spans="1:10">
      <c r="A982" s="3">
        <v>10000973</v>
      </c>
      <c r="B982" s="3" t="str">
        <v>Malda</v>
      </c>
      <c r="C982" s="3" t="str">
        <v>Adobe / Light Timber</v>
      </c>
      <c r="D982" s="3">
        <v>2</v>
      </c>
      <c r="E982" s="4">
        <v>544284</v>
      </c>
      <c r="F982" s="3">
        <f t="shared" si="62"/>
        <v>8</v>
      </c>
      <c r="G982" s="30">
        <f>IF(F982=0, 0, INDEX(tbl_Vulnerability[[0 ft]:[10 ft]], MATCH(Simulation!C982, tbl_Vulnerability[Construction_Class], 0), MATCH(Simulation!F982,{0,1,2,3,5,8,10}, 1)))</f>
        <v>1</v>
      </c>
      <c r="H982" s="4">
        <f t="shared" si="63"/>
        <v>544284</v>
      </c>
      <c r="I982" s="33">
        <f t="shared" si="64"/>
        <v>27214.2</v>
      </c>
      <c r="J982" s="33">
        <f t="shared" si="65"/>
        <v>517069.8</v>
      </c>
    </row>
    <row r="983" spans="1:10">
      <c r="A983" s="3">
        <v>10000974</v>
      </c>
      <c r="B983" s="3" t="str">
        <v>South 24 Parganas</v>
      </c>
      <c r="C983" s="3" t="str">
        <v>Reinforced Concrete</v>
      </c>
      <c r="D983" s="3">
        <v>3</v>
      </c>
      <c r="E983" s="4">
        <v>19447718</v>
      </c>
      <c r="F983" s="3">
        <f t="shared" si="62"/>
        <v>0</v>
      </c>
      <c r="G983" s="30">
        <f>IF(F983=0, 0, INDEX(tbl_Vulnerability[[0 ft]:[10 ft]], MATCH(Simulation!C983, tbl_Vulnerability[Construction_Class], 0), MATCH(Simulation!F983,{0,1,2,3,5,8,10}, 1)))</f>
        <v>0</v>
      </c>
      <c r="H983" s="4">
        <f t="shared" si="63"/>
        <v>0</v>
      </c>
      <c r="I983" s="33">
        <f t="shared" si="64"/>
        <v>972385.9</v>
      </c>
      <c r="J983" s="33">
        <f t="shared" si="65"/>
        <v>0</v>
      </c>
    </row>
    <row r="984" spans="1:10">
      <c r="A984" s="3">
        <v>10000975</v>
      </c>
      <c r="B984" s="3" t="str">
        <v>Hooghly</v>
      </c>
      <c r="C984" s="3" t="str">
        <v>Reinforced Concrete</v>
      </c>
      <c r="D984" s="3">
        <v>4</v>
      </c>
      <c r="E984" s="4">
        <v>20054079</v>
      </c>
      <c r="F984" s="3">
        <f t="shared" si="62"/>
        <v>0</v>
      </c>
      <c r="G984" s="30">
        <f>IF(F984=0, 0, INDEX(tbl_Vulnerability[[0 ft]:[10 ft]], MATCH(Simulation!C984, tbl_Vulnerability[Construction_Class], 0), MATCH(Simulation!F984,{0,1,2,3,5,8,10}, 1)))</f>
        <v>0</v>
      </c>
      <c r="H984" s="4">
        <f t="shared" si="63"/>
        <v>0</v>
      </c>
      <c r="I984" s="33">
        <f t="shared" si="64"/>
        <v>1002703.9500000001</v>
      </c>
      <c r="J984" s="33">
        <f t="shared" si="65"/>
        <v>0</v>
      </c>
    </row>
    <row r="985" spans="1:10">
      <c r="A985" s="3">
        <v>10000976</v>
      </c>
      <c r="B985" s="3" t="str">
        <v>South 24 Parganas</v>
      </c>
      <c r="C985" s="3" t="str">
        <v>Adobe / Light Timber</v>
      </c>
      <c r="D985" s="3">
        <v>0</v>
      </c>
      <c r="E985" s="4">
        <v>395155</v>
      </c>
      <c r="F985" s="3">
        <f t="shared" si="62"/>
        <v>0</v>
      </c>
      <c r="G985" s="30">
        <f>IF(F985=0, 0, INDEX(tbl_Vulnerability[[0 ft]:[10 ft]], MATCH(Simulation!C985, tbl_Vulnerability[Construction_Class], 0), MATCH(Simulation!F985,{0,1,2,3,5,8,10}, 1)))</f>
        <v>0</v>
      </c>
      <c r="H985" s="4">
        <f t="shared" si="63"/>
        <v>0</v>
      </c>
      <c r="I985" s="33">
        <f t="shared" si="64"/>
        <v>19757.75</v>
      </c>
      <c r="J985" s="33">
        <f t="shared" si="65"/>
        <v>0</v>
      </c>
    </row>
    <row r="986" spans="1:10">
      <c r="A986" s="3">
        <v>10000977</v>
      </c>
      <c r="B986" s="3" t="str">
        <v>Jalpaiguri</v>
      </c>
      <c r="C986" s="3" t="str">
        <v>Unreinforced Masonry</v>
      </c>
      <c r="D986" s="3">
        <v>0</v>
      </c>
      <c r="E986" s="4">
        <v>16424480</v>
      </c>
      <c r="F986" s="3">
        <f t="shared" si="62"/>
        <v>0</v>
      </c>
      <c r="G986" s="30">
        <f>IF(F986=0, 0, INDEX(tbl_Vulnerability[[0 ft]:[10 ft]], MATCH(Simulation!C986, tbl_Vulnerability[Construction_Class], 0), MATCH(Simulation!F986,{0,1,2,3,5,8,10}, 1)))</f>
        <v>0</v>
      </c>
      <c r="H986" s="4">
        <f t="shared" si="63"/>
        <v>0</v>
      </c>
      <c r="I986" s="33">
        <f t="shared" si="64"/>
        <v>821224</v>
      </c>
      <c r="J986" s="33">
        <f t="shared" si="65"/>
        <v>0</v>
      </c>
    </row>
    <row r="987" spans="1:10">
      <c r="A987" s="3">
        <v>10000978</v>
      </c>
      <c r="B987" s="3" t="str">
        <v>Paschim Medinipur</v>
      </c>
      <c r="C987" s="3" t="str">
        <v>Unreinforced Masonry</v>
      </c>
      <c r="D987" s="3">
        <v>2</v>
      </c>
      <c r="E987" s="4">
        <v>19282975</v>
      </c>
      <c r="F987" s="3">
        <f t="shared" si="62"/>
        <v>0</v>
      </c>
      <c r="G987" s="30">
        <f>IF(F987=0, 0, INDEX(tbl_Vulnerability[[0 ft]:[10 ft]], MATCH(Simulation!C987, tbl_Vulnerability[Construction_Class], 0), MATCH(Simulation!F987,{0,1,2,3,5,8,10}, 1)))</f>
        <v>0</v>
      </c>
      <c r="H987" s="4">
        <f t="shared" si="63"/>
        <v>0</v>
      </c>
      <c r="I987" s="33">
        <f t="shared" si="64"/>
        <v>964148.75</v>
      </c>
      <c r="J987" s="33">
        <f t="shared" si="65"/>
        <v>0</v>
      </c>
    </row>
    <row r="988" spans="1:10">
      <c r="A988" s="3">
        <v>10000979</v>
      </c>
      <c r="B988" s="3" t="str">
        <v>Malda</v>
      </c>
      <c r="C988" s="3" t="str">
        <v>Reinforced Concrete</v>
      </c>
      <c r="D988" s="3">
        <v>3</v>
      </c>
      <c r="E988" s="4">
        <v>63126309</v>
      </c>
      <c r="F988" s="3">
        <f t="shared" si="62"/>
        <v>7</v>
      </c>
      <c r="G988" s="30">
        <f>IF(F988=0, 0, INDEX(tbl_Vulnerability[[0 ft]:[10 ft]], MATCH(Simulation!C988, tbl_Vulnerability[Construction_Class], 0), MATCH(Simulation!F988,{0,1,2,3,5,8,10}, 1)))</f>
        <v>0.2</v>
      </c>
      <c r="H988" s="4">
        <f t="shared" si="63"/>
        <v>12625261.800000001</v>
      </c>
      <c r="I988" s="33">
        <f t="shared" si="64"/>
        <v>3156315.45</v>
      </c>
      <c r="J988" s="33">
        <f t="shared" si="65"/>
        <v>9468946.3500000015</v>
      </c>
    </row>
    <row r="989" spans="1:10">
      <c r="A989" s="3">
        <v>10000980</v>
      </c>
      <c r="B989" s="3" t="str">
        <v>South 24 Parganas</v>
      </c>
      <c r="C989" s="3" t="str">
        <v>Unreinforced Masonry</v>
      </c>
      <c r="D989" s="3">
        <v>2</v>
      </c>
      <c r="E989" s="4">
        <v>15252546</v>
      </c>
      <c r="F989" s="3">
        <f t="shared" si="62"/>
        <v>0</v>
      </c>
      <c r="G989" s="30">
        <f>IF(F989=0, 0, INDEX(tbl_Vulnerability[[0 ft]:[10 ft]], MATCH(Simulation!C989, tbl_Vulnerability[Construction_Class], 0), MATCH(Simulation!F989,{0,1,2,3,5,8,10}, 1)))</f>
        <v>0</v>
      </c>
      <c r="H989" s="4">
        <f t="shared" si="63"/>
        <v>0</v>
      </c>
      <c r="I989" s="33">
        <f t="shared" si="64"/>
        <v>762627.3</v>
      </c>
      <c r="J989" s="33">
        <f t="shared" si="65"/>
        <v>0</v>
      </c>
    </row>
    <row r="990" spans="1:10">
      <c r="A990" s="3">
        <v>10000981</v>
      </c>
      <c r="B990" s="3" t="str">
        <v>Hooghly</v>
      </c>
      <c r="C990" s="3" t="str">
        <v>Reinforced Concrete</v>
      </c>
      <c r="D990" s="3">
        <v>3</v>
      </c>
      <c r="E990" s="4">
        <v>49062868</v>
      </c>
      <c r="F990" s="3">
        <f t="shared" si="62"/>
        <v>0</v>
      </c>
      <c r="G990" s="30">
        <f>IF(F990=0, 0, INDEX(tbl_Vulnerability[[0 ft]:[10 ft]], MATCH(Simulation!C990, tbl_Vulnerability[Construction_Class], 0), MATCH(Simulation!F990,{0,1,2,3,5,8,10}, 1)))</f>
        <v>0</v>
      </c>
      <c r="H990" s="4">
        <f t="shared" si="63"/>
        <v>0</v>
      </c>
      <c r="I990" s="33">
        <f t="shared" si="64"/>
        <v>2453143.4</v>
      </c>
      <c r="J990" s="33">
        <f t="shared" si="65"/>
        <v>0</v>
      </c>
    </row>
    <row r="991" spans="1:10">
      <c r="A991" s="3">
        <v>10000982</v>
      </c>
      <c r="B991" s="3" t="str">
        <v>South 24 Parganas</v>
      </c>
      <c r="C991" s="3" t="str">
        <v>Unreinforced Masonry</v>
      </c>
      <c r="D991" s="3">
        <v>0</v>
      </c>
      <c r="E991" s="4">
        <v>5765233</v>
      </c>
      <c r="F991" s="3">
        <f t="shared" si="62"/>
        <v>0</v>
      </c>
      <c r="G991" s="30">
        <f>IF(F991=0, 0, INDEX(tbl_Vulnerability[[0 ft]:[10 ft]], MATCH(Simulation!C991, tbl_Vulnerability[Construction_Class], 0), MATCH(Simulation!F991,{0,1,2,3,5,8,10}, 1)))</f>
        <v>0</v>
      </c>
      <c r="H991" s="4">
        <f t="shared" si="63"/>
        <v>0</v>
      </c>
      <c r="I991" s="33">
        <f t="shared" si="64"/>
        <v>288261.65000000002</v>
      </c>
      <c r="J991" s="33">
        <f t="shared" si="65"/>
        <v>0</v>
      </c>
    </row>
    <row r="992" spans="1:10">
      <c r="A992" s="3">
        <v>10000983</v>
      </c>
      <c r="B992" s="3" t="str">
        <v>South 24 Parganas</v>
      </c>
      <c r="C992" s="3" t="str">
        <v>Adobe / Light Timber</v>
      </c>
      <c r="D992" s="3">
        <v>1</v>
      </c>
      <c r="E992" s="4">
        <v>604378</v>
      </c>
      <c r="F992" s="3">
        <f t="shared" si="62"/>
        <v>0</v>
      </c>
      <c r="G992" s="30">
        <f>IF(F992=0, 0, INDEX(tbl_Vulnerability[[0 ft]:[10 ft]], MATCH(Simulation!C992, tbl_Vulnerability[Construction_Class], 0), MATCH(Simulation!F992,{0,1,2,3,5,8,10}, 1)))</f>
        <v>0</v>
      </c>
      <c r="H992" s="4">
        <f t="shared" si="63"/>
        <v>0</v>
      </c>
      <c r="I992" s="33">
        <f t="shared" si="64"/>
        <v>30218.9</v>
      </c>
      <c r="J992" s="33">
        <f t="shared" si="65"/>
        <v>0</v>
      </c>
    </row>
    <row r="993" spans="1:10">
      <c r="A993" s="3">
        <v>10000984</v>
      </c>
      <c r="B993" s="3" t="str">
        <v>Jalpaiguri</v>
      </c>
      <c r="C993" s="3" t="str">
        <v>Reinforced Concrete</v>
      </c>
      <c r="D993" s="3">
        <v>4</v>
      </c>
      <c r="E993" s="4">
        <v>25205320</v>
      </c>
      <c r="F993" s="3">
        <f t="shared" si="62"/>
        <v>0</v>
      </c>
      <c r="G993" s="30">
        <f>IF(F993=0, 0, INDEX(tbl_Vulnerability[[0 ft]:[10 ft]], MATCH(Simulation!C993, tbl_Vulnerability[Construction_Class], 0), MATCH(Simulation!F993,{0,1,2,3,5,8,10}, 1)))</f>
        <v>0</v>
      </c>
      <c r="H993" s="4">
        <f t="shared" si="63"/>
        <v>0</v>
      </c>
      <c r="I993" s="33">
        <f t="shared" si="64"/>
        <v>1260266</v>
      </c>
      <c r="J993" s="33">
        <f t="shared" si="65"/>
        <v>0</v>
      </c>
    </row>
    <row r="994" spans="1:10">
      <c r="A994" s="3">
        <v>10000985</v>
      </c>
      <c r="B994" s="3" t="str">
        <v>Hooghly</v>
      </c>
      <c r="C994" s="3" t="str">
        <v>Reinforced Concrete</v>
      </c>
      <c r="D994" s="3">
        <v>4</v>
      </c>
      <c r="E994" s="4">
        <v>10485227</v>
      </c>
      <c r="F994" s="3">
        <f t="shared" si="62"/>
        <v>0</v>
      </c>
      <c r="G994" s="30">
        <f>IF(F994=0, 0, INDEX(tbl_Vulnerability[[0 ft]:[10 ft]], MATCH(Simulation!C994, tbl_Vulnerability[Construction_Class], 0), MATCH(Simulation!F994,{0,1,2,3,5,8,10}, 1)))</f>
        <v>0</v>
      </c>
      <c r="H994" s="4">
        <f t="shared" si="63"/>
        <v>0</v>
      </c>
      <c r="I994" s="33">
        <f t="shared" si="64"/>
        <v>524261.35000000003</v>
      </c>
      <c r="J994" s="33">
        <f t="shared" si="65"/>
        <v>0</v>
      </c>
    </row>
    <row r="995" spans="1:10">
      <c r="A995" s="3">
        <v>10000986</v>
      </c>
      <c r="B995" s="3" t="str">
        <v>Hooghly</v>
      </c>
      <c r="C995" s="3" t="str">
        <v>Reinforced Concrete</v>
      </c>
      <c r="D995" s="3">
        <v>3</v>
      </c>
      <c r="E995" s="4">
        <v>17497638</v>
      </c>
      <c r="F995" s="3">
        <f t="shared" si="62"/>
        <v>0</v>
      </c>
      <c r="G995" s="30">
        <f>IF(F995=0, 0, INDEX(tbl_Vulnerability[[0 ft]:[10 ft]], MATCH(Simulation!C995, tbl_Vulnerability[Construction_Class], 0), MATCH(Simulation!F995,{0,1,2,3,5,8,10}, 1)))</f>
        <v>0</v>
      </c>
      <c r="H995" s="4">
        <f t="shared" si="63"/>
        <v>0</v>
      </c>
      <c r="I995" s="33">
        <f t="shared" si="64"/>
        <v>874881.9</v>
      </c>
      <c r="J995" s="33">
        <f t="shared" si="65"/>
        <v>0</v>
      </c>
    </row>
    <row r="996" spans="1:10">
      <c r="A996" s="3">
        <v>10000987</v>
      </c>
      <c r="B996" s="3" t="str">
        <v>Kolkata</v>
      </c>
      <c r="C996" s="3" t="str">
        <v>Unreinforced Masonry</v>
      </c>
      <c r="D996" s="3">
        <v>1</v>
      </c>
      <c r="E996" s="4">
        <v>21155412</v>
      </c>
      <c r="F996" s="3">
        <f t="shared" si="62"/>
        <v>0</v>
      </c>
      <c r="G996" s="30">
        <f>IF(F996=0, 0, INDEX(tbl_Vulnerability[[0 ft]:[10 ft]], MATCH(Simulation!C996, tbl_Vulnerability[Construction_Class], 0), MATCH(Simulation!F996,{0,1,2,3,5,8,10}, 1)))</f>
        <v>0</v>
      </c>
      <c r="H996" s="4">
        <f t="shared" si="63"/>
        <v>0</v>
      </c>
      <c r="I996" s="33">
        <f t="shared" si="64"/>
        <v>1057770.6000000001</v>
      </c>
      <c r="J996" s="33">
        <f t="shared" si="65"/>
        <v>0</v>
      </c>
    </row>
    <row r="997" spans="1:10">
      <c r="A997" s="3">
        <v>10000988</v>
      </c>
      <c r="B997" s="3" t="str">
        <v>Jalpaiguri</v>
      </c>
      <c r="C997" s="3" t="str">
        <v>Unreinforced Masonry</v>
      </c>
      <c r="D997" s="3">
        <v>1</v>
      </c>
      <c r="E997" s="4">
        <v>19429359</v>
      </c>
      <c r="F997" s="3">
        <f t="shared" si="62"/>
        <v>0</v>
      </c>
      <c r="G997" s="30">
        <f>IF(F997=0, 0, INDEX(tbl_Vulnerability[[0 ft]:[10 ft]], MATCH(Simulation!C997, tbl_Vulnerability[Construction_Class], 0), MATCH(Simulation!F997,{0,1,2,3,5,8,10}, 1)))</f>
        <v>0</v>
      </c>
      <c r="H997" s="4">
        <f t="shared" si="63"/>
        <v>0</v>
      </c>
      <c r="I997" s="33">
        <f t="shared" si="64"/>
        <v>971467.95000000007</v>
      </c>
      <c r="J997" s="33">
        <f t="shared" si="65"/>
        <v>0</v>
      </c>
    </row>
    <row r="998" spans="1:10">
      <c r="A998" s="3">
        <v>10000989</v>
      </c>
      <c r="B998" s="3" t="str">
        <v>Malda</v>
      </c>
      <c r="C998" s="3" t="str">
        <v>Reinforced Concrete</v>
      </c>
      <c r="D998" s="3">
        <v>4</v>
      </c>
      <c r="E998" s="4">
        <v>26575041</v>
      </c>
      <c r="F998" s="3">
        <f t="shared" si="62"/>
        <v>6</v>
      </c>
      <c r="G998" s="30">
        <f>IF(F998=0, 0, INDEX(tbl_Vulnerability[[0 ft]:[10 ft]], MATCH(Simulation!C998, tbl_Vulnerability[Construction_Class], 0), MATCH(Simulation!F998,{0,1,2,3,5,8,10}, 1)))</f>
        <v>0.2</v>
      </c>
      <c r="H998" s="4">
        <f t="shared" si="63"/>
        <v>5315008.2</v>
      </c>
      <c r="I998" s="33">
        <f t="shared" si="64"/>
        <v>1328752.05</v>
      </c>
      <c r="J998" s="33">
        <f t="shared" si="65"/>
        <v>3986256.1500000004</v>
      </c>
    </row>
    <row r="999" spans="1:10">
      <c r="A999" s="3">
        <v>10000990</v>
      </c>
      <c r="B999" s="3" t="str">
        <v>Hooghly</v>
      </c>
      <c r="C999" s="3" t="str">
        <v>Unreinforced Masonry</v>
      </c>
      <c r="D999" s="3">
        <v>0</v>
      </c>
      <c r="E999" s="4">
        <v>20591012</v>
      </c>
      <c r="F999" s="3">
        <f t="shared" si="62"/>
        <v>0</v>
      </c>
      <c r="G999" s="30">
        <f>IF(F999=0, 0, INDEX(tbl_Vulnerability[[0 ft]:[10 ft]], MATCH(Simulation!C999, tbl_Vulnerability[Construction_Class], 0), MATCH(Simulation!F999,{0,1,2,3,5,8,10}, 1)))</f>
        <v>0</v>
      </c>
      <c r="H999" s="4">
        <f t="shared" si="63"/>
        <v>0</v>
      </c>
      <c r="I999" s="33">
        <f t="shared" si="64"/>
        <v>1029550.6000000001</v>
      </c>
      <c r="J999" s="33">
        <f t="shared" si="65"/>
        <v>0</v>
      </c>
    </row>
    <row r="1000" spans="1:10">
      <c r="A1000" s="3">
        <v>10000991</v>
      </c>
      <c r="B1000" s="3" t="str">
        <v>South 24 Parganas</v>
      </c>
      <c r="C1000" s="3" t="str">
        <v>Unreinforced Masonry</v>
      </c>
      <c r="D1000" s="3">
        <v>2</v>
      </c>
      <c r="E1000" s="4">
        <v>11217542</v>
      </c>
      <c r="F1000" s="3">
        <f t="shared" si="62"/>
        <v>0</v>
      </c>
      <c r="G1000" s="30">
        <f>IF(F1000=0, 0, INDEX(tbl_Vulnerability[[0 ft]:[10 ft]], MATCH(Simulation!C1000, tbl_Vulnerability[Construction_Class], 0), MATCH(Simulation!F1000,{0,1,2,3,5,8,10}, 1)))</f>
        <v>0</v>
      </c>
      <c r="H1000" s="4">
        <f t="shared" si="63"/>
        <v>0</v>
      </c>
      <c r="I1000" s="33">
        <f t="shared" si="64"/>
        <v>560877.1</v>
      </c>
      <c r="J1000" s="33">
        <f t="shared" si="65"/>
        <v>0</v>
      </c>
    </row>
    <row r="1001" spans="1:10">
      <c r="A1001" s="3">
        <v>10000992</v>
      </c>
      <c r="B1001" s="3" t="str">
        <v>Paschim Medinipur</v>
      </c>
      <c r="C1001" s="3" t="str">
        <v>Unreinforced Masonry</v>
      </c>
      <c r="D1001" s="3">
        <v>0</v>
      </c>
      <c r="E1001" s="4">
        <v>2970812</v>
      </c>
      <c r="F1001" s="3">
        <f t="shared" si="62"/>
        <v>0</v>
      </c>
      <c r="G1001" s="30">
        <f>IF(F1001=0, 0, INDEX(tbl_Vulnerability[[0 ft]:[10 ft]], MATCH(Simulation!C1001, tbl_Vulnerability[Construction_Class], 0), MATCH(Simulation!F1001,{0,1,2,3,5,8,10}, 1)))</f>
        <v>0</v>
      </c>
      <c r="H1001" s="4">
        <f t="shared" si="63"/>
        <v>0</v>
      </c>
      <c r="I1001" s="33">
        <f t="shared" si="64"/>
        <v>148540.6</v>
      </c>
      <c r="J1001" s="33">
        <f t="shared" si="65"/>
        <v>0</v>
      </c>
    </row>
    <row r="1002" spans="1:10">
      <c r="A1002" s="3">
        <v>10000993</v>
      </c>
      <c r="B1002" s="3" t="str">
        <v>Jalpaiguri</v>
      </c>
      <c r="C1002" s="3" t="str">
        <v>Reinforced Concrete</v>
      </c>
      <c r="D1002" s="3">
        <v>3</v>
      </c>
      <c r="E1002" s="4">
        <v>35297449</v>
      </c>
      <c r="F1002" s="3">
        <f t="shared" si="62"/>
        <v>0</v>
      </c>
      <c r="G1002" s="30">
        <f>IF(F1002=0, 0, INDEX(tbl_Vulnerability[[0 ft]:[10 ft]], MATCH(Simulation!C1002, tbl_Vulnerability[Construction_Class], 0), MATCH(Simulation!F1002,{0,1,2,3,5,8,10}, 1)))</f>
        <v>0</v>
      </c>
      <c r="H1002" s="4">
        <f t="shared" si="63"/>
        <v>0</v>
      </c>
      <c r="I1002" s="33">
        <f t="shared" si="64"/>
        <v>1764872.4500000002</v>
      </c>
      <c r="J1002" s="33">
        <f t="shared" si="65"/>
        <v>0</v>
      </c>
    </row>
    <row r="1003" spans="1:10">
      <c r="A1003" s="3">
        <v>10000994</v>
      </c>
      <c r="B1003" s="3" t="str">
        <v>South 24 Parganas</v>
      </c>
      <c r="C1003" s="3" t="str">
        <v>Reinforced Concrete</v>
      </c>
      <c r="D1003" s="3">
        <v>5</v>
      </c>
      <c r="E1003" s="4">
        <v>62854492</v>
      </c>
      <c r="F1003" s="3">
        <f t="shared" si="62"/>
        <v>0</v>
      </c>
      <c r="G1003" s="30">
        <f>IF(F1003=0, 0, INDEX(tbl_Vulnerability[[0 ft]:[10 ft]], MATCH(Simulation!C1003, tbl_Vulnerability[Construction_Class], 0), MATCH(Simulation!F1003,{0,1,2,3,5,8,10}, 1)))</f>
        <v>0</v>
      </c>
      <c r="H1003" s="4">
        <f t="shared" si="63"/>
        <v>0</v>
      </c>
      <c r="I1003" s="33">
        <f t="shared" si="64"/>
        <v>3142724.6</v>
      </c>
      <c r="J1003" s="33">
        <f t="shared" si="65"/>
        <v>0</v>
      </c>
    </row>
    <row r="1004" spans="1:10">
      <c r="A1004" s="3">
        <v>10000995</v>
      </c>
      <c r="B1004" s="3" t="str">
        <v>Malda</v>
      </c>
      <c r="C1004" s="3" t="str">
        <v>Reinforced Concrete</v>
      </c>
      <c r="D1004" s="3">
        <v>3</v>
      </c>
      <c r="E1004" s="4">
        <v>2836051</v>
      </c>
      <c r="F1004" s="3">
        <f t="shared" si="62"/>
        <v>7</v>
      </c>
      <c r="G1004" s="30">
        <f>IF(F1004=0, 0, INDEX(tbl_Vulnerability[[0 ft]:[10 ft]], MATCH(Simulation!C1004, tbl_Vulnerability[Construction_Class], 0), MATCH(Simulation!F1004,{0,1,2,3,5,8,10}, 1)))</f>
        <v>0.2</v>
      </c>
      <c r="H1004" s="4">
        <f t="shared" si="63"/>
        <v>567210.20000000007</v>
      </c>
      <c r="I1004" s="33">
        <f t="shared" si="64"/>
        <v>141802.55000000002</v>
      </c>
      <c r="J1004" s="33">
        <f t="shared" si="65"/>
        <v>425407.65</v>
      </c>
    </row>
    <row r="1005" spans="1:10">
      <c r="A1005" s="3">
        <v>10000996</v>
      </c>
      <c r="B1005" s="3" t="str">
        <v>Jalpaiguri</v>
      </c>
      <c r="C1005" s="3" t="str">
        <v>Reinforced Concrete</v>
      </c>
      <c r="D1005" s="3">
        <v>3</v>
      </c>
      <c r="E1005" s="4">
        <v>18434833</v>
      </c>
      <c r="F1005" s="3">
        <f t="shared" si="62"/>
        <v>0</v>
      </c>
      <c r="G1005" s="30">
        <f>IF(F1005=0, 0, INDEX(tbl_Vulnerability[[0 ft]:[10 ft]], MATCH(Simulation!C1005, tbl_Vulnerability[Construction_Class], 0), MATCH(Simulation!F1005,{0,1,2,3,5,8,10}, 1)))</f>
        <v>0</v>
      </c>
      <c r="H1005" s="4">
        <f t="shared" si="63"/>
        <v>0</v>
      </c>
      <c r="I1005" s="33">
        <f t="shared" si="64"/>
        <v>921741.65</v>
      </c>
      <c r="J1005" s="33">
        <f t="shared" si="65"/>
        <v>0</v>
      </c>
    </row>
    <row r="1006" spans="1:10">
      <c r="A1006" s="3">
        <v>10000997</v>
      </c>
      <c r="B1006" s="3" t="str">
        <v>Paschim Medinipur</v>
      </c>
      <c r="C1006" s="3" t="str">
        <v>Reinforced Concrete</v>
      </c>
      <c r="D1006" s="3">
        <v>5</v>
      </c>
      <c r="E1006" s="4">
        <v>45046549</v>
      </c>
      <c r="F1006" s="3">
        <f t="shared" si="62"/>
        <v>0</v>
      </c>
      <c r="G1006" s="30">
        <f>IF(F1006=0, 0, INDEX(tbl_Vulnerability[[0 ft]:[10 ft]], MATCH(Simulation!C1006, tbl_Vulnerability[Construction_Class], 0), MATCH(Simulation!F1006,{0,1,2,3,5,8,10}, 1)))</f>
        <v>0</v>
      </c>
      <c r="H1006" s="4">
        <f t="shared" si="63"/>
        <v>0</v>
      </c>
      <c r="I1006" s="33">
        <f t="shared" si="64"/>
        <v>2252327.4500000002</v>
      </c>
      <c r="J1006" s="33">
        <f t="shared" si="65"/>
        <v>0</v>
      </c>
    </row>
    <row r="1007" spans="1:10">
      <c r="A1007" s="3">
        <v>10000998</v>
      </c>
      <c r="B1007" s="3" t="str">
        <v>Jalpaiguri</v>
      </c>
      <c r="C1007" s="3" t="str">
        <v>Unreinforced Masonry</v>
      </c>
      <c r="D1007" s="3">
        <v>1</v>
      </c>
      <c r="E1007" s="4">
        <v>6332738</v>
      </c>
      <c r="F1007" s="3">
        <f t="shared" si="62"/>
        <v>0</v>
      </c>
      <c r="G1007" s="30">
        <f>IF(F1007=0, 0, INDEX(tbl_Vulnerability[[0 ft]:[10 ft]], MATCH(Simulation!C1007, tbl_Vulnerability[Construction_Class], 0), MATCH(Simulation!F1007,{0,1,2,3,5,8,10}, 1)))</f>
        <v>0</v>
      </c>
      <c r="H1007" s="4">
        <f t="shared" si="63"/>
        <v>0</v>
      </c>
      <c r="I1007" s="33">
        <f t="shared" si="64"/>
        <v>316636.90000000002</v>
      </c>
      <c r="J1007" s="33">
        <f t="shared" si="65"/>
        <v>0</v>
      </c>
    </row>
    <row r="1008" spans="1:10">
      <c r="A1008" s="3">
        <v>10000999</v>
      </c>
      <c r="B1008" s="3" t="str">
        <v>Malda</v>
      </c>
      <c r="C1008" s="3" t="str">
        <v>Unreinforced Masonry</v>
      </c>
      <c r="D1008" s="3">
        <v>2</v>
      </c>
      <c r="E1008" s="4">
        <v>14981277</v>
      </c>
      <c r="F1008" s="3">
        <f t="shared" si="62"/>
        <v>8</v>
      </c>
      <c r="G1008" s="30">
        <f>IF(F1008=0, 0, INDEX(tbl_Vulnerability[[0 ft]:[10 ft]], MATCH(Simulation!C1008, tbl_Vulnerability[Construction_Class], 0), MATCH(Simulation!F1008,{0,1,2,3,5,8,10}, 1)))</f>
        <v>0.9</v>
      </c>
      <c r="H1008" s="4">
        <f t="shared" si="63"/>
        <v>13483149.300000001</v>
      </c>
      <c r="I1008" s="33">
        <f t="shared" si="64"/>
        <v>749063.85000000009</v>
      </c>
      <c r="J1008" s="33">
        <f t="shared" si="65"/>
        <v>12734085.450000001</v>
      </c>
    </row>
    <row r="1009" spans="1:10">
      <c r="A1009" s="3">
        <v>10001000</v>
      </c>
      <c r="B1009" s="3" t="str">
        <v>Paschim Medinipur</v>
      </c>
      <c r="C1009" s="3" t="str">
        <v>Reinforced Concrete</v>
      </c>
      <c r="D1009" s="3">
        <v>4</v>
      </c>
      <c r="E1009" s="4">
        <v>36139851</v>
      </c>
      <c r="F1009" s="3">
        <f t="shared" si="62"/>
        <v>0</v>
      </c>
      <c r="G1009" s="30">
        <f>IF(F1009=0, 0, INDEX(tbl_Vulnerability[[0 ft]:[10 ft]], MATCH(Simulation!C1009, tbl_Vulnerability[Construction_Class], 0), MATCH(Simulation!F1009,{0,1,2,3,5,8,10}, 1)))</f>
        <v>0</v>
      </c>
      <c r="H1009" s="4">
        <f t="shared" si="63"/>
        <v>0</v>
      </c>
      <c r="I1009" s="33">
        <f t="shared" si="64"/>
        <v>1806992.55</v>
      </c>
      <c r="J1009" s="33">
        <f t="shared" si="65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Event ID" prompt="Please select the Event ID" xr:uid="{DCEED32D-B365-446D-9DBA-0DBD2043D15F}">
          <x14:formula1>
            <xm:f>Hazard!$A$2:$A$9</xm:f>
          </x14:formula1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3775-6A9F-4C42-8ED7-E242047A50D6}">
  <dimension ref="A1"/>
  <sheetViews>
    <sheetView showGridLines="0" tabSelected="1" zoomScale="80" zoomScaleNormal="80" workbookViewId="0">
      <selection activeCell="M23" sqref="M23"/>
    </sheetView>
  </sheetViews>
  <sheetFormatPr defaultRowHeight="14.4"/>
  <cols>
    <col min="2" max="2" width="15.88671875" bestFit="1" customWidth="1"/>
    <col min="7" max="7" width="16.44140625" bestFit="1" customWidth="1"/>
    <col min="8" max="8" width="15.44140625" bestFit="1" customWidth="1"/>
  </cols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Data_Prep</vt:lpstr>
      <vt:lpstr>Exposure_Data</vt:lpstr>
      <vt:lpstr>Hazard</vt:lpstr>
      <vt:lpstr>Vulnerability</vt:lpstr>
      <vt:lpstr>Simulation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Papiya Bhattacharyya</dc:creator>
  <cp:lastModifiedBy>Papiya Bhattacharyya</cp:lastModifiedBy>
  <dcterms:created xsi:type="dcterms:W3CDTF">2026-09-07T04:55:59Z</dcterms:created>
  <dcterms:modified xsi:type="dcterms:W3CDTF">2026-09-24T13:24:22Z</dcterms:modified>
</cp:coreProperties>
</file>